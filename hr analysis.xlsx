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3B2F6151-6DD0-4CCB-B090-C12977104187}" xr6:coauthVersionLast="47" xr6:coauthVersionMax="47" xr10:uidLastSave="{00000000-0000-0000-0000-000000000000}"/>
  <bookViews>
    <workbookView xWindow="-120" yWindow="-120" windowWidth="24240" windowHeight="13140" xr2:uid="{DA0F4C6D-533D-45E7-A3B2-32B79B6DB6A7}"/>
  </bookViews>
  <sheets>
    <sheet name="HRDataset_v14" sheetId="2" r:id="rId1"/>
    <sheet name="DASHBAORD 1" sheetId="7" r:id="rId2"/>
    <sheet name="DASBAORD 2" sheetId="12" r:id="rId3"/>
    <sheet name="PIVOTTABLE" sheetId="1" r:id="rId4"/>
  </sheets>
  <definedNames>
    <definedName name="_xlchart.v1.0" hidden="1">HRDataset_v14!$BV$1</definedName>
    <definedName name="_xlchart.v1.1" hidden="1">HRDataset_v14!$BV$2:$BV$326</definedName>
    <definedName name="_xlchart.v1.11" hidden="1">HRDataset_v14!$BV$1</definedName>
    <definedName name="_xlchart.v1.12" hidden="1">HRDataset_v14!$BV$2:$BV$326</definedName>
    <definedName name="_xlchart.v1.13" hidden="1">HRDataset_v14!$BW$1</definedName>
    <definedName name="_xlchart.v1.14" hidden="1">HRDataset_v14!$BW$2:$BW$326</definedName>
    <definedName name="_xlchart.v1.2" hidden="1">HRDataset_v14!$BW$1</definedName>
    <definedName name="_xlchart.v1.3" hidden="1">HRDataset_v14!$BW$2:$BW$326</definedName>
    <definedName name="_xlchart.v1.4" hidden="1">HRDataset_v14!$BV$1</definedName>
    <definedName name="_xlchart.v1.5" hidden="1">HRDataset_v14!$BV$2:$BV$326</definedName>
    <definedName name="_xlchart.v1.6" hidden="1">HRDataset_v14!$BW$1</definedName>
    <definedName name="_xlchart.v1.7" hidden="1">HRDataset_v14!$BW$2:$BW$326</definedName>
    <definedName name="_xlchart.v2.10" hidden="1">PIVOTTABLE!$M$80:$M$83</definedName>
    <definedName name="_xlchart.v2.8" hidden="1">PIVOTTABLE!$L$80:$L$83</definedName>
    <definedName name="_xlchart.v2.9" hidden="1">PIVOTTABLE!$M$79</definedName>
    <definedName name="ExternalData_1" localSheetId="0" hidden="1">HRDataset_v14!$A$1:$AJ$312</definedName>
    <definedName name="Slicer_Department">#N/A</definedName>
    <definedName name="Slicer_Department1">#N/A</definedName>
    <definedName name="Slicer_Hire_Year">#N/A</definedName>
    <definedName name="Slicer_PerfScoreID1">#N/A</definedName>
    <definedName name="Slicer_Salary">#N/A</definedName>
    <definedName name="Slicer_TermReason">#N/A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S22" i="2" l="1"/>
  <c r="BJ17" i="2"/>
  <c r="BJ16" i="2"/>
  <c r="BJ13" i="2"/>
  <c r="BM24" i="2"/>
  <c r="BG2" i="2"/>
  <c r="BT126" i="2"/>
  <c r="BT72" i="2"/>
  <c r="BT273" i="2"/>
  <c r="BT146" i="2"/>
  <c r="BT137" i="2"/>
  <c r="BT43" i="2"/>
  <c r="BT56" i="2"/>
  <c r="BT171" i="2"/>
  <c r="BT121" i="2"/>
  <c r="BT34" i="2"/>
  <c r="BT211" i="2"/>
  <c r="BT200" i="2"/>
  <c r="BT161" i="2"/>
  <c r="BT78" i="2"/>
  <c r="BT17" i="2"/>
  <c r="BT115" i="2"/>
  <c r="BT311" i="2"/>
  <c r="BT104" i="2"/>
  <c r="BT186" i="2"/>
  <c r="BT131" i="2"/>
  <c r="BT144" i="2"/>
  <c r="BT309" i="2"/>
  <c r="BT287" i="2"/>
  <c r="BT69" i="2"/>
  <c r="BT312" i="2"/>
  <c r="BT183" i="2"/>
  <c r="BT105" i="2"/>
  <c r="BT181" i="2"/>
  <c r="BT203" i="2"/>
  <c r="BT168" i="2"/>
  <c r="BT209" i="2"/>
  <c r="BT129" i="2"/>
  <c r="BT40" i="2"/>
  <c r="BT198" i="2"/>
  <c r="BT305" i="2"/>
  <c r="BT214" i="2"/>
  <c r="BT92" i="2"/>
  <c r="BT122" i="2"/>
  <c r="BT308" i="2"/>
  <c r="BT50" i="2"/>
  <c r="BT162" i="2"/>
  <c r="BT132" i="2"/>
  <c r="BT224" i="2"/>
  <c r="BT258" i="2"/>
  <c r="BT71" i="2"/>
  <c r="BT245" i="2"/>
  <c r="BT275" i="2"/>
  <c r="BT298" i="2"/>
  <c r="BT206" i="2"/>
  <c r="BT288" i="2"/>
  <c r="BT187" i="2"/>
  <c r="BT227" i="2"/>
  <c r="BT217" i="2"/>
  <c r="BT84" i="2"/>
  <c r="BT222" i="2"/>
  <c r="BT16" i="2"/>
  <c r="BT46" i="2"/>
  <c r="BT184" i="2"/>
  <c r="BT259" i="2"/>
  <c r="BT191" i="2"/>
  <c r="BT98" i="2"/>
  <c r="BT135" i="2"/>
  <c r="BT167" i="2"/>
  <c r="BT160" i="2"/>
  <c r="BT208" i="2"/>
  <c r="BT73" i="2"/>
  <c r="BT254" i="2"/>
  <c r="BT236" i="2"/>
  <c r="BT303" i="2"/>
  <c r="BT291" i="2"/>
  <c r="BT256" i="2"/>
  <c r="BT70" i="2"/>
  <c r="BT95" i="2"/>
  <c r="BT11" i="2"/>
  <c r="BT12" i="2"/>
  <c r="BT192" i="2"/>
  <c r="BT33" i="2"/>
  <c r="BT63" i="2"/>
  <c r="BT147" i="2"/>
  <c r="BT195" i="2"/>
  <c r="BT109" i="2"/>
  <c r="BT173" i="2"/>
  <c r="BT285" i="2"/>
  <c r="BT263" i="2"/>
  <c r="BT286" i="2"/>
  <c r="BT127" i="2"/>
  <c r="BT82" i="2"/>
  <c r="BT310" i="2"/>
  <c r="BT235" i="2"/>
  <c r="BT277" i="2"/>
  <c r="BT155" i="2"/>
  <c r="BT270" i="2"/>
  <c r="BT96" i="2"/>
  <c r="BT202" i="2"/>
  <c r="BT28" i="2"/>
  <c r="BT20" i="2"/>
  <c r="BT112" i="2"/>
  <c r="BT269" i="2"/>
  <c r="BT293" i="2"/>
  <c r="BT238" i="2"/>
  <c r="BT163" i="2"/>
  <c r="BT3" i="2"/>
  <c r="BT279" i="2"/>
  <c r="BT172" i="2"/>
  <c r="BT128" i="2"/>
  <c r="BT274" i="2"/>
  <c r="BT119" i="2"/>
  <c r="BT239" i="2"/>
  <c r="BT175" i="2"/>
  <c r="BT290" i="2"/>
  <c r="BT99" i="2"/>
  <c r="BT106" i="2"/>
  <c r="BT294" i="2"/>
  <c r="BT86" i="2"/>
  <c r="BT283" i="2"/>
  <c r="BT248" i="2"/>
  <c r="BT265" i="2"/>
  <c r="BT261" i="2"/>
  <c r="BT251" i="2"/>
  <c r="BT55" i="2"/>
  <c r="BT74" i="2"/>
  <c r="BT2" i="2"/>
  <c r="BT240" i="2"/>
  <c r="BT150" i="2"/>
  <c r="BT90" i="2"/>
  <c r="BT304" i="2"/>
  <c r="BT156" i="2"/>
  <c r="BT151" i="2"/>
  <c r="BT61" i="2"/>
  <c r="BT7" i="2"/>
  <c r="BT75" i="2"/>
  <c r="BT15" i="2"/>
  <c r="BT22" i="2"/>
  <c r="BT197" i="2"/>
  <c r="BT5" i="2"/>
  <c r="BT215" i="2"/>
  <c r="BT300" i="2"/>
  <c r="BT143" i="2"/>
  <c r="BT114" i="2"/>
  <c r="BT58" i="2"/>
  <c r="BT111" i="2"/>
  <c r="BT268" i="2"/>
  <c r="BT207" i="2"/>
  <c r="BT157" i="2"/>
  <c r="BT65" i="2"/>
  <c r="BT213" i="2"/>
  <c r="BT176" i="2"/>
  <c r="BT212" i="2"/>
  <c r="BT32" i="2"/>
  <c r="BT103" i="2"/>
  <c r="BT49" i="2"/>
  <c r="BT262" i="2"/>
  <c r="BT26" i="2"/>
  <c r="BT21" i="2"/>
  <c r="BT45" i="2"/>
  <c r="BT48" i="2"/>
  <c r="BT64" i="2"/>
  <c r="BT233" i="2"/>
  <c r="BT297" i="2"/>
  <c r="BT271" i="2"/>
  <c r="BT152" i="2"/>
  <c r="BT253" i="2"/>
  <c r="BT6" i="2"/>
  <c r="BT260" i="2"/>
  <c r="BT230" i="2"/>
  <c r="BT130" i="2"/>
  <c r="BT196" i="2"/>
  <c r="BT100" i="2"/>
  <c r="BT216" i="2"/>
  <c r="BT39" i="2"/>
  <c r="BT10" i="2"/>
  <c r="BT302" i="2"/>
  <c r="BT123" i="2"/>
  <c r="BT116" i="2"/>
  <c r="BT36" i="2"/>
  <c r="BT102" i="2"/>
  <c r="BT110" i="2"/>
  <c r="BT249" i="2"/>
  <c r="BT307" i="2"/>
  <c r="BT89" i="2"/>
  <c r="BT54" i="2"/>
  <c r="BT164" i="2"/>
  <c r="BT66" i="2"/>
  <c r="BT278" i="2"/>
  <c r="BT120" i="2"/>
  <c r="BT296" i="2"/>
  <c r="BT85" i="2"/>
  <c r="BT194" i="2"/>
  <c r="BT24" i="2"/>
  <c r="BT174" i="2"/>
  <c r="BT188" i="2"/>
  <c r="BT219" i="2"/>
  <c r="BT68" i="2"/>
  <c r="BT223" i="2"/>
  <c r="BT154" i="2"/>
  <c r="BT225" i="2"/>
  <c r="BT272" i="2"/>
  <c r="BT159" i="2"/>
  <c r="BT41" i="2"/>
  <c r="BT59" i="2"/>
  <c r="BT31" i="2"/>
  <c r="BT138" i="2"/>
  <c r="BT231" i="2"/>
  <c r="BT177" i="2"/>
  <c r="BT139" i="2"/>
  <c r="BT210" i="2"/>
  <c r="BT169" i="2"/>
  <c r="BT201" i="2"/>
  <c r="BT158" i="2"/>
  <c r="BT246" i="2"/>
  <c r="BT141" i="2"/>
  <c r="BT94" i="2"/>
  <c r="BT8" i="2"/>
  <c r="BT44" i="2"/>
  <c r="BT76" i="2"/>
  <c r="BT145" i="2"/>
  <c r="BT37" i="2"/>
  <c r="BT118" i="2"/>
  <c r="BT149" i="2"/>
  <c r="BT140" i="2"/>
  <c r="BT182" i="2"/>
  <c r="BT179" i="2"/>
  <c r="BT193" i="2"/>
  <c r="BT38" i="2"/>
  <c r="BT25" i="2"/>
  <c r="BT67" i="2"/>
  <c r="BT35" i="2"/>
  <c r="BT136" i="2"/>
  <c r="BT83" i="2"/>
  <c r="BT299" i="2"/>
  <c r="BT306" i="2"/>
  <c r="BT88" i="2"/>
  <c r="BT57" i="2"/>
  <c r="BT51" i="2"/>
  <c r="BT190" i="2"/>
  <c r="BT237" i="2"/>
  <c r="BT252" i="2"/>
  <c r="BT276" i="2"/>
  <c r="BT124" i="2"/>
  <c r="BT178" i="2"/>
  <c r="BT77" i="2"/>
  <c r="BT165" i="2"/>
  <c r="BT232" i="2"/>
  <c r="BT142" i="2"/>
  <c r="BT220" i="2"/>
  <c r="BT108" i="2"/>
  <c r="BT29" i="2"/>
  <c r="BT97" i="2"/>
  <c r="BT301" i="2"/>
  <c r="BT241" i="2"/>
  <c r="BT153" i="2"/>
  <c r="BT27" i="2"/>
  <c r="BT9" i="2"/>
  <c r="BT91" i="2"/>
  <c r="BT53" i="2"/>
  <c r="BT93" i="2"/>
  <c r="BT228" i="2"/>
  <c r="BT23" i="2"/>
  <c r="BT221" i="2"/>
  <c r="BT266" i="2"/>
  <c r="BT247" i="2"/>
  <c r="BT79" i="2"/>
  <c r="BT185" i="2"/>
  <c r="BT205" i="2"/>
  <c r="BT117" i="2"/>
  <c r="BT242" i="2"/>
  <c r="BT125" i="2"/>
  <c r="BT62" i="2"/>
  <c r="BT282" i="2"/>
  <c r="BT14" i="2"/>
  <c r="BT4" i="2"/>
  <c r="BT81" i="2"/>
  <c r="BT47" i="2"/>
  <c r="BT295" i="2"/>
  <c r="BT148" i="2"/>
  <c r="BT13" i="2"/>
  <c r="BT42" i="2"/>
  <c r="BT18" i="2"/>
  <c r="BT134" i="2"/>
  <c r="BT229" i="2"/>
  <c r="BT189" i="2"/>
  <c r="BT257" i="2"/>
  <c r="BT280" i="2"/>
  <c r="BT234" i="2"/>
  <c r="BT267" i="2"/>
  <c r="BT170" i="2"/>
  <c r="BT284" i="2"/>
  <c r="BT255" i="2"/>
  <c r="BT218" i="2"/>
  <c r="BT180" i="2"/>
  <c r="BT250" i="2"/>
  <c r="BT113" i="2"/>
  <c r="BT166" i="2"/>
  <c r="BT107" i="2"/>
  <c r="BT133" i="2"/>
  <c r="BT30" i="2"/>
  <c r="BT244" i="2"/>
  <c r="BT80" i="2"/>
  <c r="BT226" i="2"/>
  <c r="BT289" i="2"/>
  <c r="BT60" i="2"/>
  <c r="BT264" i="2"/>
  <c r="BT243" i="2"/>
  <c r="BT292" i="2"/>
  <c r="BT19" i="2"/>
  <c r="BT281" i="2"/>
  <c r="BT87" i="2"/>
  <c r="BT199" i="2"/>
  <c r="BT204" i="2"/>
  <c r="BT52" i="2"/>
  <c r="BT101" i="2"/>
  <c r="BD2" i="2"/>
  <c r="BD3" i="2"/>
  <c r="BD4" i="2"/>
  <c r="BD5" i="2"/>
  <c r="BD6" i="2"/>
  <c r="BD7" i="2"/>
  <c r="BD8" i="2"/>
  <c r="BD9" i="2"/>
  <c r="BD10" i="2"/>
  <c r="BD11" i="2"/>
  <c r="BD12" i="2"/>
  <c r="BD13" i="2"/>
  <c r="BD14" i="2"/>
  <c r="BD15" i="2"/>
  <c r="BD16" i="2"/>
  <c r="BD17" i="2"/>
  <c r="BD18" i="2"/>
  <c r="BD19" i="2"/>
  <c r="BD20" i="2"/>
  <c r="BD21" i="2"/>
  <c r="BD22" i="2"/>
  <c r="BD23" i="2"/>
  <c r="BD24" i="2"/>
  <c r="BD25" i="2"/>
  <c r="BD26" i="2"/>
  <c r="BD27" i="2"/>
  <c r="BD28" i="2"/>
  <c r="BD29" i="2"/>
  <c r="BD30" i="2"/>
  <c r="BD31" i="2"/>
  <c r="BD32" i="2"/>
  <c r="BD33" i="2"/>
  <c r="BD34" i="2"/>
  <c r="BD35" i="2"/>
  <c r="BD36" i="2"/>
  <c r="BD37" i="2"/>
  <c r="BD38" i="2"/>
  <c r="BD39" i="2"/>
  <c r="BD40" i="2"/>
  <c r="BD41" i="2"/>
  <c r="BD42" i="2"/>
  <c r="BD43" i="2"/>
  <c r="BD44" i="2"/>
  <c r="BD45" i="2"/>
  <c r="BD46" i="2"/>
  <c r="BD47" i="2"/>
  <c r="BD48" i="2"/>
  <c r="BD49" i="2"/>
  <c r="BD50" i="2"/>
  <c r="BD51" i="2"/>
  <c r="BD52" i="2"/>
  <c r="BD53" i="2"/>
  <c r="BD54" i="2"/>
  <c r="BD55" i="2"/>
  <c r="BD56" i="2"/>
  <c r="BD57" i="2"/>
  <c r="BD58" i="2"/>
  <c r="BD59" i="2"/>
  <c r="BD60" i="2"/>
  <c r="BD61" i="2"/>
  <c r="BD62" i="2"/>
  <c r="BD63" i="2"/>
  <c r="BD64" i="2"/>
  <c r="BD65" i="2"/>
  <c r="BD66" i="2"/>
  <c r="BD67" i="2"/>
  <c r="BD68" i="2"/>
  <c r="BD69" i="2"/>
  <c r="BD70" i="2"/>
  <c r="BD71" i="2"/>
  <c r="BD72" i="2"/>
  <c r="BD73" i="2"/>
  <c r="BD74" i="2"/>
  <c r="BD75" i="2"/>
  <c r="BD76" i="2"/>
  <c r="BD77" i="2"/>
  <c r="BD78" i="2"/>
  <c r="BD79" i="2"/>
  <c r="BD80" i="2"/>
  <c r="BD81" i="2"/>
  <c r="BD82" i="2"/>
  <c r="BD83" i="2"/>
  <c r="BD84" i="2"/>
  <c r="BD85" i="2"/>
  <c r="BD86" i="2"/>
  <c r="BD87" i="2"/>
  <c r="BD88" i="2"/>
  <c r="BD89" i="2"/>
  <c r="BD90" i="2"/>
  <c r="BD91" i="2"/>
  <c r="BD92" i="2"/>
  <c r="BD93" i="2"/>
  <c r="BD94" i="2"/>
  <c r="BD95" i="2"/>
  <c r="BD96" i="2"/>
  <c r="BD97" i="2"/>
  <c r="BD98" i="2"/>
  <c r="BD99" i="2"/>
  <c r="BD100" i="2"/>
  <c r="BD101" i="2"/>
  <c r="BD102" i="2"/>
  <c r="BD103" i="2"/>
  <c r="BD104" i="2"/>
  <c r="BD105" i="2"/>
  <c r="BD106" i="2"/>
  <c r="BD107" i="2"/>
  <c r="BD108" i="2"/>
  <c r="BD109" i="2"/>
  <c r="BD110" i="2"/>
  <c r="BD111" i="2"/>
  <c r="BD112" i="2"/>
  <c r="BD113" i="2"/>
  <c r="BD114" i="2"/>
  <c r="BD115" i="2"/>
  <c r="BD116" i="2"/>
  <c r="BD117" i="2"/>
  <c r="BD118" i="2"/>
  <c r="BD119" i="2"/>
  <c r="BD120" i="2"/>
  <c r="BD121" i="2"/>
  <c r="BD122" i="2"/>
  <c r="BD123" i="2"/>
  <c r="BD124" i="2"/>
  <c r="BD125" i="2"/>
  <c r="BD126" i="2"/>
  <c r="BD127" i="2"/>
  <c r="BD128" i="2"/>
  <c r="BD129" i="2"/>
  <c r="BD130" i="2"/>
  <c r="BD131" i="2"/>
  <c r="BD132" i="2"/>
  <c r="BD133" i="2"/>
  <c r="BD134" i="2"/>
  <c r="BD135" i="2"/>
  <c r="BD136" i="2"/>
  <c r="BD137" i="2"/>
  <c r="BD138" i="2"/>
  <c r="BD139" i="2"/>
  <c r="BD140" i="2"/>
  <c r="BD141" i="2"/>
  <c r="BD142" i="2"/>
  <c r="BD143" i="2"/>
  <c r="BD144" i="2"/>
  <c r="BD145" i="2"/>
  <c r="BD146" i="2"/>
  <c r="BD147" i="2"/>
  <c r="BD148" i="2"/>
  <c r="BD149" i="2"/>
  <c r="BD150" i="2"/>
  <c r="BD151" i="2"/>
  <c r="BD152" i="2"/>
  <c r="BD153" i="2"/>
  <c r="BD154" i="2"/>
  <c r="BD155" i="2"/>
  <c r="BD156" i="2"/>
  <c r="BD157" i="2"/>
  <c r="BD158" i="2"/>
  <c r="BD159" i="2"/>
  <c r="BD160" i="2"/>
  <c r="BD161" i="2"/>
  <c r="BD162" i="2"/>
  <c r="BD163" i="2"/>
  <c r="BD164" i="2"/>
  <c r="BD165" i="2"/>
  <c r="BD166" i="2"/>
  <c r="BD167" i="2"/>
  <c r="BD168" i="2"/>
  <c r="BD169" i="2"/>
  <c r="BD170" i="2"/>
  <c r="BD171" i="2"/>
  <c r="BD172" i="2"/>
  <c r="BD173" i="2"/>
  <c r="BD174" i="2"/>
  <c r="BD175" i="2"/>
  <c r="BD176" i="2"/>
  <c r="BD177" i="2"/>
  <c r="BD178" i="2"/>
  <c r="BD179" i="2"/>
  <c r="BD180" i="2"/>
  <c r="BD181" i="2"/>
  <c r="BD182" i="2"/>
  <c r="BD183" i="2"/>
  <c r="BD184" i="2"/>
  <c r="BD185" i="2"/>
  <c r="BD186" i="2"/>
  <c r="BD187" i="2"/>
  <c r="BD188" i="2"/>
  <c r="BD189" i="2"/>
  <c r="BD190" i="2"/>
  <c r="BD191" i="2"/>
  <c r="BD192" i="2"/>
  <c r="BD193" i="2"/>
  <c r="BD194" i="2"/>
  <c r="BD195" i="2"/>
  <c r="BD196" i="2"/>
  <c r="BD197" i="2"/>
  <c r="BD198" i="2"/>
  <c r="BD199" i="2"/>
  <c r="BD200" i="2"/>
  <c r="BD201" i="2"/>
  <c r="BD202" i="2"/>
  <c r="BD203" i="2"/>
  <c r="BD204" i="2"/>
  <c r="BD205" i="2"/>
  <c r="BD206" i="2"/>
  <c r="BD207" i="2"/>
  <c r="BD208" i="2"/>
  <c r="BD209" i="2"/>
  <c r="BD210" i="2"/>
  <c r="BD211" i="2"/>
  <c r="BD212" i="2"/>
  <c r="BD213" i="2"/>
  <c r="BD214" i="2"/>
  <c r="BD215" i="2"/>
  <c r="BD216" i="2"/>
  <c r="BD217" i="2"/>
  <c r="BD218" i="2"/>
  <c r="BD219" i="2"/>
  <c r="BD220" i="2"/>
  <c r="BD221" i="2"/>
  <c r="BD222" i="2"/>
  <c r="BD223" i="2"/>
  <c r="BD224" i="2"/>
  <c r="BD225" i="2"/>
  <c r="BD226" i="2"/>
  <c r="BD227" i="2"/>
  <c r="BD228" i="2"/>
  <c r="BD229" i="2"/>
  <c r="BD230" i="2"/>
  <c r="BD231" i="2"/>
  <c r="BD232" i="2"/>
  <c r="BD233" i="2"/>
  <c r="BD234" i="2"/>
  <c r="BD235" i="2"/>
  <c r="BD236" i="2"/>
  <c r="BD237" i="2"/>
  <c r="BD238" i="2"/>
  <c r="BD239" i="2"/>
  <c r="BD240" i="2"/>
  <c r="BD241" i="2"/>
  <c r="BD242" i="2"/>
  <c r="BD243" i="2"/>
  <c r="BD244" i="2"/>
  <c r="BD245" i="2"/>
  <c r="BD246" i="2"/>
  <c r="BD247" i="2"/>
  <c r="BD248" i="2"/>
  <c r="BD249" i="2"/>
  <c r="BD250" i="2"/>
  <c r="BD251" i="2"/>
  <c r="BD252" i="2"/>
  <c r="BD253" i="2"/>
  <c r="BD254" i="2"/>
  <c r="BD255" i="2"/>
  <c r="BD256" i="2"/>
  <c r="BD257" i="2"/>
  <c r="BD258" i="2"/>
  <c r="BD259" i="2"/>
  <c r="BD260" i="2"/>
  <c r="BD261" i="2"/>
  <c r="BD262" i="2"/>
  <c r="BD263" i="2"/>
  <c r="BD264" i="2"/>
  <c r="BD265" i="2"/>
  <c r="BD266" i="2"/>
  <c r="BD267" i="2"/>
  <c r="BD268" i="2"/>
  <c r="BD269" i="2"/>
  <c r="BD270" i="2"/>
  <c r="BD271" i="2"/>
  <c r="BD272" i="2"/>
  <c r="BD273" i="2"/>
  <c r="BD274" i="2"/>
  <c r="BD275" i="2"/>
  <c r="BD276" i="2"/>
  <c r="BD277" i="2"/>
  <c r="BD278" i="2"/>
  <c r="BD279" i="2"/>
  <c r="BD280" i="2"/>
  <c r="BD281" i="2"/>
  <c r="BD282" i="2"/>
  <c r="BD283" i="2"/>
  <c r="BD284" i="2"/>
  <c r="BD285" i="2"/>
  <c r="BD286" i="2"/>
  <c r="BD287" i="2"/>
  <c r="BD288" i="2"/>
  <c r="BD289" i="2"/>
  <c r="BD290" i="2"/>
  <c r="BD291" i="2"/>
  <c r="BD292" i="2"/>
  <c r="BD293" i="2"/>
  <c r="BD294" i="2"/>
  <c r="BD295" i="2"/>
  <c r="BD296" i="2"/>
  <c r="BD297" i="2"/>
  <c r="BD298" i="2"/>
  <c r="BD299" i="2"/>
  <c r="BD300" i="2"/>
  <c r="BD301" i="2"/>
  <c r="BD302" i="2"/>
  <c r="BD303" i="2"/>
  <c r="BD304" i="2"/>
  <c r="BD305" i="2"/>
  <c r="BD306" i="2"/>
  <c r="BD307" i="2"/>
  <c r="BD308" i="2"/>
  <c r="BD309" i="2"/>
  <c r="BD310" i="2"/>
  <c r="BD311" i="2"/>
  <c r="BD312" i="2"/>
  <c r="BE312" i="2"/>
  <c r="BE311" i="2"/>
  <c r="BE310" i="2"/>
  <c r="BE309" i="2"/>
  <c r="BE308" i="2"/>
  <c r="BE307" i="2"/>
  <c r="BE306" i="2"/>
  <c r="BE305" i="2"/>
  <c r="BE304" i="2"/>
  <c r="BE303" i="2"/>
  <c r="BE302" i="2"/>
  <c r="BE301" i="2"/>
  <c r="BE300" i="2"/>
  <c r="BE299" i="2"/>
  <c r="BE298" i="2"/>
  <c r="BE297" i="2"/>
  <c r="BE296" i="2"/>
  <c r="BE295" i="2"/>
  <c r="BE294" i="2"/>
  <c r="BE293" i="2"/>
  <c r="BE292" i="2"/>
  <c r="BE291" i="2"/>
  <c r="BE290" i="2"/>
  <c r="BE289" i="2"/>
  <c r="BE288" i="2"/>
  <c r="BE287" i="2"/>
  <c r="BE286" i="2"/>
  <c r="BE285" i="2"/>
  <c r="BE284" i="2"/>
  <c r="BE283" i="2"/>
  <c r="BE282" i="2"/>
  <c r="BE281" i="2"/>
  <c r="BE280" i="2"/>
  <c r="BE279" i="2"/>
  <c r="BE278" i="2"/>
  <c r="BE277" i="2"/>
  <c r="BE276" i="2"/>
  <c r="BE275" i="2"/>
  <c r="BE274" i="2"/>
  <c r="BE273" i="2"/>
  <c r="BE272" i="2"/>
  <c r="BE271" i="2"/>
  <c r="BE270" i="2"/>
  <c r="BE269" i="2"/>
  <c r="BE268" i="2"/>
  <c r="BE267" i="2"/>
  <c r="BE266" i="2"/>
  <c r="BE265" i="2"/>
  <c r="BE264" i="2"/>
  <c r="BE263" i="2"/>
  <c r="BE262" i="2"/>
  <c r="BE261" i="2"/>
  <c r="BE260" i="2"/>
  <c r="BE259" i="2"/>
  <c r="BE258" i="2"/>
  <c r="BE257" i="2"/>
  <c r="BE256" i="2"/>
  <c r="BE255" i="2"/>
  <c r="BE254" i="2"/>
  <c r="BE253" i="2"/>
  <c r="BE252" i="2"/>
  <c r="BE251" i="2"/>
  <c r="BE250" i="2"/>
  <c r="BE249" i="2"/>
  <c r="BE248" i="2"/>
  <c r="BE247" i="2"/>
  <c r="BE246" i="2"/>
  <c r="BE245" i="2"/>
  <c r="BE244" i="2"/>
  <c r="BE243" i="2"/>
  <c r="BE242" i="2"/>
  <c r="BE241" i="2"/>
  <c r="BE240" i="2"/>
  <c r="BE239" i="2"/>
  <c r="BE238" i="2"/>
  <c r="BE237" i="2"/>
  <c r="BE236" i="2"/>
  <c r="BE235" i="2"/>
  <c r="BE234" i="2"/>
  <c r="BE233" i="2"/>
  <c r="BE232" i="2"/>
  <c r="BE231" i="2"/>
  <c r="BE230" i="2"/>
  <c r="BE229" i="2"/>
  <c r="BE228" i="2"/>
  <c r="BE227" i="2"/>
  <c r="BE226" i="2"/>
  <c r="BE225" i="2"/>
  <c r="BE224" i="2"/>
  <c r="BE223" i="2"/>
  <c r="BE222" i="2"/>
  <c r="BE221" i="2"/>
  <c r="BE220" i="2"/>
  <c r="BE219" i="2"/>
  <c r="BE218" i="2"/>
  <c r="BE217" i="2"/>
  <c r="BE216" i="2"/>
  <c r="BE215" i="2"/>
  <c r="BE214" i="2"/>
  <c r="BE213" i="2"/>
  <c r="BE212" i="2"/>
  <c r="BE211" i="2"/>
  <c r="BE210" i="2"/>
  <c r="BE209" i="2"/>
  <c r="BE208" i="2"/>
  <c r="BE207" i="2"/>
  <c r="BE206" i="2"/>
  <c r="BE205" i="2"/>
  <c r="BE204" i="2"/>
  <c r="BE203" i="2"/>
  <c r="BE202" i="2"/>
  <c r="BE201" i="2"/>
  <c r="BE200" i="2"/>
  <c r="BE199" i="2"/>
  <c r="BE198" i="2"/>
  <c r="BE197" i="2"/>
  <c r="BE196" i="2"/>
  <c r="BE195" i="2"/>
  <c r="BE194" i="2"/>
  <c r="BE193" i="2"/>
  <c r="BE192" i="2"/>
  <c r="BE191" i="2"/>
  <c r="BE190" i="2"/>
  <c r="BE189" i="2"/>
  <c r="BE188" i="2"/>
  <c r="BE187" i="2"/>
  <c r="BE186" i="2"/>
  <c r="BE185" i="2"/>
  <c r="BE184" i="2"/>
  <c r="BE183" i="2"/>
  <c r="BE182" i="2"/>
  <c r="BE181" i="2"/>
  <c r="BE180" i="2"/>
  <c r="BE179" i="2"/>
  <c r="BE178" i="2"/>
  <c r="BE177" i="2"/>
  <c r="BE176" i="2"/>
  <c r="BE175" i="2"/>
  <c r="BE174" i="2"/>
  <c r="BE173" i="2"/>
  <c r="BE172" i="2"/>
  <c r="BE171" i="2"/>
  <c r="BE170" i="2"/>
  <c r="BE169" i="2"/>
  <c r="BE168" i="2"/>
  <c r="BE167" i="2"/>
  <c r="BE166" i="2"/>
  <c r="BE165" i="2"/>
  <c r="BE164" i="2"/>
  <c r="BE163" i="2"/>
  <c r="BE162" i="2"/>
  <c r="BE161" i="2"/>
  <c r="BE160" i="2"/>
  <c r="BE159" i="2"/>
  <c r="BE158" i="2"/>
  <c r="BE157" i="2"/>
  <c r="BE156" i="2"/>
  <c r="BE155" i="2"/>
  <c r="BE154" i="2"/>
  <c r="BE153" i="2"/>
  <c r="BE152" i="2"/>
  <c r="BE151" i="2"/>
  <c r="BE150" i="2"/>
  <c r="BE149" i="2"/>
  <c r="BE148" i="2"/>
  <c r="BE147" i="2"/>
  <c r="BE146" i="2"/>
  <c r="BE145" i="2"/>
  <c r="BE144" i="2"/>
  <c r="BE143" i="2"/>
  <c r="BE142" i="2"/>
  <c r="BE141" i="2"/>
  <c r="BE140" i="2"/>
  <c r="BE139" i="2"/>
  <c r="BE138" i="2"/>
  <c r="BE137" i="2"/>
  <c r="BE136" i="2"/>
  <c r="BE135" i="2"/>
  <c r="BE134" i="2"/>
  <c r="BE133" i="2"/>
  <c r="BE132" i="2"/>
  <c r="BE131" i="2"/>
  <c r="BE130" i="2"/>
  <c r="BE129" i="2"/>
  <c r="BE128" i="2"/>
  <c r="BE127" i="2"/>
  <c r="BE126" i="2"/>
  <c r="BE125" i="2"/>
  <c r="BE124" i="2"/>
  <c r="BE123" i="2"/>
  <c r="BE122" i="2"/>
  <c r="BE121" i="2"/>
  <c r="BE120" i="2"/>
  <c r="BE119" i="2"/>
  <c r="BE118" i="2"/>
  <c r="BE117" i="2"/>
  <c r="BE116" i="2"/>
  <c r="BE115" i="2"/>
  <c r="BE114" i="2"/>
  <c r="BE113" i="2"/>
  <c r="BE112" i="2"/>
  <c r="BE111" i="2"/>
  <c r="BE110" i="2"/>
  <c r="BE109" i="2"/>
  <c r="BE108" i="2"/>
  <c r="BE107" i="2"/>
  <c r="BE106" i="2"/>
  <c r="BE105" i="2"/>
  <c r="BE104" i="2"/>
  <c r="BE103" i="2"/>
  <c r="BE102" i="2"/>
  <c r="BE101" i="2"/>
  <c r="BE100" i="2"/>
  <c r="BE99" i="2"/>
  <c r="BE98" i="2"/>
  <c r="BE97" i="2"/>
  <c r="BE96" i="2"/>
  <c r="BE95" i="2"/>
  <c r="BE94" i="2"/>
  <c r="BE93" i="2"/>
  <c r="BE92" i="2"/>
  <c r="BE91" i="2"/>
  <c r="BE90" i="2"/>
  <c r="BE89" i="2"/>
  <c r="BE88" i="2"/>
  <c r="BE87" i="2"/>
  <c r="BE86" i="2"/>
  <c r="BE85" i="2"/>
  <c r="BE84" i="2"/>
  <c r="BE83" i="2"/>
  <c r="BE82" i="2"/>
  <c r="BE81" i="2"/>
  <c r="BE80" i="2"/>
  <c r="BE79" i="2"/>
  <c r="BE78" i="2"/>
  <c r="BE77" i="2"/>
  <c r="BE76" i="2"/>
  <c r="BE75" i="2"/>
  <c r="BE74" i="2"/>
  <c r="BE73" i="2"/>
  <c r="BE72" i="2"/>
  <c r="BE71" i="2"/>
  <c r="BE70" i="2"/>
  <c r="BE69" i="2"/>
  <c r="BE68" i="2"/>
  <c r="BE67" i="2"/>
  <c r="BE66" i="2"/>
  <c r="BE65" i="2"/>
  <c r="BE64" i="2"/>
  <c r="BE63" i="2"/>
  <c r="BE62" i="2"/>
  <c r="BE61" i="2"/>
  <c r="BE60" i="2"/>
  <c r="BE59" i="2"/>
  <c r="BE58" i="2"/>
  <c r="BE57" i="2"/>
  <c r="BE56" i="2"/>
  <c r="BE55" i="2"/>
  <c r="BE54" i="2"/>
  <c r="BE53" i="2"/>
  <c r="BE52" i="2"/>
  <c r="BE51" i="2"/>
  <c r="BE50" i="2"/>
  <c r="BE49" i="2"/>
  <c r="BE48" i="2"/>
  <c r="BE47" i="2"/>
  <c r="BE46" i="2"/>
  <c r="BE45" i="2"/>
  <c r="BE44" i="2"/>
  <c r="BE43" i="2"/>
  <c r="BE42" i="2"/>
  <c r="BE41" i="2"/>
  <c r="BE40" i="2"/>
  <c r="BE39" i="2"/>
  <c r="BE38" i="2"/>
  <c r="BE37" i="2"/>
  <c r="BE36" i="2"/>
  <c r="BE35" i="2"/>
  <c r="BE34" i="2"/>
  <c r="BE33" i="2"/>
  <c r="BE32" i="2"/>
  <c r="BE31" i="2"/>
  <c r="BE30" i="2"/>
  <c r="BE29" i="2"/>
  <c r="BE28" i="2"/>
  <c r="BE27" i="2"/>
  <c r="BE26" i="2"/>
  <c r="BE25" i="2"/>
  <c r="BE24" i="2"/>
  <c r="BE23" i="2"/>
  <c r="BE22" i="2"/>
  <c r="BE21" i="2"/>
  <c r="BE20" i="2"/>
  <c r="BE19" i="2"/>
  <c r="BE18" i="2"/>
  <c r="BE17" i="2"/>
  <c r="BE16" i="2"/>
  <c r="BE15" i="2"/>
  <c r="BE14" i="2"/>
  <c r="BE13" i="2"/>
  <c r="BE12" i="2"/>
  <c r="BE11" i="2"/>
  <c r="BE10" i="2"/>
  <c r="BE9" i="2"/>
  <c r="BE8" i="2"/>
  <c r="BE7" i="2"/>
  <c r="BE6" i="2"/>
  <c r="BE5" i="2"/>
  <c r="BE4" i="2"/>
  <c r="BE3" i="2"/>
  <c r="BE2" i="2"/>
  <c r="BH79" i="2"/>
  <c r="BH76" i="2"/>
  <c r="BH51" i="2"/>
  <c r="BH73" i="2"/>
  <c r="BH69" i="2"/>
  <c r="BH67" i="2"/>
  <c r="BH56" i="2"/>
  <c r="BH61" i="2"/>
  <c r="BH63" i="2"/>
  <c r="BH58" i="2"/>
  <c r="BH47" i="2"/>
  <c r="BH44" i="2"/>
  <c r="BH40" i="2"/>
  <c r="BH37" i="2"/>
  <c r="BH34" i="2"/>
  <c r="BJ23" i="2"/>
  <c r="BJ22" i="2"/>
  <c r="BJ9" i="2"/>
  <c r="BJ7" i="2"/>
  <c r="BJ5" i="2"/>
  <c r="BJ3" i="2"/>
  <c r="BG64" i="2"/>
  <c r="BG27" i="2" a="1"/>
  <c r="BG27" i="2" s="1"/>
  <c r="BG23" i="2"/>
  <c r="BG21" i="2"/>
  <c r="AZ2" i="2" a="1"/>
  <c r="AZ2" i="2" s="1"/>
  <c r="BI58" i="2" a="1"/>
  <c r="BI58" i="2"/>
  <c r="BI56" i="2" a="1"/>
  <c r="BI56" i="2" s="1"/>
  <c r="BG6" i="2"/>
  <c r="AS2" i="2"/>
  <c r="BC2" i="2"/>
  <c r="BC3" i="2"/>
  <c r="BC4" i="2"/>
  <c r="BC5" i="2"/>
  <c r="BC6" i="2"/>
  <c r="BC7" i="2"/>
  <c r="BC8" i="2"/>
  <c r="BC9" i="2"/>
  <c r="BC10" i="2"/>
  <c r="BC11" i="2"/>
  <c r="BC12" i="2"/>
  <c r="BC13" i="2"/>
  <c r="BC14" i="2"/>
  <c r="BC15" i="2"/>
  <c r="BC16" i="2"/>
  <c r="BC17" i="2"/>
  <c r="BC18" i="2"/>
  <c r="BC19" i="2"/>
  <c r="BC20" i="2"/>
  <c r="BC21" i="2"/>
  <c r="BC22" i="2"/>
  <c r="BC23" i="2"/>
  <c r="BC24" i="2"/>
  <c r="BC25" i="2"/>
  <c r="BC26" i="2"/>
  <c r="BC27" i="2"/>
  <c r="BC28" i="2"/>
  <c r="BC29" i="2"/>
  <c r="BC30" i="2"/>
  <c r="BC31" i="2"/>
  <c r="BC32" i="2"/>
  <c r="BC33" i="2"/>
  <c r="BC34" i="2"/>
  <c r="BC35" i="2"/>
  <c r="BC36" i="2"/>
  <c r="BC37" i="2"/>
  <c r="BC38" i="2"/>
  <c r="BC39" i="2"/>
  <c r="BC40" i="2"/>
  <c r="BC41" i="2"/>
  <c r="BC42" i="2"/>
  <c r="BC43" i="2"/>
  <c r="BC44" i="2"/>
  <c r="BC45" i="2"/>
  <c r="BC46" i="2"/>
  <c r="BC47" i="2"/>
  <c r="BC48" i="2"/>
  <c r="BC49" i="2"/>
  <c r="BC50" i="2"/>
  <c r="BC51" i="2"/>
  <c r="BC52" i="2"/>
  <c r="BC53" i="2"/>
  <c r="BC54" i="2"/>
  <c r="BC55" i="2"/>
  <c r="BC56" i="2"/>
  <c r="BC57" i="2"/>
  <c r="BC58" i="2"/>
  <c r="BC59" i="2"/>
  <c r="BC60" i="2"/>
  <c r="BC61" i="2"/>
  <c r="BC62" i="2"/>
  <c r="BC63" i="2"/>
  <c r="BC64" i="2"/>
  <c r="BC65" i="2"/>
  <c r="BC66" i="2"/>
  <c r="BC67" i="2"/>
  <c r="BC68" i="2"/>
  <c r="BC69" i="2"/>
  <c r="BC70" i="2"/>
  <c r="BC71" i="2"/>
  <c r="BC72" i="2"/>
  <c r="BC73" i="2"/>
  <c r="BC74" i="2"/>
  <c r="BC75" i="2"/>
  <c r="BC76" i="2"/>
  <c r="BC77" i="2"/>
  <c r="BC78" i="2"/>
  <c r="BC79" i="2"/>
  <c r="BC80" i="2"/>
  <c r="BC81" i="2"/>
  <c r="BC82" i="2"/>
  <c r="BC83" i="2"/>
  <c r="BC84" i="2"/>
  <c r="BC85" i="2"/>
  <c r="BC86" i="2"/>
  <c r="BC87" i="2"/>
  <c r="BC88" i="2"/>
  <c r="BC89" i="2"/>
  <c r="BC90" i="2"/>
  <c r="BC91" i="2"/>
  <c r="BC92" i="2"/>
  <c r="BC93" i="2"/>
  <c r="BC94" i="2"/>
  <c r="BC95" i="2"/>
  <c r="BC96" i="2"/>
  <c r="BC97" i="2"/>
  <c r="BC98" i="2"/>
  <c r="BC99" i="2"/>
  <c r="BC100" i="2"/>
  <c r="BC101" i="2"/>
  <c r="BC102" i="2"/>
  <c r="BC103" i="2"/>
  <c r="BC104" i="2"/>
  <c r="BC105" i="2"/>
  <c r="BC106" i="2"/>
  <c r="BC107" i="2"/>
  <c r="BC108" i="2"/>
  <c r="BC109" i="2"/>
  <c r="BC110" i="2"/>
  <c r="BC111" i="2"/>
  <c r="BC112" i="2"/>
  <c r="BC113" i="2"/>
  <c r="BC114" i="2"/>
  <c r="BC115" i="2"/>
  <c r="BC116" i="2"/>
  <c r="BC117" i="2"/>
  <c r="BC118" i="2"/>
  <c r="BC119" i="2"/>
  <c r="BC120" i="2"/>
  <c r="BC121" i="2"/>
  <c r="BC122" i="2"/>
  <c r="BC123" i="2"/>
  <c r="BC124" i="2"/>
  <c r="BC125" i="2"/>
  <c r="BC126" i="2"/>
  <c r="BC127" i="2"/>
  <c r="BC128" i="2"/>
  <c r="BC129" i="2"/>
  <c r="BC130" i="2"/>
  <c r="BC131" i="2"/>
  <c r="BC132" i="2"/>
  <c r="BC133" i="2"/>
  <c r="BC134" i="2"/>
  <c r="BC135" i="2"/>
  <c r="BC136" i="2"/>
  <c r="BC137" i="2"/>
  <c r="BC138" i="2"/>
  <c r="BC139" i="2"/>
  <c r="BC140" i="2"/>
  <c r="BC141" i="2"/>
  <c r="BC142" i="2"/>
  <c r="BC143" i="2"/>
  <c r="BC144" i="2"/>
  <c r="BC145" i="2"/>
  <c r="BC146" i="2"/>
  <c r="BC147" i="2"/>
  <c r="BC148" i="2"/>
  <c r="BC149" i="2"/>
  <c r="BC150" i="2"/>
  <c r="BC151" i="2"/>
  <c r="BC152" i="2"/>
  <c r="BC153" i="2"/>
  <c r="BC154" i="2"/>
  <c r="BC155" i="2"/>
  <c r="BC156" i="2"/>
  <c r="BC157" i="2"/>
  <c r="BC158" i="2"/>
  <c r="BC159" i="2"/>
  <c r="BC160" i="2"/>
  <c r="BC161" i="2"/>
  <c r="BC162" i="2"/>
  <c r="BC163" i="2"/>
  <c r="BC164" i="2"/>
  <c r="BC165" i="2"/>
  <c r="BC166" i="2"/>
  <c r="BC167" i="2"/>
  <c r="BC168" i="2"/>
  <c r="BC169" i="2"/>
  <c r="BC170" i="2"/>
  <c r="BC171" i="2"/>
  <c r="BC172" i="2"/>
  <c r="BC173" i="2"/>
  <c r="BC174" i="2"/>
  <c r="BC175" i="2"/>
  <c r="BC176" i="2"/>
  <c r="BC177" i="2"/>
  <c r="BC178" i="2"/>
  <c r="BC179" i="2"/>
  <c r="BC180" i="2"/>
  <c r="BC181" i="2"/>
  <c r="BC182" i="2"/>
  <c r="BC183" i="2"/>
  <c r="BC184" i="2"/>
  <c r="BC185" i="2"/>
  <c r="BC186" i="2"/>
  <c r="BC187" i="2"/>
  <c r="BC188" i="2"/>
  <c r="BC189" i="2"/>
  <c r="BC190" i="2"/>
  <c r="BC191" i="2"/>
  <c r="BC192" i="2"/>
  <c r="BC193" i="2"/>
  <c r="BC194" i="2"/>
  <c r="BC195" i="2"/>
  <c r="BC196" i="2"/>
  <c r="BC197" i="2"/>
  <c r="BC198" i="2"/>
  <c r="BC199" i="2"/>
  <c r="BC200" i="2"/>
  <c r="BC201" i="2"/>
  <c r="BC202" i="2"/>
  <c r="BC203" i="2"/>
  <c r="BC204" i="2"/>
  <c r="BC205" i="2"/>
  <c r="BC206" i="2"/>
  <c r="BC207" i="2"/>
  <c r="BC208" i="2"/>
  <c r="BC209" i="2"/>
  <c r="BC210" i="2"/>
  <c r="BC211" i="2"/>
  <c r="BC212" i="2"/>
  <c r="BC213" i="2"/>
  <c r="BC214" i="2"/>
  <c r="BC215" i="2"/>
  <c r="BC216" i="2"/>
  <c r="BC217" i="2"/>
  <c r="BC218" i="2"/>
  <c r="BC219" i="2"/>
  <c r="BC220" i="2"/>
  <c r="BC221" i="2"/>
  <c r="BC222" i="2"/>
  <c r="BC223" i="2"/>
  <c r="BC224" i="2"/>
  <c r="BC225" i="2"/>
  <c r="BC226" i="2"/>
  <c r="BC227" i="2"/>
  <c r="BC228" i="2"/>
  <c r="BC229" i="2"/>
  <c r="BC230" i="2"/>
  <c r="BC231" i="2"/>
  <c r="BC232" i="2"/>
  <c r="BC233" i="2"/>
  <c r="BC234" i="2"/>
  <c r="BC235" i="2"/>
  <c r="BC236" i="2"/>
  <c r="BC237" i="2"/>
  <c r="BC238" i="2"/>
  <c r="BC239" i="2"/>
  <c r="BC240" i="2"/>
  <c r="BC241" i="2"/>
  <c r="BC242" i="2"/>
  <c r="BC243" i="2"/>
  <c r="BC244" i="2"/>
  <c r="BC245" i="2"/>
  <c r="BC246" i="2"/>
  <c r="BC247" i="2"/>
  <c r="BC248" i="2"/>
  <c r="BC249" i="2"/>
  <c r="BC250" i="2"/>
  <c r="BC251" i="2"/>
  <c r="BC252" i="2"/>
  <c r="BC253" i="2"/>
  <c r="BC254" i="2"/>
  <c r="BC255" i="2"/>
  <c r="BC256" i="2"/>
  <c r="BC257" i="2"/>
  <c r="BC258" i="2"/>
  <c r="BC259" i="2"/>
  <c r="BC260" i="2"/>
  <c r="BC261" i="2"/>
  <c r="BC262" i="2"/>
  <c r="BC263" i="2"/>
  <c r="BC264" i="2"/>
  <c r="BC265" i="2"/>
  <c r="BC266" i="2"/>
  <c r="BC267" i="2"/>
  <c r="BC268" i="2"/>
  <c r="BC269" i="2"/>
  <c r="BC270" i="2"/>
  <c r="BC271" i="2"/>
  <c r="BC272" i="2"/>
  <c r="BC273" i="2"/>
  <c r="BC274" i="2"/>
  <c r="BC275" i="2"/>
  <c r="BC276" i="2"/>
  <c r="BC277" i="2"/>
  <c r="BC278" i="2"/>
  <c r="BC279" i="2"/>
  <c r="BC280" i="2"/>
  <c r="BC281" i="2"/>
  <c r="BC282" i="2"/>
  <c r="BC283" i="2"/>
  <c r="BC284" i="2"/>
  <c r="BC285" i="2"/>
  <c r="BC286" i="2"/>
  <c r="BC287" i="2"/>
  <c r="BC288" i="2"/>
  <c r="BC289" i="2"/>
  <c r="BC290" i="2"/>
  <c r="BC291" i="2"/>
  <c r="BC292" i="2"/>
  <c r="BC293" i="2"/>
  <c r="BC294" i="2"/>
  <c r="BC295" i="2"/>
  <c r="BC296" i="2"/>
  <c r="BC297" i="2"/>
  <c r="BC298" i="2"/>
  <c r="BC299" i="2"/>
  <c r="BC300" i="2"/>
  <c r="BC301" i="2"/>
  <c r="BC302" i="2"/>
  <c r="BC303" i="2"/>
  <c r="BC304" i="2"/>
  <c r="BC305" i="2"/>
  <c r="BC306" i="2"/>
  <c r="BC307" i="2"/>
  <c r="BC308" i="2"/>
  <c r="BC309" i="2"/>
  <c r="BC310" i="2"/>
  <c r="BC311" i="2"/>
  <c r="BC312" i="2"/>
  <c r="M81" i="1"/>
  <c r="BF5" i="2"/>
  <c r="BB2" i="2"/>
  <c r="BB3" i="2"/>
  <c r="BB4" i="2"/>
  <c r="BB5" i="2"/>
  <c r="BB6" i="2"/>
  <c r="BB7" i="2"/>
  <c r="BB8" i="2"/>
  <c r="BB9" i="2"/>
  <c r="BB10" i="2"/>
  <c r="BB11" i="2"/>
  <c r="BB12" i="2"/>
  <c r="BB13" i="2"/>
  <c r="BB14" i="2"/>
  <c r="BB15" i="2"/>
  <c r="BB16" i="2"/>
  <c r="BB17" i="2"/>
  <c r="BB18" i="2"/>
  <c r="BB19" i="2"/>
  <c r="BB20" i="2"/>
  <c r="BB21" i="2"/>
  <c r="BB22" i="2"/>
  <c r="BB23" i="2"/>
  <c r="BB24" i="2"/>
  <c r="BB25" i="2"/>
  <c r="BB26" i="2"/>
  <c r="BB27" i="2"/>
  <c r="BB28" i="2"/>
  <c r="BB29" i="2"/>
  <c r="BB30" i="2"/>
  <c r="BB31" i="2"/>
  <c r="BB32" i="2"/>
  <c r="BB33" i="2"/>
  <c r="BB34" i="2"/>
  <c r="BB35" i="2"/>
  <c r="BB36" i="2"/>
  <c r="BB37" i="2"/>
  <c r="BB38" i="2"/>
  <c r="BB39" i="2"/>
  <c r="BB40" i="2"/>
  <c r="BB41" i="2"/>
  <c r="BB42" i="2"/>
  <c r="BB43" i="2"/>
  <c r="BB44" i="2"/>
  <c r="BB45" i="2"/>
  <c r="BB46" i="2"/>
  <c r="BB47" i="2"/>
  <c r="BB48" i="2"/>
  <c r="BB49" i="2"/>
  <c r="BB50" i="2"/>
  <c r="BB51" i="2"/>
  <c r="BB52" i="2"/>
  <c r="BB53" i="2"/>
  <c r="BB54" i="2"/>
  <c r="BB55" i="2"/>
  <c r="BB56" i="2"/>
  <c r="BB57" i="2"/>
  <c r="BB58" i="2"/>
  <c r="BB59" i="2"/>
  <c r="BB60" i="2"/>
  <c r="BB61" i="2"/>
  <c r="BB62" i="2"/>
  <c r="BB63" i="2"/>
  <c r="BB64" i="2"/>
  <c r="BB65" i="2"/>
  <c r="BB66" i="2"/>
  <c r="BB67" i="2"/>
  <c r="BB68" i="2"/>
  <c r="BB69" i="2"/>
  <c r="BB70" i="2"/>
  <c r="BB71" i="2"/>
  <c r="BB72" i="2"/>
  <c r="BB73" i="2"/>
  <c r="BB74" i="2"/>
  <c r="BB75" i="2"/>
  <c r="BB76" i="2"/>
  <c r="BB77" i="2"/>
  <c r="BB78" i="2"/>
  <c r="BB79" i="2"/>
  <c r="BB80" i="2"/>
  <c r="BB81" i="2"/>
  <c r="BB82" i="2"/>
  <c r="BB83" i="2"/>
  <c r="BB84" i="2"/>
  <c r="BB85" i="2"/>
  <c r="BB86" i="2"/>
  <c r="BB87" i="2"/>
  <c r="BB88" i="2"/>
  <c r="BB89" i="2"/>
  <c r="BB90" i="2"/>
  <c r="BB91" i="2"/>
  <c r="BB92" i="2"/>
  <c r="BB93" i="2"/>
  <c r="BB94" i="2"/>
  <c r="BB95" i="2"/>
  <c r="BB96" i="2"/>
  <c r="BB97" i="2"/>
  <c r="BB98" i="2"/>
  <c r="BB99" i="2"/>
  <c r="BB100" i="2"/>
  <c r="BB101" i="2"/>
  <c r="BB102" i="2"/>
  <c r="BB103" i="2"/>
  <c r="BB104" i="2"/>
  <c r="BB105" i="2"/>
  <c r="BB106" i="2"/>
  <c r="BB107" i="2"/>
  <c r="BB108" i="2"/>
  <c r="BB109" i="2"/>
  <c r="BB110" i="2"/>
  <c r="BB111" i="2"/>
  <c r="BB112" i="2"/>
  <c r="BB113" i="2"/>
  <c r="BB114" i="2"/>
  <c r="BB115" i="2"/>
  <c r="BB116" i="2"/>
  <c r="BB117" i="2"/>
  <c r="BB118" i="2"/>
  <c r="BB119" i="2"/>
  <c r="BB120" i="2"/>
  <c r="BB121" i="2"/>
  <c r="BB122" i="2"/>
  <c r="BB123" i="2"/>
  <c r="BB124" i="2"/>
  <c r="BB125" i="2"/>
  <c r="BB126" i="2"/>
  <c r="BB127" i="2"/>
  <c r="BB128" i="2"/>
  <c r="BB129" i="2"/>
  <c r="BB130" i="2"/>
  <c r="BB131" i="2"/>
  <c r="BB132" i="2"/>
  <c r="BB133" i="2"/>
  <c r="BB134" i="2"/>
  <c r="BB135" i="2"/>
  <c r="BB136" i="2"/>
  <c r="BB137" i="2"/>
  <c r="BB138" i="2"/>
  <c r="BB139" i="2"/>
  <c r="BB140" i="2"/>
  <c r="BB141" i="2"/>
  <c r="BB142" i="2"/>
  <c r="BB143" i="2"/>
  <c r="BB144" i="2"/>
  <c r="BB145" i="2"/>
  <c r="BB146" i="2"/>
  <c r="BB147" i="2"/>
  <c r="BB148" i="2"/>
  <c r="BB149" i="2"/>
  <c r="BB150" i="2"/>
  <c r="BB151" i="2"/>
  <c r="BB152" i="2"/>
  <c r="BB153" i="2"/>
  <c r="BB154" i="2"/>
  <c r="BB155" i="2"/>
  <c r="BB156" i="2"/>
  <c r="BB157" i="2"/>
  <c r="BB158" i="2"/>
  <c r="BB159" i="2"/>
  <c r="BB160" i="2"/>
  <c r="BB161" i="2"/>
  <c r="BB162" i="2"/>
  <c r="BB163" i="2"/>
  <c r="BB164" i="2"/>
  <c r="BB165" i="2"/>
  <c r="BB166" i="2"/>
  <c r="BB167" i="2"/>
  <c r="BB168" i="2"/>
  <c r="BB169" i="2"/>
  <c r="BB170" i="2"/>
  <c r="BB171" i="2"/>
  <c r="BB172" i="2"/>
  <c r="BB173" i="2"/>
  <c r="BB174" i="2"/>
  <c r="BB175" i="2"/>
  <c r="BB176" i="2"/>
  <c r="BB177" i="2"/>
  <c r="BB178" i="2"/>
  <c r="BB179" i="2"/>
  <c r="BB180" i="2"/>
  <c r="BB181" i="2"/>
  <c r="BB182" i="2"/>
  <c r="BB183" i="2"/>
  <c r="BB184" i="2"/>
  <c r="BB185" i="2"/>
  <c r="BB186" i="2"/>
  <c r="BB187" i="2"/>
  <c r="BB188" i="2"/>
  <c r="BB189" i="2"/>
  <c r="BB190" i="2"/>
  <c r="BB191" i="2"/>
  <c r="BB192" i="2"/>
  <c r="BB193" i="2"/>
  <c r="BB194" i="2"/>
  <c r="BB195" i="2"/>
  <c r="BB196" i="2"/>
  <c r="BB197" i="2"/>
  <c r="BB198" i="2"/>
  <c r="BB199" i="2"/>
  <c r="BB200" i="2"/>
  <c r="BB201" i="2"/>
  <c r="BB202" i="2"/>
  <c r="BB203" i="2"/>
  <c r="BB204" i="2"/>
  <c r="BB205" i="2"/>
  <c r="BB206" i="2"/>
  <c r="BB207" i="2"/>
  <c r="BB208" i="2"/>
  <c r="BB209" i="2"/>
  <c r="BB210" i="2"/>
  <c r="BB211" i="2"/>
  <c r="BB212" i="2"/>
  <c r="BB213" i="2"/>
  <c r="BB214" i="2"/>
  <c r="BB215" i="2"/>
  <c r="BB216" i="2"/>
  <c r="BB217" i="2"/>
  <c r="BB218" i="2"/>
  <c r="BB219" i="2"/>
  <c r="BB220" i="2"/>
  <c r="BB221" i="2"/>
  <c r="BB222" i="2"/>
  <c r="BB223" i="2"/>
  <c r="BB224" i="2"/>
  <c r="BB225" i="2"/>
  <c r="BB226" i="2"/>
  <c r="BB227" i="2"/>
  <c r="BB228" i="2"/>
  <c r="BB229" i="2"/>
  <c r="BB230" i="2"/>
  <c r="BB231" i="2"/>
  <c r="BB232" i="2"/>
  <c r="BB233" i="2"/>
  <c r="BB234" i="2"/>
  <c r="BB235" i="2"/>
  <c r="BB236" i="2"/>
  <c r="BB237" i="2"/>
  <c r="BB238" i="2"/>
  <c r="BB239" i="2"/>
  <c r="BB240" i="2"/>
  <c r="BB241" i="2"/>
  <c r="BB242" i="2"/>
  <c r="BB243" i="2"/>
  <c r="BB244" i="2"/>
  <c r="BB245" i="2"/>
  <c r="BB246" i="2"/>
  <c r="BB247" i="2"/>
  <c r="BB248" i="2"/>
  <c r="BB249" i="2"/>
  <c r="BB250" i="2"/>
  <c r="BB251" i="2"/>
  <c r="BB252" i="2"/>
  <c r="BB253" i="2"/>
  <c r="BB254" i="2"/>
  <c r="BB255" i="2"/>
  <c r="BB256" i="2"/>
  <c r="BB257" i="2"/>
  <c r="BB258" i="2"/>
  <c r="BB259" i="2"/>
  <c r="BB260" i="2"/>
  <c r="BB261" i="2"/>
  <c r="BB262" i="2"/>
  <c r="BB263" i="2"/>
  <c r="BB264" i="2"/>
  <c r="BB265" i="2"/>
  <c r="BB266" i="2"/>
  <c r="BB267" i="2"/>
  <c r="BB268" i="2"/>
  <c r="BB269" i="2"/>
  <c r="BB270" i="2"/>
  <c r="BB271" i="2"/>
  <c r="BB272" i="2"/>
  <c r="BB273" i="2"/>
  <c r="BB274" i="2"/>
  <c r="BB275" i="2"/>
  <c r="BB276" i="2"/>
  <c r="BB277" i="2"/>
  <c r="BB278" i="2"/>
  <c r="BB279" i="2"/>
  <c r="BB280" i="2"/>
  <c r="BB281" i="2"/>
  <c r="BB282" i="2"/>
  <c r="BB283" i="2"/>
  <c r="BB284" i="2"/>
  <c r="BB285" i="2"/>
  <c r="BB286" i="2"/>
  <c r="BB287" i="2"/>
  <c r="BB288" i="2"/>
  <c r="BB289" i="2"/>
  <c r="BB290" i="2"/>
  <c r="BB291" i="2"/>
  <c r="BB292" i="2"/>
  <c r="BB293" i="2"/>
  <c r="BB294" i="2"/>
  <c r="BB295" i="2"/>
  <c r="BB296" i="2"/>
  <c r="BB297" i="2"/>
  <c r="BB298" i="2"/>
  <c r="BB299" i="2"/>
  <c r="BB300" i="2"/>
  <c r="BB301" i="2"/>
  <c r="BB302" i="2"/>
  <c r="BB303" i="2"/>
  <c r="BB304" i="2"/>
  <c r="BB305" i="2"/>
  <c r="BB306" i="2"/>
  <c r="BB307" i="2"/>
  <c r="BB308" i="2"/>
  <c r="BB309" i="2"/>
  <c r="BB310" i="2"/>
  <c r="BB311" i="2"/>
  <c r="BB312" i="2"/>
  <c r="BA2" i="2"/>
  <c r="BA3" i="2"/>
  <c r="BA4" i="2"/>
  <c r="BA5" i="2"/>
  <c r="BA6" i="2"/>
  <c r="BA7" i="2"/>
  <c r="BA8" i="2"/>
  <c r="BA9" i="2"/>
  <c r="BA10" i="2"/>
  <c r="BA11" i="2"/>
  <c r="BA12" i="2"/>
  <c r="BA13" i="2"/>
  <c r="BA14" i="2"/>
  <c r="BA15" i="2"/>
  <c r="BA16" i="2"/>
  <c r="BA17" i="2"/>
  <c r="BA18" i="2"/>
  <c r="BA19" i="2"/>
  <c r="BA20" i="2"/>
  <c r="BA21" i="2"/>
  <c r="BA22" i="2"/>
  <c r="BA23" i="2"/>
  <c r="BA24" i="2"/>
  <c r="BA25" i="2"/>
  <c r="BA26" i="2"/>
  <c r="BA27" i="2"/>
  <c r="BA28" i="2"/>
  <c r="BA29" i="2"/>
  <c r="BA30" i="2"/>
  <c r="BA31" i="2"/>
  <c r="BA32" i="2"/>
  <c r="BA33" i="2"/>
  <c r="BA34" i="2"/>
  <c r="BA35" i="2"/>
  <c r="BA36" i="2"/>
  <c r="BA37" i="2"/>
  <c r="BA38" i="2"/>
  <c r="BA39" i="2"/>
  <c r="BA40" i="2"/>
  <c r="BA41" i="2"/>
  <c r="BA42" i="2"/>
  <c r="BA43" i="2"/>
  <c r="BA44" i="2"/>
  <c r="BA45" i="2"/>
  <c r="BA46" i="2"/>
  <c r="BA47" i="2"/>
  <c r="BA48" i="2"/>
  <c r="BA49" i="2"/>
  <c r="BA50" i="2"/>
  <c r="BA51" i="2"/>
  <c r="BA52" i="2"/>
  <c r="BA53" i="2"/>
  <c r="BA54" i="2"/>
  <c r="BA55" i="2"/>
  <c r="BA56" i="2"/>
  <c r="BA57" i="2"/>
  <c r="BA58" i="2"/>
  <c r="BA59" i="2"/>
  <c r="BA60" i="2"/>
  <c r="BA61" i="2"/>
  <c r="BA62" i="2"/>
  <c r="BA63" i="2"/>
  <c r="BA64" i="2"/>
  <c r="BA65" i="2"/>
  <c r="BA66" i="2"/>
  <c r="BA67" i="2"/>
  <c r="BA68" i="2"/>
  <c r="BA69" i="2"/>
  <c r="BA70" i="2"/>
  <c r="BA71" i="2"/>
  <c r="BA72" i="2"/>
  <c r="BA73" i="2"/>
  <c r="BA74" i="2"/>
  <c r="BA75" i="2"/>
  <c r="BA76" i="2"/>
  <c r="BA77" i="2"/>
  <c r="BA78" i="2"/>
  <c r="BA79" i="2"/>
  <c r="BA80" i="2"/>
  <c r="BA81" i="2"/>
  <c r="BA82" i="2"/>
  <c r="BA83" i="2"/>
  <c r="BA84" i="2"/>
  <c r="BA85" i="2"/>
  <c r="BA86" i="2"/>
  <c r="BA87" i="2"/>
  <c r="BA88" i="2"/>
  <c r="BA89" i="2"/>
  <c r="BA90" i="2"/>
  <c r="BA91" i="2"/>
  <c r="BA92" i="2"/>
  <c r="BA93" i="2"/>
  <c r="BA94" i="2"/>
  <c r="BA95" i="2"/>
  <c r="BA96" i="2"/>
  <c r="BA97" i="2"/>
  <c r="BA98" i="2"/>
  <c r="BA99" i="2"/>
  <c r="BA100" i="2"/>
  <c r="BA101" i="2"/>
  <c r="BA102" i="2"/>
  <c r="BA103" i="2"/>
  <c r="BA104" i="2"/>
  <c r="BA105" i="2"/>
  <c r="BA106" i="2"/>
  <c r="BA107" i="2"/>
  <c r="BA108" i="2"/>
  <c r="BA109" i="2"/>
  <c r="BA110" i="2"/>
  <c r="BA111" i="2"/>
  <c r="BA112" i="2"/>
  <c r="BA113" i="2"/>
  <c r="BA114" i="2"/>
  <c r="BA115" i="2"/>
  <c r="BA116" i="2"/>
  <c r="BA117" i="2"/>
  <c r="BA118" i="2"/>
  <c r="BA119" i="2"/>
  <c r="BA120" i="2"/>
  <c r="BA121" i="2"/>
  <c r="BA122" i="2"/>
  <c r="BA123" i="2"/>
  <c r="BA124" i="2"/>
  <c r="BA125" i="2"/>
  <c r="BA126" i="2"/>
  <c r="BA127" i="2"/>
  <c r="BA128" i="2"/>
  <c r="BA129" i="2"/>
  <c r="BA130" i="2"/>
  <c r="BA131" i="2"/>
  <c r="BA132" i="2"/>
  <c r="BA133" i="2"/>
  <c r="BA134" i="2"/>
  <c r="BA135" i="2"/>
  <c r="BA136" i="2"/>
  <c r="BA137" i="2"/>
  <c r="BA138" i="2"/>
  <c r="BA139" i="2"/>
  <c r="BA140" i="2"/>
  <c r="BA141" i="2"/>
  <c r="BA142" i="2"/>
  <c r="BA143" i="2"/>
  <c r="BA144" i="2"/>
  <c r="BA145" i="2"/>
  <c r="BA146" i="2"/>
  <c r="BA147" i="2"/>
  <c r="BA148" i="2"/>
  <c r="BA149" i="2"/>
  <c r="BA150" i="2"/>
  <c r="BA151" i="2"/>
  <c r="BA152" i="2"/>
  <c r="BA153" i="2"/>
  <c r="BA154" i="2"/>
  <c r="BA155" i="2"/>
  <c r="BA156" i="2"/>
  <c r="BA157" i="2"/>
  <c r="BA158" i="2"/>
  <c r="BA159" i="2"/>
  <c r="BA160" i="2"/>
  <c r="BA161" i="2"/>
  <c r="BA162" i="2"/>
  <c r="BA163" i="2"/>
  <c r="BA164" i="2"/>
  <c r="BA165" i="2"/>
  <c r="BA166" i="2"/>
  <c r="BA167" i="2"/>
  <c r="BA168" i="2"/>
  <c r="BA169" i="2"/>
  <c r="BA170" i="2"/>
  <c r="BA171" i="2"/>
  <c r="BA172" i="2"/>
  <c r="BA173" i="2"/>
  <c r="BA174" i="2"/>
  <c r="BA175" i="2"/>
  <c r="BA176" i="2"/>
  <c r="BA177" i="2"/>
  <c r="BA178" i="2"/>
  <c r="BA179" i="2"/>
  <c r="BA180" i="2"/>
  <c r="BA181" i="2"/>
  <c r="BA182" i="2"/>
  <c r="BA183" i="2"/>
  <c r="BA184" i="2"/>
  <c r="BA185" i="2"/>
  <c r="BA186" i="2"/>
  <c r="BA187" i="2"/>
  <c r="BA188" i="2"/>
  <c r="BA189" i="2"/>
  <c r="BA190" i="2"/>
  <c r="BA191" i="2"/>
  <c r="BA192" i="2"/>
  <c r="BA193" i="2"/>
  <c r="BA194" i="2"/>
  <c r="BA195" i="2"/>
  <c r="BA196" i="2"/>
  <c r="BA197" i="2"/>
  <c r="BA198" i="2"/>
  <c r="BA199" i="2"/>
  <c r="BA200" i="2"/>
  <c r="BA201" i="2"/>
  <c r="BA202" i="2"/>
  <c r="BA203" i="2"/>
  <c r="BA204" i="2"/>
  <c r="BA205" i="2"/>
  <c r="BA206" i="2"/>
  <c r="BA207" i="2"/>
  <c r="BA208" i="2"/>
  <c r="BA209" i="2"/>
  <c r="BA210" i="2"/>
  <c r="BA211" i="2"/>
  <c r="BA212" i="2"/>
  <c r="BA213" i="2"/>
  <c r="BA214" i="2"/>
  <c r="BA215" i="2"/>
  <c r="BA216" i="2"/>
  <c r="BA217" i="2"/>
  <c r="BA218" i="2"/>
  <c r="BA219" i="2"/>
  <c r="BA220" i="2"/>
  <c r="BA221" i="2"/>
  <c r="BA222" i="2"/>
  <c r="BA223" i="2"/>
  <c r="BA224" i="2"/>
  <c r="BA225" i="2"/>
  <c r="BA226" i="2"/>
  <c r="BA227" i="2"/>
  <c r="BA228" i="2"/>
  <c r="BA229" i="2"/>
  <c r="BA230" i="2"/>
  <c r="BA231" i="2"/>
  <c r="BA232" i="2"/>
  <c r="BA233" i="2"/>
  <c r="BA234" i="2"/>
  <c r="BA235" i="2"/>
  <c r="BA236" i="2"/>
  <c r="BA237" i="2"/>
  <c r="BA238" i="2"/>
  <c r="BA239" i="2"/>
  <c r="BA240" i="2"/>
  <c r="BA241" i="2"/>
  <c r="BA242" i="2"/>
  <c r="BA243" i="2"/>
  <c r="BA244" i="2"/>
  <c r="BA245" i="2"/>
  <c r="BA246" i="2"/>
  <c r="BA247" i="2"/>
  <c r="BA248" i="2"/>
  <c r="BA249" i="2"/>
  <c r="BA250" i="2"/>
  <c r="BA251" i="2"/>
  <c r="BA252" i="2"/>
  <c r="BA253" i="2"/>
  <c r="BA254" i="2"/>
  <c r="BA255" i="2"/>
  <c r="BA256" i="2"/>
  <c r="BA257" i="2"/>
  <c r="BA258" i="2"/>
  <c r="BA259" i="2"/>
  <c r="BA260" i="2"/>
  <c r="BA261" i="2"/>
  <c r="BA262" i="2"/>
  <c r="BA263" i="2"/>
  <c r="BA264" i="2"/>
  <c r="BA265" i="2"/>
  <c r="BA266" i="2"/>
  <c r="BA267" i="2"/>
  <c r="BA268" i="2"/>
  <c r="BA269" i="2"/>
  <c r="BA270" i="2"/>
  <c r="BA271" i="2"/>
  <c r="BA272" i="2"/>
  <c r="BA273" i="2"/>
  <c r="BA274" i="2"/>
  <c r="BA275" i="2"/>
  <c r="BA276" i="2"/>
  <c r="BA277" i="2"/>
  <c r="BA278" i="2"/>
  <c r="BA279" i="2"/>
  <c r="BA280" i="2"/>
  <c r="BA281" i="2"/>
  <c r="BA282" i="2"/>
  <c r="BA283" i="2"/>
  <c r="BA284" i="2"/>
  <c r="BA285" i="2"/>
  <c r="BA286" i="2"/>
  <c r="BA287" i="2"/>
  <c r="BA288" i="2"/>
  <c r="BA289" i="2"/>
  <c r="BA290" i="2"/>
  <c r="BA291" i="2"/>
  <c r="BA292" i="2"/>
  <c r="BA293" i="2"/>
  <c r="BA294" i="2"/>
  <c r="BA295" i="2"/>
  <c r="BA296" i="2"/>
  <c r="BA297" i="2"/>
  <c r="BA298" i="2"/>
  <c r="BA299" i="2"/>
  <c r="BA300" i="2"/>
  <c r="BA301" i="2"/>
  <c r="BA302" i="2"/>
  <c r="BA303" i="2"/>
  <c r="BA304" i="2"/>
  <c r="BA305" i="2"/>
  <c r="BA306" i="2"/>
  <c r="BA307" i="2"/>
  <c r="BA308" i="2"/>
  <c r="BA309" i="2"/>
  <c r="BA310" i="2"/>
  <c r="BA311" i="2"/>
  <c r="BA312" i="2"/>
  <c r="BG59" i="2"/>
  <c r="BG55" i="2"/>
  <c r="BG43" i="2"/>
  <c r="BG42" i="2"/>
  <c r="BG37" i="2"/>
  <c r="BG38" i="2"/>
  <c r="BG36" i="2"/>
  <c r="BG35" i="2"/>
  <c r="BG34" i="2"/>
  <c r="BG33" i="2"/>
  <c r="BG30" i="2"/>
  <c r="BG17" i="2"/>
  <c r="BG13" i="2"/>
  <c r="BG15" i="2"/>
  <c r="BI82" i="2"/>
  <c r="BI79" i="2"/>
  <c r="BI77" i="2"/>
  <c r="BI75" i="2"/>
  <c r="AZ3" i="2" a="1"/>
  <c r="AZ3" i="2" s="1"/>
  <c r="AZ4" i="2" a="1"/>
  <c r="AZ4" i="2" s="1"/>
  <c r="AZ5" i="2" a="1"/>
  <c r="AZ5" i="2" s="1"/>
  <c r="AZ6" i="2" a="1"/>
  <c r="AZ6" i="2" s="1"/>
  <c r="AZ7" i="2" a="1"/>
  <c r="AZ7" i="2" s="1"/>
  <c r="AZ8" i="2" a="1"/>
  <c r="AZ8" i="2" s="1"/>
  <c r="AZ9" i="2" a="1"/>
  <c r="AZ9" i="2" s="1"/>
  <c r="AZ10" i="2" a="1"/>
  <c r="AZ10" i="2" s="1"/>
  <c r="AZ11" i="2" a="1"/>
  <c r="AZ11" i="2" s="1"/>
  <c r="AZ12" i="2" a="1"/>
  <c r="AZ12" i="2" s="1"/>
  <c r="AZ13" i="2" a="1"/>
  <c r="AZ13" i="2" s="1"/>
  <c r="AZ14" i="2" a="1"/>
  <c r="AZ14" i="2" s="1"/>
  <c r="AZ15" i="2" a="1"/>
  <c r="AZ15" i="2" s="1"/>
  <c r="AZ16" i="2" a="1"/>
  <c r="AZ16" i="2" s="1"/>
  <c r="AZ17" i="2" a="1"/>
  <c r="AZ17" i="2" s="1"/>
  <c r="AZ18" i="2" a="1"/>
  <c r="AZ18" i="2" s="1"/>
  <c r="AZ19" i="2" a="1"/>
  <c r="AZ19" i="2" s="1"/>
  <c r="AZ20" i="2" a="1"/>
  <c r="AZ20" i="2" s="1"/>
  <c r="AZ21" i="2" a="1"/>
  <c r="AZ21" i="2" s="1"/>
  <c r="AZ22" i="2" a="1"/>
  <c r="AZ22" i="2" s="1"/>
  <c r="AZ23" i="2" a="1"/>
  <c r="AZ23" i="2" s="1"/>
  <c r="AZ24" i="2" a="1"/>
  <c r="AZ24" i="2" s="1"/>
  <c r="AZ25" i="2" a="1"/>
  <c r="AZ25" i="2" s="1"/>
  <c r="AZ26" i="2" a="1"/>
  <c r="AZ26" i="2" s="1"/>
  <c r="AZ27" i="2" a="1"/>
  <c r="AZ27" i="2" s="1"/>
  <c r="AZ28" i="2" a="1"/>
  <c r="AZ28" i="2" s="1"/>
  <c r="AZ29" i="2" a="1"/>
  <c r="AZ29" i="2" s="1"/>
  <c r="AZ30" i="2" a="1"/>
  <c r="AZ30" i="2" s="1"/>
  <c r="AZ31" i="2" a="1"/>
  <c r="AZ31" i="2" s="1"/>
  <c r="AZ32" i="2" a="1"/>
  <c r="AZ32" i="2" s="1"/>
  <c r="AZ33" i="2" a="1"/>
  <c r="AZ33" i="2" s="1"/>
  <c r="AZ34" i="2" a="1"/>
  <c r="AZ34" i="2" s="1"/>
  <c r="AZ35" i="2" a="1"/>
  <c r="AZ35" i="2" s="1"/>
  <c r="AZ36" i="2" a="1"/>
  <c r="AZ36" i="2" s="1"/>
  <c r="AZ37" i="2" a="1"/>
  <c r="AZ37" i="2" s="1"/>
  <c r="AZ38" i="2" a="1"/>
  <c r="AZ38" i="2" s="1"/>
  <c r="AZ39" i="2" a="1"/>
  <c r="AZ39" i="2" s="1"/>
  <c r="AZ40" i="2" a="1"/>
  <c r="AZ40" i="2" s="1"/>
  <c r="AZ41" i="2" a="1"/>
  <c r="AZ41" i="2" s="1"/>
  <c r="AZ42" i="2" a="1"/>
  <c r="AZ42" i="2" s="1"/>
  <c r="AZ43" i="2" a="1"/>
  <c r="AZ43" i="2" s="1"/>
  <c r="AZ44" i="2" a="1"/>
  <c r="AZ44" i="2" s="1"/>
  <c r="AZ45" i="2" a="1"/>
  <c r="AZ45" i="2" s="1"/>
  <c r="AZ46" i="2" a="1"/>
  <c r="AZ46" i="2" s="1"/>
  <c r="AZ47" i="2" a="1"/>
  <c r="AZ47" i="2" s="1"/>
  <c r="AZ48" i="2" a="1"/>
  <c r="AZ48" i="2" s="1"/>
  <c r="AZ49" i="2" a="1"/>
  <c r="AZ49" i="2" s="1"/>
  <c r="AZ50" i="2" a="1"/>
  <c r="AZ50" i="2" s="1"/>
  <c r="AZ51" i="2" a="1"/>
  <c r="AZ51" i="2" s="1"/>
  <c r="AZ52" i="2" a="1"/>
  <c r="AZ52" i="2" s="1"/>
  <c r="AZ53" i="2" a="1"/>
  <c r="AZ53" i="2" s="1"/>
  <c r="AZ54" i="2" a="1"/>
  <c r="AZ54" i="2" s="1"/>
  <c r="AZ55" i="2" a="1"/>
  <c r="AZ55" i="2" s="1"/>
  <c r="AZ56" i="2" a="1"/>
  <c r="AZ56" i="2" s="1"/>
  <c r="AZ57" i="2" a="1"/>
  <c r="AZ57" i="2" s="1"/>
  <c r="AZ58" i="2" a="1"/>
  <c r="AZ58" i="2" s="1"/>
  <c r="AZ59" i="2" a="1"/>
  <c r="AZ59" i="2" s="1"/>
  <c r="AZ60" i="2" a="1"/>
  <c r="AZ60" i="2" s="1"/>
  <c r="AZ61" i="2" a="1"/>
  <c r="AZ61" i="2" s="1"/>
  <c r="AZ62" i="2" a="1"/>
  <c r="AZ62" i="2" s="1"/>
  <c r="AZ63" i="2" a="1"/>
  <c r="AZ63" i="2" s="1"/>
  <c r="AZ64" i="2" a="1"/>
  <c r="AZ64" i="2" s="1"/>
  <c r="AZ65" i="2" a="1"/>
  <c r="AZ65" i="2" s="1"/>
  <c r="AZ66" i="2" a="1"/>
  <c r="AZ66" i="2" s="1"/>
  <c r="AZ67" i="2" a="1"/>
  <c r="AZ67" i="2" s="1"/>
  <c r="AZ68" i="2" a="1"/>
  <c r="AZ68" i="2" s="1"/>
  <c r="AZ69" i="2" a="1"/>
  <c r="AZ69" i="2" s="1"/>
  <c r="AZ70" i="2" a="1"/>
  <c r="AZ70" i="2" s="1"/>
  <c r="AZ71" i="2" a="1"/>
  <c r="AZ71" i="2" s="1"/>
  <c r="AZ72" i="2" a="1"/>
  <c r="AZ72" i="2" s="1"/>
  <c r="AZ73" i="2" a="1"/>
  <c r="AZ73" i="2" s="1"/>
  <c r="AZ74" i="2" a="1"/>
  <c r="AZ74" i="2" s="1"/>
  <c r="AZ75" i="2" a="1"/>
  <c r="AZ75" i="2" s="1"/>
  <c r="AZ76" i="2" a="1"/>
  <c r="AZ76" i="2" s="1"/>
  <c r="AZ77" i="2" a="1"/>
  <c r="AZ77" i="2" s="1"/>
  <c r="AZ78" i="2" a="1"/>
  <c r="AZ78" i="2" s="1"/>
  <c r="AZ79" i="2" a="1"/>
  <c r="AZ79" i="2" s="1"/>
  <c r="AZ80" i="2" a="1"/>
  <c r="AZ80" i="2" s="1"/>
  <c r="AZ81" i="2" a="1"/>
  <c r="AZ81" i="2" s="1"/>
  <c r="AZ82" i="2" a="1"/>
  <c r="AZ82" i="2" s="1"/>
  <c r="AZ83" i="2" a="1"/>
  <c r="AZ83" i="2" s="1"/>
  <c r="AZ84" i="2" a="1"/>
  <c r="AZ84" i="2" s="1"/>
  <c r="AZ85" i="2" a="1"/>
  <c r="AZ85" i="2" s="1"/>
  <c r="AZ86" i="2" a="1"/>
  <c r="AZ86" i="2" s="1"/>
  <c r="AZ87" i="2" a="1"/>
  <c r="AZ87" i="2" s="1"/>
  <c r="AZ88" i="2" a="1"/>
  <c r="AZ88" i="2" s="1"/>
  <c r="AZ89" i="2" a="1"/>
  <c r="AZ89" i="2" s="1"/>
  <c r="AZ90" i="2" a="1"/>
  <c r="AZ90" i="2" s="1"/>
  <c r="AZ91" i="2" a="1"/>
  <c r="AZ91" i="2" s="1"/>
  <c r="AZ92" i="2" a="1"/>
  <c r="AZ92" i="2" s="1"/>
  <c r="AZ93" i="2" a="1"/>
  <c r="AZ93" i="2" s="1"/>
  <c r="AZ94" i="2" a="1"/>
  <c r="AZ94" i="2" s="1"/>
  <c r="AZ95" i="2" a="1"/>
  <c r="AZ95" i="2" s="1"/>
  <c r="AZ96" i="2" a="1"/>
  <c r="AZ96" i="2" s="1"/>
  <c r="AZ97" i="2" a="1"/>
  <c r="AZ97" i="2" s="1"/>
  <c r="AZ98" i="2" a="1"/>
  <c r="AZ98" i="2" s="1"/>
  <c r="AZ99" i="2" a="1"/>
  <c r="AZ99" i="2" s="1"/>
  <c r="AZ100" i="2" a="1"/>
  <c r="AZ100" i="2" s="1"/>
  <c r="AZ101" i="2" a="1"/>
  <c r="AZ101" i="2" s="1"/>
  <c r="AZ102" i="2" a="1"/>
  <c r="AZ102" i="2" s="1"/>
  <c r="AZ103" i="2" a="1"/>
  <c r="AZ103" i="2" s="1"/>
  <c r="AZ104" i="2" a="1"/>
  <c r="AZ104" i="2" s="1"/>
  <c r="AZ105" i="2" a="1"/>
  <c r="AZ105" i="2" s="1"/>
  <c r="AZ106" i="2" a="1"/>
  <c r="AZ106" i="2" s="1"/>
  <c r="AZ107" i="2" a="1"/>
  <c r="AZ107" i="2" s="1"/>
  <c r="AZ108" i="2" a="1"/>
  <c r="AZ108" i="2" s="1"/>
  <c r="AZ109" i="2" a="1"/>
  <c r="AZ109" i="2" s="1"/>
  <c r="AZ110" i="2" a="1"/>
  <c r="AZ110" i="2" s="1"/>
  <c r="AZ111" i="2" a="1"/>
  <c r="AZ111" i="2" s="1"/>
  <c r="AZ112" i="2" a="1"/>
  <c r="AZ112" i="2" s="1"/>
  <c r="AZ113" i="2" a="1"/>
  <c r="AZ113" i="2" s="1"/>
  <c r="AZ114" i="2" a="1"/>
  <c r="AZ114" i="2" s="1"/>
  <c r="AZ115" i="2" a="1"/>
  <c r="AZ115" i="2" s="1"/>
  <c r="AZ116" i="2" a="1"/>
  <c r="AZ116" i="2" s="1"/>
  <c r="AZ117" i="2" a="1"/>
  <c r="AZ117" i="2" s="1"/>
  <c r="AZ118" i="2" a="1"/>
  <c r="AZ118" i="2" s="1"/>
  <c r="AZ119" i="2" a="1"/>
  <c r="AZ119" i="2" s="1"/>
  <c r="AZ120" i="2" a="1"/>
  <c r="AZ120" i="2" s="1"/>
  <c r="AZ121" i="2" a="1"/>
  <c r="AZ121" i="2" s="1"/>
  <c r="AZ122" i="2" a="1"/>
  <c r="AZ122" i="2" s="1"/>
  <c r="AZ123" i="2" a="1"/>
  <c r="AZ123" i="2" s="1"/>
  <c r="AZ124" i="2" a="1"/>
  <c r="AZ124" i="2" s="1"/>
  <c r="AZ125" i="2" a="1"/>
  <c r="AZ125" i="2" s="1"/>
  <c r="AZ126" i="2" a="1"/>
  <c r="AZ126" i="2" s="1"/>
  <c r="AZ127" i="2" a="1"/>
  <c r="AZ127" i="2" s="1"/>
  <c r="AZ128" i="2" a="1"/>
  <c r="AZ128" i="2" s="1"/>
  <c r="AZ129" i="2" a="1"/>
  <c r="AZ129" i="2" s="1"/>
  <c r="AZ130" i="2" a="1"/>
  <c r="AZ130" i="2" s="1"/>
  <c r="AZ131" i="2" a="1"/>
  <c r="AZ131" i="2" s="1"/>
  <c r="AZ132" i="2" a="1"/>
  <c r="AZ132" i="2" s="1"/>
  <c r="AZ133" i="2" a="1"/>
  <c r="AZ133" i="2" s="1"/>
  <c r="AZ134" i="2" a="1"/>
  <c r="AZ134" i="2" s="1"/>
  <c r="AZ135" i="2" a="1"/>
  <c r="AZ135" i="2" s="1"/>
  <c r="AZ136" i="2" a="1"/>
  <c r="AZ136" i="2" s="1"/>
  <c r="AZ137" i="2" a="1"/>
  <c r="AZ137" i="2" s="1"/>
  <c r="AZ138" i="2" a="1"/>
  <c r="AZ138" i="2" s="1"/>
  <c r="AZ139" i="2" a="1"/>
  <c r="AZ139" i="2" s="1"/>
  <c r="AZ140" i="2" a="1"/>
  <c r="AZ140" i="2" s="1"/>
  <c r="AZ141" i="2" a="1"/>
  <c r="AZ141" i="2" s="1"/>
  <c r="AZ142" i="2" a="1"/>
  <c r="AZ142" i="2" s="1"/>
  <c r="AZ143" i="2" a="1"/>
  <c r="AZ143" i="2" s="1"/>
  <c r="AZ144" i="2" a="1"/>
  <c r="AZ144" i="2" s="1"/>
  <c r="AZ145" i="2" a="1"/>
  <c r="AZ145" i="2" s="1"/>
  <c r="AZ146" i="2" a="1"/>
  <c r="AZ146" i="2" s="1"/>
  <c r="AZ147" i="2" a="1"/>
  <c r="AZ147" i="2" s="1"/>
  <c r="AZ148" i="2" a="1"/>
  <c r="AZ148" i="2" s="1"/>
  <c r="AZ149" i="2" a="1"/>
  <c r="AZ149" i="2" s="1"/>
  <c r="AZ150" i="2" a="1"/>
  <c r="AZ150" i="2" s="1"/>
  <c r="AZ151" i="2" a="1"/>
  <c r="AZ151" i="2" s="1"/>
  <c r="AZ152" i="2" a="1"/>
  <c r="AZ152" i="2" s="1"/>
  <c r="AZ153" i="2" a="1"/>
  <c r="AZ153" i="2" s="1"/>
  <c r="AZ154" i="2" a="1"/>
  <c r="AZ154" i="2" s="1"/>
  <c r="AZ155" i="2" a="1"/>
  <c r="AZ155" i="2" s="1"/>
  <c r="AZ156" i="2" a="1"/>
  <c r="AZ156" i="2" s="1"/>
  <c r="AZ157" i="2" a="1"/>
  <c r="AZ157" i="2" s="1"/>
  <c r="AZ158" i="2" a="1"/>
  <c r="AZ158" i="2" s="1"/>
  <c r="AZ159" i="2" a="1"/>
  <c r="AZ159" i="2" s="1"/>
  <c r="AZ160" i="2" a="1"/>
  <c r="AZ160" i="2" s="1"/>
  <c r="AZ161" i="2" a="1"/>
  <c r="AZ161" i="2" s="1"/>
  <c r="AZ162" i="2" a="1"/>
  <c r="AZ162" i="2" s="1"/>
  <c r="AZ163" i="2" a="1"/>
  <c r="AZ163" i="2" s="1"/>
  <c r="AZ164" i="2" a="1"/>
  <c r="AZ164" i="2" s="1"/>
  <c r="AZ165" i="2" a="1"/>
  <c r="AZ165" i="2" s="1"/>
  <c r="AZ166" i="2" a="1"/>
  <c r="AZ166" i="2" s="1"/>
  <c r="AZ167" i="2" a="1"/>
  <c r="AZ167" i="2" s="1"/>
  <c r="AZ168" i="2" a="1"/>
  <c r="AZ168" i="2" s="1"/>
  <c r="AZ169" i="2" a="1"/>
  <c r="AZ169" i="2" s="1"/>
  <c r="AZ170" i="2" a="1"/>
  <c r="AZ170" i="2" s="1"/>
  <c r="AZ171" i="2" a="1"/>
  <c r="AZ171" i="2" s="1"/>
  <c r="AZ172" i="2" a="1"/>
  <c r="AZ172" i="2" s="1"/>
  <c r="AZ173" i="2" a="1"/>
  <c r="AZ173" i="2" s="1"/>
  <c r="AZ174" i="2" a="1"/>
  <c r="AZ174" i="2" s="1"/>
  <c r="AZ175" i="2" a="1"/>
  <c r="AZ175" i="2" s="1"/>
  <c r="AZ176" i="2" a="1"/>
  <c r="AZ176" i="2" s="1"/>
  <c r="AZ177" i="2" a="1"/>
  <c r="AZ177" i="2" s="1"/>
  <c r="AZ178" i="2" a="1"/>
  <c r="AZ178" i="2" s="1"/>
  <c r="AZ179" i="2" a="1"/>
  <c r="AZ179" i="2" s="1"/>
  <c r="AZ180" i="2" a="1"/>
  <c r="AZ180" i="2" s="1"/>
  <c r="AZ181" i="2" a="1"/>
  <c r="AZ181" i="2" s="1"/>
  <c r="AZ182" i="2" a="1"/>
  <c r="AZ182" i="2" s="1"/>
  <c r="AZ183" i="2" a="1"/>
  <c r="AZ183" i="2" s="1"/>
  <c r="AZ184" i="2" a="1"/>
  <c r="AZ184" i="2" s="1"/>
  <c r="AZ185" i="2" a="1"/>
  <c r="AZ185" i="2" s="1"/>
  <c r="AZ186" i="2" a="1"/>
  <c r="AZ186" i="2" s="1"/>
  <c r="AZ187" i="2" a="1"/>
  <c r="AZ187" i="2" s="1"/>
  <c r="AZ188" i="2" a="1"/>
  <c r="AZ188" i="2" s="1"/>
  <c r="AZ189" i="2" a="1"/>
  <c r="AZ189" i="2" s="1"/>
  <c r="AZ190" i="2" a="1"/>
  <c r="AZ190" i="2" s="1"/>
  <c r="AZ191" i="2" a="1"/>
  <c r="AZ191" i="2" s="1"/>
  <c r="AZ192" i="2" a="1"/>
  <c r="AZ192" i="2" s="1"/>
  <c r="AZ193" i="2" a="1"/>
  <c r="AZ193" i="2" s="1"/>
  <c r="AZ194" i="2" a="1"/>
  <c r="AZ194" i="2" s="1"/>
  <c r="AZ195" i="2" a="1"/>
  <c r="AZ195" i="2" s="1"/>
  <c r="AZ196" i="2" a="1"/>
  <c r="AZ196" i="2" s="1"/>
  <c r="AZ197" i="2" a="1"/>
  <c r="AZ197" i="2" s="1"/>
  <c r="AZ198" i="2" a="1"/>
  <c r="AZ198" i="2" s="1"/>
  <c r="AZ199" i="2" a="1"/>
  <c r="AZ199" i="2" s="1"/>
  <c r="AZ200" i="2" a="1"/>
  <c r="AZ200" i="2" s="1"/>
  <c r="AZ201" i="2" a="1"/>
  <c r="AZ201" i="2" s="1"/>
  <c r="AZ202" i="2" a="1"/>
  <c r="AZ202" i="2" s="1"/>
  <c r="AZ203" i="2" a="1"/>
  <c r="AZ203" i="2" s="1"/>
  <c r="AZ204" i="2" a="1"/>
  <c r="AZ204" i="2" s="1"/>
  <c r="AZ205" i="2" a="1"/>
  <c r="AZ205" i="2" s="1"/>
  <c r="AZ206" i="2" a="1"/>
  <c r="AZ206" i="2" s="1"/>
  <c r="AZ207" i="2" a="1"/>
  <c r="AZ207" i="2" s="1"/>
  <c r="AZ208" i="2" a="1"/>
  <c r="AZ208" i="2" s="1"/>
  <c r="AZ209" i="2" a="1"/>
  <c r="AZ209" i="2" s="1"/>
  <c r="AZ210" i="2" a="1"/>
  <c r="AZ210" i="2" s="1"/>
  <c r="AZ211" i="2" a="1"/>
  <c r="AZ211" i="2" s="1"/>
  <c r="AZ212" i="2" a="1"/>
  <c r="AZ212" i="2" s="1"/>
  <c r="AZ213" i="2" a="1"/>
  <c r="AZ213" i="2" s="1"/>
  <c r="AZ214" i="2" a="1"/>
  <c r="AZ214" i="2" s="1"/>
  <c r="AZ215" i="2" a="1"/>
  <c r="AZ215" i="2" s="1"/>
  <c r="AZ216" i="2" a="1"/>
  <c r="AZ216" i="2" s="1"/>
  <c r="AZ217" i="2" a="1"/>
  <c r="AZ217" i="2" s="1"/>
  <c r="AZ218" i="2" a="1"/>
  <c r="AZ218" i="2" s="1"/>
  <c r="AZ219" i="2" a="1"/>
  <c r="AZ219" i="2" s="1"/>
  <c r="AZ220" i="2" a="1"/>
  <c r="AZ220" i="2" s="1"/>
  <c r="AZ221" i="2" a="1"/>
  <c r="AZ221" i="2" s="1"/>
  <c r="AZ222" i="2" a="1"/>
  <c r="AZ222" i="2" s="1"/>
  <c r="AZ223" i="2" a="1"/>
  <c r="AZ223" i="2" s="1"/>
  <c r="AZ224" i="2" a="1"/>
  <c r="AZ224" i="2" s="1"/>
  <c r="AZ225" i="2" a="1"/>
  <c r="AZ225" i="2" s="1"/>
  <c r="AZ226" i="2" a="1"/>
  <c r="AZ226" i="2" s="1"/>
  <c r="AZ227" i="2" a="1"/>
  <c r="AZ227" i="2" s="1"/>
  <c r="AZ228" i="2" a="1"/>
  <c r="AZ228" i="2" s="1"/>
  <c r="AZ229" i="2" a="1"/>
  <c r="AZ229" i="2" s="1"/>
  <c r="AZ230" i="2" a="1"/>
  <c r="AZ230" i="2" s="1"/>
  <c r="AZ231" i="2" a="1"/>
  <c r="AZ231" i="2" s="1"/>
  <c r="AZ232" i="2" a="1"/>
  <c r="AZ232" i="2" s="1"/>
  <c r="AZ233" i="2" a="1"/>
  <c r="AZ233" i="2" s="1"/>
  <c r="AZ234" i="2" a="1"/>
  <c r="AZ234" i="2" s="1"/>
  <c r="AZ235" i="2" a="1"/>
  <c r="AZ235" i="2" s="1"/>
  <c r="AZ236" i="2" a="1"/>
  <c r="AZ236" i="2" s="1"/>
  <c r="AZ237" i="2" a="1"/>
  <c r="AZ237" i="2" s="1"/>
  <c r="AZ238" i="2" a="1"/>
  <c r="AZ238" i="2" s="1"/>
  <c r="AZ239" i="2" a="1"/>
  <c r="AZ239" i="2" s="1"/>
  <c r="AZ240" i="2" a="1"/>
  <c r="AZ240" i="2" s="1"/>
  <c r="AZ241" i="2" a="1"/>
  <c r="AZ241" i="2" s="1"/>
  <c r="AZ242" i="2" a="1"/>
  <c r="AZ242" i="2" s="1"/>
  <c r="AZ243" i="2" a="1"/>
  <c r="AZ243" i="2" s="1"/>
  <c r="AZ244" i="2" a="1"/>
  <c r="AZ244" i="2" s="1"/>
  <c r="AZ245" i="2" a="1"/>
  <c r="AZ245" i="2" s="1"/>
  <c r="AZ246" i="2" a="1"/>
  <c r="AZ246" i="2" s="1"/>
  <c r="AZ247" i="2" a="1"/>
  <c r="AZ247" i="2" s="1"/>
  <c r="AZ248" i="2" a="1"/>
  <c r="AZ248" i="2" s="1"/>
  <c r="AZ249" i="2" a="1"/>
  <c r="AZ249" i="2" s="1"/>
  <c r="AZ250" i="2" a="1"/>
  <c r="AZ250" i="2" s="1"/>
  <c r="AZ251" i="2" a="1"/>
  <c r="AZ251" i="2" s="1"/>
  <c r="AZ252" i="2" a="1"/>
  <c r="AZ252" i="2" s="1"/>
  <c r="AZ253" i="2" a="1"/>
  <c r="AZ253" i="2" s="1"/>
  <c r="AZ254" i="2" a="1"/>
  <c r="AZ254" i="2" s="1"/>
  <c r="AZ255" i="2" a="1"/>
  <c r="AZ255" i="2" s="1"/>
  <c r="AZ256" i="2" a="1"/>
  <c r="AZ256" i="2" s="1"/>
  <c r="AZ257" i="2" a="1"/>
  <c r="AZ257" i="2" s="1"/>
  <c r="AZ258" i="2" a="1"/>
  <c r="AZ258" i="2" s="1"/>
  <c r="AZ259" i="2" a="1"/>
  <c r="AZ259" i="2" s="1"/>
  <c r="AZ260" i="2" a="1"/>
  <c r="AZ260" i="2" s="1"/>
  <c r="AZ261" i="2" a="1"/>
  <c r="AZ261" i="2" s="1"/>
  <c r="AZ262" i="2" a="1"/>
  <c r="AZ262" i="2" s="1"/>
  <c r="AZ263" i="2" a="1"/>
  <c r="AZ263" i="2" s="1"/>
  <c r="AZ264" i="2" a="1"/>
  <c r="AZ264" i="2" s="1"/>
  <c r="AZ265" i="2" a="1"/>
  <c r="AZ265" i="2" s="1"/>
  <c r="AZ266" i="2" a="1"/>
  <c r="AZ266" i="2" s="1"/>
  <c r="AZ267" i="2" a="1"/>
  <c r="AZ267" i="2" s="1"/>
  <c r="AZ268" i="2" a="1"/>
  <c r="AZ268" i="2" s="1"/>
  <c r="AZ269" i="2" a="1"/>
  <c r="AZ269" i="2" s="1"/>
  <c r="AZ270" i="2" a="1"/>
  <c r="AZ270" i="2" s="1"/>
  <c r="AZ271" i="2" a="1"/>
  <c r="AZ271" i="2" s="1"/>
  <c r="AZ272" i="2" a="1"/>
  <c r="AZ272" i="2" s="1"/>
  <c r="AZ273" i="2" a="1"/>
  <c r="AZ273" i="2" s="1"/>
  <c r="AZ274" i="2" a="1"/>
  <c r="AZ274" i="2" s="1"/>
  <c r="AZ275" i="2" a="1"/>
  <c r="AZ275" i="2" s="1"/>
  <c r="AZ276" i="2" a="1"/>
  <c r="AZ276" i="2" s="1"/>
  <c r="AZ277" i="2" a="1"/>
  <c r="AZ277" i="2" s="1"/>
  <c r="AZ278" i="2" a="1"/>
  <c r="AZ278" i="2" s="1"/>
  <c r="AZ279" i="2" a="1"/>
  <c r="AZ279" i="2" s="1"/>
  <c r="AZ280" i="2" a="1"/>
  <c r="AZ280" i="2" s="1"/>
  <c r="AZ281" i="2" a="1"/>
  <c r="AZ281" i="2" s="1"/>
  <c r="AZ282" i="2" a="1"/>
  <c r="AZ282" i="2" s="1"/>
  <c r="AZ283" i="2" a="1"/>
  <c r="AZ283" i="2" s="1"/>
  <c r="AZ284" i="2" a="1"/>
  <c r="AZ284" i="2" s="1"/>
  <c r="AZ285" i="2" a="1"/>
  <c r="AZ285" i="2" s="1"/>
  <c r="AZ286" i="2" a="1"/>
  <c r="AZ286" i="2" s="1"/>
  <c r="AZ287" i="2" a="1"/>
  <c r="AZ287" i="2" s="1"/>
  <c r="AZ288" i="2" a="1"/>
  <c r="AZ288" i="2" s="1"/>
  <c r="AZ289" i="2" a="1"/>
  <c r="AZ289" i="2" s="1"/>
  <c r="AZ290" i="2" a="1"/>
  <c r="AZ290" i="2" s="1"/>
  <c r="AZ291" i="2" a="1"/>
  <c r="AZ291" i="2" s="1"/>
  <c r="AZ292" i="2" a="1"/>
  <c r="AZ292" i="2" s="1"/>
  <c r="AZ293" i="2" a="1"/>
  <c r="AZ293" i="2" s="1"/>
  <c r="AZ294" i="2" a="1"/>
  <c r="AZ294" i="2" s="1"/>
  <c r="AZ295" i="2" a="1"/>
  <c r="AZ295" i="2" s="1"/>
  <c r="AZ296" i="2" a="1"/>
  <c r="AZ296" i="2" s="1"/>
  <c r="AZ297" i="2" a="1"/>
  <c r="AZ297" i="2" s="1"/>
  <c r="AZ298" i="2" a="1"/>
  <c r="AZ298" i="2" s="1"/>
  <c r="AZ299" i="2" a="1"/>
  <c r="AZ299" i="2" s="1"/>
  <c r="AZ300" i="2" a="1"/>
  <c r="AZ300" i="2" s="1"/>
  <c r="AZ301" i="2" a="1"/>
  <c r="AZ301" i="2" s="1"/>
  <c r="AZ302" i="2" a="1"/>
  <c r="AZ302" i="2" s="1"/>
  <c r="AZ303" i="2" a="1"/>
  <c r="AZ303" i="2" s="1"/>
  <c r="AZ304" i="2" a="1"/>
  <c r="AZ304" i="2" s="1"/>
  <c r="AZ305" i="2" a="1"/>
  <c r="AZ305" i="2" s="1"/>
  <c r="AZ306" i="2" a="1"/>
  <c r="AZ306" i="2" s="1"/>
  <c r="AZ307" i="2" a="1"/>
  <c r="AZ307" i="2" s="1"/>
  <c r="AZ308" i="2" a="1"/>
  <c r="AZ308" i="2" s="1"/>
  <c r="AZ309" i="2" a="1"/>
  <c r="AZ309" i="2" s="1"/>
  <c r="AZ310" i="2" a="1"/>
  <c r="AZ310" i="2" s="1"/>
  <c r="AZ311" i="2" a="1"/>
  <c r="AZ311" i="2" s="1"/>
  <c r="AZ312" i="2" a="1"/>
  <c r="AZ312" i="2" s="1"/>
  <c r="BI26" i="2"/>
  <c r="BI23" i="2"/>
  <c r="BI22" i="2"/>
  <c r="BI8" i="2"/>
  <c r="BH7" i="2"/>
  <c r="BH5" i="2"/>
  <c r="BH28" i="2"/>
  <c r="BI62" i="2" a="1"/>
  <c r="BI62" i="2" s="1"/>
  <c r="BI60" i="2" a="1"/>
  <c r="BI60" i="2" s="1"/>
  <c r="BI54" i="2" a="1"/>
  <c r="BI54" i="2" s="1"/>
  <c r="BI53" i="2" a="1"/>
  <c r="BI53" i="2" s="1"/>
  <c r="BI52" i="2" a="1"/>
  <c r="BI52" i="2" s="1"/>
  <c r="BI51" i="2" a="1"/>
  <c r="BI51" i="2" s="1"/>
  <c r="BI50" i="2" a="1"/>
  <c r="BI50" i="2" s="1"/>
  <c r="BI49" i="2" a="1"/>
  <c r="BI49" i="2" s="1"/>
  <c r="BI48" i="2" a="1"/>
  <c r="BI48" i="2" s="1"/>
  <c r="BI47" i="2" a="1"/>
  <c r="BI47" i="2" s="1"/>
  <c r="BI46" i="2" a="1"/>
  <c r="BI46" i="2" s="1"/>
  <c r="BI45" i="2" a="1"/>
  <c r="BI45" i="2" s="1"/>
  <c r="BI44" i="2" a="1"/>
  <c r="BI44" i="2" s="1"/>
  <c r="BI43" i="2" a="1"/>
  <c r="BI43" i="2" s="1"/>
  <c r="BI19" i="2"/>
  <c r="BI17" i="2"/>
  <c r="BI14" i="2"/>
  <c r="BI12" i="2"/>
  <c r="BI10" i="2"/>
  <c r="BI6" i="2"/>
  <c r="BI4" i="2"/>
  <c r="BF122" i="2"/>
  <c r="BF120" i="2"/>
  <c r="BF118" i="2"/>
  <c r="BF116" i="2"/>
  <c r="BF114" i="2"/>
  <c r="BF112" i="2"/>
  <c r="BF110" i="2"/>
  <c r="BF107" i="2"/>
  <c r="BF105" i="2"/>
  <c r="BF103" i="2"/>
  <c r="BF101" i="2"/>
  <c r="BF96" i="2"/>
  <c r="BF76" i="2"/>
  <c r="BF94" i="2"/>
  <c r="BF92" i="2"/>
  <c r="BF91" i="2"/>
  <c r="BF88" i="2"/>
  <c r="BF86" i="2"/>
  <c r="BF84" i="2"/>
  <c r="BF82" i="2"/>
  <c r="BF80" i="2"/>
  <c r="BF78" i="2"/>
  <c r="BF73" i="2"/>
  <c r="BF71" i="2"/>
  <c r="BF69" i="2"/>
  <c r="BF67" i="2"/>
  <c r="BF65" i="2"/>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BF51" i="2" s="1"/>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Q311" i="2" s="1"/>
  <c r="AM312" i="2"/>
  <c r="AQ312" i="2" s="1"/>
  <c r="BF23" i="2"/>
  <c r="BF20" i="2"/>
  <c r="BF19" i="2"/>
  <c r="BF15" i="2"/>
  <c r="BF16" i="2"/>
  <c r="BF13" i="2"/>
  <c r="BF12" i="2"/>
  <c r="BF10" i="2"/>
  <c r="BF9" i="2"/>
  <c r="BF7" i="2"/>
  <c r="BH26" i="2"/>
  <c r="BH24" i="2"/>
  <c r="BH22" i="2"/>
  <c r="BH20" i="2"/>
  <c r="BH18" i="2"/>
  <c r="BH15" i="2"/>
  <c r="BH13" i="2"/>
  <c r="BH11" i="2"/>
  <c r="BH9" i="2"/>
  <c r="AS9" i="2"/>
  <c r="AU3" i="2"/>
  <c r="AY2" i="2"/>
  <c r="AY3" i="2"/>
  <c r="AY4" i="2"/>
  <c r="AY5" i="2"/>
  <c r="AY6" i="2"/>
  <c r="AY7" i="2"/>
  <c r="AY8" i="2"/>
  <c r="AY9" i="2"/>
  <c r="AY10" i="2"/>
  <c r="AY11" i="2"/>
  <c r="AY12" i="2"/>
  <c r="AY13" i="2"/>
  <c r="AY14" i="2"/>
  <c r="AY15" i="2"/>
  <c r="AY16" i="2"/>
  <c r="AY17" i="2"/>
  <c r="AY18" i="2"/>
  <c r="AY19" i="2"/>
  <c r="AY20" i="2"/>
  <c r="AY21" i="2"/>
  <c r="AY22" i="2"/>
  <c r="AY23" i="2"/>
  <c r="AY24" i="2"/>
  <c r="AY25" i="2"/>
  <c r="AY26" i="2"/>
  <c r="AY27" i="2"/>
  <c r="AY28" i="2"/>
  <c r="AY29" i="2"/>
  <c r="AY30" i="2"/>
  <c r="AY31" i="2"/>
  <c r="AY32" i="2"/>
  <c r="AY33" i="2"/>
  <c r="AY34" i="2"/>
  <c r="AY35" i="2"/>
  <c r="AY36" i="2"/>
  <c r="AY37" i="2"/>
  <c r="AY38" i="2"/>
  <c r="AY39" i="2"/>
  <c r="AY40" i="2"/>
  <c r="AY41" i="2"/>
  <c r="AY42" i="2"/>
  <c r="AY43" i="2"/>
  <c r="AY44" i="2"/>
  <c r="AY45" i="2"/>
  <c r="AY46" i="2"/>
  <c r="AY47" i="2"/>
  <c r="AY48" i="2"/>
  <c r="AY49" i="2"/>
  <c r="AY50" i="2"/>
  <c r="AY51" i="2"/>
  <c r="AY52" i="2"/>
  <c r="AY53" i="2"/>
  <c r="AY54" i="2"/>
  <c r="AY55" i="2"/>
  <c r="AY56" i="2"/>
  <c r="AY57" i="2"/>
  <c r="AY58" i="2"/>
  <c r="AY59" i="2"/>
  <c r="AY60" i="2"/>
  <c r="AY61" i="2"/>
  <c r="AY62" i="2"/>
  <c r="AY63" i="2"/>
  <c r="AY64" i="2"/>
  <c r="AY65" i="2"/>
  <c r="AY66" i="2"/>
  <c r="AY67" i="2"/>
  <c r="AY68" i="2"/>
  <c r="AY69" i="2"/>
  <c r="AY70" i="2"/>
  <c r="AY71" i="2"/>
  <c r="AY72" i="2"/>
  <c r="AY73" i="2"/>
  <c r="AY74" i="2"/>
  <c r="AY75" i="2"/>
  <c r="AY76" i="2"/>
  <c r="AY77" i="2"/>
  <c r="AY78" i="2"/>
  <c r="AY79" i="2"/>
  <c r="AY80" i="2"/>
  <c r="AY81" i="2"/>
  <c r="AY82" i="2"/>
  <c r="AY83" i="2"/>
  <c r="AY84" i="2"/>
  <c r="AY85" i="2"/>
  <c r="AY86" i="2"/>
  <c r="AY87" i="2"/>
  <c r="AY88" i="2"/>
  <c r="AY89" i="2"/>
  <c r="AY90" i="2"/>
  <c r="AY91" i="2"/>
  <c r="AY92" i="2"/>
  <c r="AY93" i="2"/>
  <c r="AY94" i="2"/>
  <c r="AY95" i="2"/>
  <c r="AY96" i="2"/>
  <c r="AY97" i="2"/>
  <c r="AY98" i="2"/>
  <c r="AY99" i="2"/>
  <c r="AY100" i="2"/>
  <c r="AY101" i="2"/>
  <c r="AY102" i="2"/>
  <c r="AY103" i="2"/>
  <c r="AY104" i="2"/>
  <c r="AY105" i="2"/>
  <c r="AY106" i="2"/>
  <c r="AY107" i="2"/>
  <c r="AY108" i="2"/>
  <c r="AY109" i="2"/>
  <c r="AY110" i="2"/>
  <c r="AY111" i="2"/>
  <c r="AY112" i="2"/>
  <c r="AY113" i="2"/>
  <c r="AY114" i="2"/>
  <c r="AY115" i="2"/>
  <c r="AY116" i="2"/>
  <c r="AY117" i="2"/>
  <c r="AY118" i="2"/>
  <c r="AY119" i="2"/>
  <c r="AY120" i="2"/>
  <c r="AY121" i="2"/>
  <c r="AY122" i="2"/>
  <c r="AY123" i="2"/>
  <c r="AY124" i="2"/>
  <c r="AY125" i="2"/>
  <c r="AY126" i="2"/>
  <c r="AY127" i="2"/>
  <c r="AY128" i="2"/>
  <c r="AY129" i="2"/>
  <c r="AY130" i="2"/>
  <c r="AY131" i="2"/>
  <c r="AY132" i="2"/>
  <c r="AY133" i="2"/>
  <c r="AY134" i="2"/>
  <c r="AY135" i="2"/>
  <c r="AY136" i="2"/>
  <c r="AY137" i="2"/>
  <c r="AY138" i="2"/>
  <c r="AY139" i="2"/>
  <c r="AY140" i="2"/>
  <c r="AY141" i="2"/>
  <c r="AY142" i="2"/>
  <c r="AY143" i="2"/>
  <c r="AY144" i="2"/>
  <c r="AY145" i="2"/>
  <c r="AY146" i="2"/>
  <c r="AY147" i="2"/>
  <c r="AY148" i="2"/>
  <c r="AY149" i="2"/>
  <c r="AY150" i="2"/>
  <c r="AY151" i="2"/>
  <c r="AY152" i="2"/>
  <c r="AY153" i="2"/>
  <c r="AY154" i="2"/>
  <c r="AY155" i="2"/>
  <c r="AY156" i="2"/>
  <c r="AY157" i="2"/>
  <c r="AY158" i="2"/>
  <c r="AY159" i="2"/>
  <c r="AY160" i="2"/>
  <c r="AY161" i="2"/>
  <c r="AY162" i="2"/>
  <c r="AY163" i="2"/>
  <c r="AY164" i="2"/>
  <c r="AY165" i="2"/>
  <c r="AY166" i="2"/>
  <c r="AY167" i="2"/>
  <c r="AY168" i="2"/>
  <c r="AY169" i="2"/>
  <c r="AY170" i="2"/>
  <c r="AY171" i="2"/>
  <c r="AY172" i="2"/>
  <c r="AY173" i="2"/>
  <c r="AY174" i="2"/>
  <c r="AY175" i="2"/>
  <c r="AY176" i="2"/>
  <c r="AY177" i="2"/>
  <c r="AY178" i="2"/>
  <c r="AY179" i="2"/>
  <c r="AY180" i="2"/>
  <c r="AY181" i="2"/>
  <c r="AY182" i="2"/>
  <c r="AY183" i="2"/>
  <c r="AY184" i="2"/>
  <c r="AY185" i="2"/>
  <c r="AY186" i="2"/>
  <c r="AY187" i="2"/>
  <c r="AY188" i="2"/>
  <c r="AY189" i="2"/>
  <c r="AY190" i="2"/>
  <c r="AY191" i="2"/>
  <c r="AY192" i="2"/>
  <c r="AY193" i="2"/>
  <c r="AY194" i="2"/>
  <c r="AY195" i="2"/>
  <c r="AY196" i="2"/>
  <c r="AY197" i="2"/>
  <c r="AY198" i="2"/>
  <c r="AY199" i="2"/>
  <c r="AY200" i="2"/>
  <c r="AY201" i="2"/>
  <c r="AY202" i="2"/>
  <c r="AY203" i="2"/>
  <c r="AY204" i="2"/>
  <c r="AY205" i="2"/>
  <c r="AY206" i="2"/>
  <c r="AY207" i="2"/>
  <c r="AY208" i="2"/>
  <c r="AY209" i="2"/>
  <c r="AY210" i="2"/>
  <c r="AY211" i="2"/>
  <c r="AY212" i="2"/>
  <c r="AY213" i="2"/>
  <c r="AY214" i="2"/>
  <c r="AY215" i="2"/>
  <c r="AY216" i="2"/>
  <c r="AY217" i="2"/>
  <c r="AY218" i="2"/>
  <c r="AY219" i="2"/>
  <c r="AY220" i="2"/>
  <c r="AY221" i="2"/>
  <c r="AY222" i="2"/>
  <c r="AY223" i="2"/>
  <c r="AY224" i="2"/>
  <c r="AY225" i="2"/>
  <c r="AY226" i="2"/>
  <c r="AY227" i="2"/>
  <c r="AY228" i="2"/>
  <c r="AY229" i="2"/>
  <c r="AY230" i="2"/>
  <c r="AY231" i="2"/>
  <c r="AY232" i="2"/>
  <c r="AY233" i="2"/>
  <c r="AY234" i="2"/>
  <c r="AY235" i="2"/>
  <c r="AY236" i="2"/>
  <c r="AY237" i="2"/>
  <c r="AY238" i="2"/>
  <c r="AY239" i="2"/>
  <c r="AY240" i="2"/>
  <c r="AY241" i="2"/>
  <c r="AY242" i="2"/>
  <c r="AY243" i="2"/>
  <c r="AY244" i="2"/>
  <c r="AY245" i="2"/>
  <c r="AY246" i="2"/>
  <c r="AY247" i="2"/>
  <c r="AY248" i="2"/>
  <c r="AY249" i="2"/>
  <c r="AY250" i="2"/>
  <c r="AY251" i="2"/>
  <c r="AY252" i="2"/>
  <c r="AY253" i="2"/>
  <c r="AY254" i="2"/>
  <c r="AY255" i="2"/>
  <c r="AY256" i="2"/>
  <c r="AY257" i="2"/>
  <c r="AY258" i="2"/>
  <c r="AY259" i="2"/>
  <c r="AY260" i="2"/>
  <c r="AY261" i="2"/>
  <c r="AY262" i="2"/>
  <c r="AY263" i="2"/>
  <c r="AY264" i="2"/>
  <c r="AY265" i="2"/>
  <c r="AY266" i="2"/>
  <c r="AY267" i="2"/>
  <c r="AY268" i="2"/>
  <c r="AY269" i="2"/>
  <c r="AY270" i="2"/>
  <c r="AY271" i="2"/>
  <c r="AY272" i="2"/>
  <c r="AY273" i="2"/>
  <c r="AY274" i="2"/>
  <c r="AY275" i="2"/>
  <c r="AY276" i="2"/>
  <c r="AY277" i="2"/>
  <c r="AY278" i="2"/>
  <c r="AY279" i="2"/>
  <c r="AY280" i="2"/>
  <c r="AY281" i="2"/>
  <c r="AY282" i="2"/>
  <c r="AY283" i="2"/>
  <c r="AY284" i="2"/>
  <c r="AY285" i="2"/>
  <c r="AY286" i="2"/>
  <c r="AY287" i="2"/>
  <c r="AY288" i="2"/>
  <c r="AY289" i="2"/>
  <c r="AY290" i="2"/>
  <c r="AY291" i="2"/>
  <c r="AY292" i="2"/>
  <c r="AY293" i="2"/>
  <c r="AY294" i="2"/>
  <c r="AY295" i="2"/>
  <c r="AY296" i="2"/>
  <c r="AY297" i="2"/>
  <c r="AY298" i="2"/>
  <c r="AY299" i="2"/>
  <c r="AY300" i="2"/>
  <c r="AY301" i="2"/>
  <c r="AY302" i="2"/>
  <c r="AY303" i="2"/>
  <c r="AY304" i="2"/>
  <c r="AY305" i="2"/>
  <c r="AY306" i="2"/>
  <c r="AY307" i="2"/>
  <c r="AY308" i="2"/>
  <c r="AY309" i="2"/>
  <c r="AY310" i="2"/>
  <c r="AY311" i="2"/>
  <c r="AY312" i="2"/>
  <c r="AX2" i="2"/>
  <c r="AX3" i="2"/>
  <c r="AX4" i="2"/>
  <c r="AX5" i="2"/>
  <c r="AX6" i="2"/>
  <c r="AX7" i="2"/>
  <c r="AX8" i="2"/>
  <c r="AX9" i="2"/>
  <c r="AX10" i="2"/>
  <c r="AX11" i="2"/>
  <c r="AX12" i="2"/>
  <c r="AX13" i="2"/>
  <c r="AX14" i="2"/>
  <c r="AX15" i="2"/>
  <c r="AX16" i="2"/>
  <c r="AX17" i="2"/>
  <c r="AX18" i="2"/>
  <c r="AX19" i="2"/>
  <c r="AX20" i="2"/>
  <c r="AX21" i="2"/>
  <c r="AX22" i="2"/>
  <c r="AX23" i="2"/>
  <c r="AX24" i="2"/>
  <c r="AX25" i="2"/>
  <c r="AX26" i="2"/>
  <c r="AX27" i="2"/>
  <c r="AX28" i="2"/>
  <c r="AX29" i="2"/>
  <c r="AX30" i="2"/>
  <c r="AX31" i="2"/>
  <c r="AX32" i="2"/>
  <c r="AX33" i="2"/>
  <c r="AX34" i="2"/>
  <c r="AX35" i="2"/>
  <c r="AX36" i="2"/>
  <c r="AX37" i="2"/>
  <c r="AX38" i="2"/>
  <c r="AX39" i="2"/>
  <c r="AX40" i="2"/>
  <c r="AX41" i="2"/>
  <c r="AX42" i="2"/>
  <c r="AX43" i="2"/>
  <c r="AX44" i="2"/>
  <c r="AX45" i="2"/>
  <c r="AX46" i="2"/>
  <c r="AX47" i="2"/>
  <c r="AX48" i="2"/>
  <c r="AX49" i="2"/>
  <c r="AX50" i="2"/>
  <c r="AX51" i="2"/>
  <c r="AX52" i="2"/>
  <c r="AX53" i="2"/>
  <c r="AX54" i="2"/>
  <c r="AX55" i="2"/>
  <c r="AX56" i="2"/>
  <c r="AX57" i="2"/>
  <c r="AX58" i="2"/>
  <c r="AX59" i="2"/>
  <c r="AX60" i="2"/>
  <c r="AX61" i="2"/>
  <c r="AX62" i="2"/>
  <c r="AX63" i="2"/>
  <c r="AX64" i="2"/>
  <c r="AX65" i="2"/>
  <c r="AX66" i="2"/>
  <c r="AX67" i="2"/>
  <c r="AX68" i="2"/>
  <c r="AX69" i="2"/>
  <c r="AX70" i="2"/>
  <c r="AX71" i="2"/>
  <c r="AX72" i="2"/>
  <c r="AX73" i="2"/>
  <c r="AX74" i="2"/>
  <c r="AX75" i="2"/>
  <c r="AX76" i="2"/>
  <c r="AX77" i="2"/>
  <c r="AX78" i="2"/>
  <c r="AX79" i="2"/>
  <c r="AX80" i="2"/>
  <c r="AX81" i="2"/>
  <c r="AX82" i="2"/>
  <c r="AX83" i="2"/>
  <c r="AX84" i="2"/>
  <c r="AX85" i="2"/>
  <c r="AX86" i="2"/>
  <c r="AX87" i="2"/>
  <c r="AX88" i="2"/>
  <c r="AX89" i="2"/>
  <c r="AX90" i="2"/>
  <c r="AX91" i="2"/>
  <c r="AX92" i="2"/>
  <c r="AX93" i="2"/>
  <c r="AX94" i="2"/>
  <c r="AX95" i="2"/>
  <c r="AX96" i="2"/>
  <c r="AX97" i="2"/>
  <c r="AX98" i="2"/>
  <c r="AX99" i="2"/>
  <c r="AX100" i="2"/>
  <c r="AX101" i="2"/>
  <c r="AX102" i="2"/>
  <c r="AX103" i="2"/>
  <c r="AX104" i="2"/>
  <c r="AX105" i="2"/>
  <c r="AX106" i="2"/>
  <c r="AX107" i="2"/>
  <c r="AX108" i="2"/>
  <c r="AX109" i="2"/>
  <c r="AX110" i="2"/>
  <c r="AX111" i="2"/>
  <c r="AX112" i="2"/>
  <c r="AX113" i="2"/>
  <c r="AX114" i="2"/>
  <c r="AX115" i="2"/>
  <c r="AX116" i="2"/>
  <c r="AX117" i="2"/>
  <c r="AX118" i="2"/>
  <c r="AX119" i="2"/>
  <c r="AX120" i="2"/>
  <c r="AX121" i="2"/>
  <c r="AX122" i="2"/>
  <c r="AX123" i="2"/>
  <c r="AX124" i="2"/>
  <c r="AX125" i="2"/>
  <c r="AX126" i="2"/>
  <c r="AX127" i="2"/>
  <c r="AX128" i="2"/>
  <c r="AX129" i="2"/>
  <c r="AX130" i="2"/>
  <c r="AX131" i="2"/>
  <c r="AX132" i="2"/>
  <c r="AX133" i="2"/>
  <c r="AX134" i="2"/>
  <c r="AX135" i="2"/>
  <c r="AX136" i="2"/>
  <c r="AX137" i="2"/>
  <c r="AX138" i="2"/>
  <c r="AX139" i="2"/>
  <c r="AX140" i="2"/>
  <c r="AX141" i="2"/>
  <c r="AX142" i="2"/>
  <c r="AX143" i="2"/>
  <c r="AX144" i="2"/>
  <c r="AX145" i="2"/>
  <c r="AX146" i="2"/>
  <c r="AX147" i="2"/>
  <c r="AX148" i="2"/>
  <c r="AX149" i="2"/>
  <c r="AX150" i="2"/>
  <c r="AX151" i="2"/>
  <c r="AX152" i="2"/>
  <c r="AX153" i="2"/>
  <c r="AX154" i="2"/>
  <c r="AX155" i="2"/>
  <c r="AX156" i="2"/>
  <c r="AX157" i="2"/>
  <c r="AX158" i="2"/>
  <c r="AX159" i="2"/>
  <c r="AX160" i="2"/>
  <c r="AX161" i="2"/>
  <c r="AX162" i="2"/>
  <c r="AX163" i="2"/>
  <c r="AX164" i="2"/>
  <c r="AX165" i="2"/>
  <c r="AX166" i="2"/>
  <c r="AX167" i="2"/>
  <c r="AX168" i="2"/>
  <c r="AX169" i="2"/>
  <c r="AX170" i="2"/>
  <c r="AX171" i="2"/>
  <c r="AX172" i="2"/>
  <c r="AX173" i="2"/>
  <c r="AX174" i="2"/>
  <c r="AX175" i="2"/>
  <c r="AX176" i="2"/>
  <c r="AX177" i="2"/>
  <c r="AX178" i="2"/>
  <c r="AX179" i="2"/>
  <c r="AX180" i="2"/>
  <c r="AX181" i="2"/>
  <c r="AX182" i="2"/>
  <c r="AX183" i="2"/>
  <c r="AX184" i="2"/>
  <c r="AX185" i="2"/>
  <c r="AX186" i="2"/>
  <c r="AX187" i="2"/>
  <c r="AX188" i="2"/>
  <c r="AX189" i="2"/>
  <c r="AX190" i="2"/>
  <c r="AX191" i="2"/>
  <c r="AX192" i="2"/>
  <c r="AX193" i="2"/>
  <c r="AX194" i="2"/>
  <c r="AX195" i="2"/>
  <c r="AX196" i="2"/>
  <c r="AX197" i="2"/>
  <c r="AX198" i="2"/>
  <c r="AX199" i="2"/>
  <c r="AX200" i="2"/>
  <c r="AX201" i="2"/>
  <c r="AX202" i="2"/>
  <c r="AX203" i="2"/>
  <c r="AX204" i="2"/>
  <c r="AX205" i="2"/>
  <c r="AX206" i="2"/>
  <c r="AX207" i="2"/>
  <c r="AX208" i="2"/>
  <c r="AX209" i="2"/>
  <c r="AX210" i="2"/>
  <c r="AX211" i="2"/>
  <c r="AX212" i="2"/>
  <c r="AX213" i="2"/>
  <c r="AX214" i="2"/>
  <c r="AX215" i="2"/>
  <c r="AX216" i="2"/>
  <c r="AX217" i="2"/>
  <c r="AX218" i="2"/>
  <c r="AX219" i="2"/>
  <c r="AX220" i="2"/>
  <c r="AX221" i="2"/>
  <c r="AX222" i="2"/>
  <c r="AX223" i="2"/>
  <c r="AX224" i="2"/>
  <c r="AX225" i="2"/>
  <c r="AX226" i="2"/>
  <c r="AX227" i="2"/>
  <c r="AX228" i="2"/>
  <c r="AX229" i="2"/>
  <c r="AX230" i="2"/>
  <c r="AX231" i="2"/>
  <c r="AX232" i="2"/>
  <c r="AX233" i="2"/>
  <c r="AX234" i="2"/>
  <c r="AX235" i="2"/>
  <c r="AX236" i="2"/>
  <c r="AX237" i="2"/>
  <c r="AX238" i="2"/>
  <c r="AX239" i="2"/>
  <c r="AX240" i="2"/>
  <c r="AX241" i="2"/>
  <c r="AX242" i="2"/>
  <c r="AX243" i="2"/>
  <c r="AX244" i="2"/>
  <c r="AX245" i="2"/>
  <c r="AX246" i="2"/>
  <c r="AX247" i="2"/>
  <c r="AX248" i="2"/>
  <c r="AX249" i="2"/>
  <c r="AX250" i="2"/>
  <c r="AX251" i="2"/>
  <c r="AX252" i="2"/>
  <c r="AX253" i="2"/>
  <c r="AX254" i="2"/>
  <c r="AX255" i="2"/>
  <c r="AX256" i="2"/>
  <c r="AX257" i="2"/>
  <c r="AX258" i="2"/>
  <c r="AX259" i="2"/>
  <c r="AX260" i="2"/>
  <c r="AX261" i="2"/>
  <c r="AX262" i="2"/>
  <c r="AX263" i="2"/>
  <c r="AX264" i="2"/>
  <c r="AX265" i="2"/>
  <c r="AX266" i="2"/>
  <c r="AX267" i="2"/>
  <c r="AX268" i="2"/>
  <c r="AX269" i="2"/>
  <c r="AX270" i="2"/>
  <c r="AX271" i="2"/>
  <c r="AX272" i="2"/>
  <c r="AX273" i="2"/>
  <c r="AX274" i="2"/>
  <c r="AX275" i="2"/>
  <c r="AX276" i="2"/>
  <c r="AX277" i="2"/>
  <c r="AX278" i="2"/>
  <c r="AX279" i="2"/>
  <c r="AX280" i="2"/>
  <c r="AX281" i="2"/>
  <c r="AX282" i="2"/>
  <c r="AX283" i="2"/>
  <c r="AX284" i="2"/>
  <c r="AX285" i="2"/>
  <c r="AX286" i="2"/>
  <c r="AX287" i="2"/>
  <c r="AX288" i="2"/>
  <c r="AX289" i="2"/>
  <c r="AX290" i="2"/>
  <c r="AX291" i="2"/>
  <c r="AX292" i="2"/>
  <c r="AX293" i="2"/>
  <c r="AX294" i="2"/>
  <c r="AX295" i="2"/>
  <c r="AX296" i="2"/>
  <c r="AX297" i="2"/>
  <c r="AX298" i="2"/>
  <c r="AX299" i="2"/>
  <c r="AX300" i="2"/>
  <c r="AX301" i="2"/>
  <c r="AX302" i="2"/>
  <c r="AX303" i="2"/>
  <c r="AX304" i="2"/>
  <c r="AX305" i="2"/>
  <c r="AX306" i="2"/>
  <c r="AX307" i="2"/>
  <c r="AX308" i="2"/>
  <c r="AX309" i="2"/>
  <c r="AX310" i="2"/>
  <c r="AX311" i="2"/>
  <c r="AX312" i="2"/>
  <c r="AW2" i="2"/>
  <c r="AW3" i="2"/>
  <c r="AW4" i="2"/>
  <c r="AW5" i="2"/>
  <c r="AW6" i="2"/>
  <c r="AW7" i="2"/>
  <c r="AW8" i="2"/>
  <c r="AW9" i="2"/>
  <c r="AW10" i="2"/>
  <c r="AW11" i="2"/>
  <c r="AW12" i="2"/>
  <c r="AW13" i="2"/>
  <c r="AW14" i="2"/>
  <c r="AW15" i="2"/>
  <c r="AW16" i="2"/>
  <c r="AW17" i="2"/>
  <c r="AW18" i="2"/>
  <c r="AW19" i="2"/>
  <c r="AW20" i="2"/>
  <c r="AW21" i="2"/>
  <c r="AW22" i="2"/>
  <c r="AW23" i="2"/>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3" i="2"/>
  <c r="AW64" i="2"/>
  <c r="AW65" i="2"/>
  <c r="AW66" i="2"/>
  <c r="AW67" i="2"/>
  <c r="AW68" i="2"/>
  <c r="AW69" i="2"/>
  <c r="AW70" i="2"/>
  <c r="AW71" i="2"/>
  <c r="AW72" i="2"/>
  <c r="AW73" i="2"/>
  <c r="AW74" i="2"/>
  <c r="AW75" i="2"/>
  <c r="AW76" i="2"/>
  <c r="AW77" i="2"/>
  <c r="AW78" i="2"/>
  <c r="AW79" i="2"/>
  <c r="AW80" i="2"/>
  <c r="AW81" i="2"/>
  <c r="AW82" i="2"/>
  <c r="AW83" i="2"/>
  <c r="AW84" i="2"/>
  <c r="AW85" i="2"/>
  <c r="AW86" i="2"/>
  <c r="AW87" i="2"/>
  <c r="AW88" i="2"/>
  <c r="AW89" i="2"/>
  <c r="AW90" i="2"/>
  <c r="AW91" i="2"/>
  <c r="AW92" i="2"/>
  <c r="AW93" i="2"/>
  <c r="AW94" i="2"/>
  <c r="AW95" i="2"/>
  <c r="AW96" i="2"/>
  <c r="AW97" i="2"/>
  <c r="AW98" i="2"/>
  <c r="AW99" i="2"/>
  <c r="AW100" i="2"/>
  <c r="AW101" i="2"/>
  <c r="AW102" i="2"/>
  <c r="AW103" i="2"/>
  <c r="AW104" i="2"/>
  <c r="AW105" i="2"/>
  <c r="AW106" i="2"/>
  <c r="AW107" i="2"/>
  <c r="AW108" i="2"/>
  <c r="AW109" i="2"/>
  <c r="AW110" i="2"/>
  <c r="AW111" i="2"/>
  <c r="AW112" i="2"/>
  <c r="AW113" i="2"/>
  <c r="AW114" i="2"/>
  <c r="AW115" i="2"/>
  <c r="AW116" i="2"/>
  <c r="AW117" i="2"/>
  <c r="AW118" i="2"/>
  <c r="AW119" i="2"/>
  <c r="AW120" i="2"/>
  <c r="AW121" i="2"/>
  <c r="AW122" i="2"/>
  <c r="AW123" i="2"/>
  <c r="AW124" i="2"/>
  <c r="AW125" i="2"/>
  <c r="AW126" i="2"/>
  <c r="AW127" i="2"/>
  <c r="AW128" i="2"/>
  <c r="AW129" i="2"/>
  <c r="AW130" i="2"/>
  <c r="AW131" i="2"/>
  <c r="AW132" i="2"/>
  <c r="AW133" i="2"/>
  <c r="AW134" i="2"/>
  <c r="AW135" i="2"/>
  <c r="AW136" i="2"/>
  <c r="AW137" i="2"/>
  <c r="AW138" i="2"/>
  <c r="AW139" i="2"/>
  <c r="AW140" i="2"/>
  <c r="AW141" i="2"/>
  <c r="AW142" i="2"/>
  <c r="AW143" i="2"/>
  <c r="AW144" i="2"/>
  <c r="AW145" i="2"/>
  <c r="AW146" i="2"/>
  <c r="AW147" i="2"/>
  <c r="AW148" i="2"/>
  <c r="AW149" i="2"/>
  <c r="AW150" i="2"/>
  <c r="AW151" i="2"/>
  <c r="AW152" i="2"/>
  <c r="AW153" i="2"/>
  <c r="AW154" i="2"/>
  <c r="AW155" i="2"/>
  <c r="AW156" i="2"/>
  <c r="AW157" i="2"/>
  <c r="AW158" i="2"/>
  <c r="AW159" i="2"/>
  <c r="AW160" i="2"/>
  <c r="AW161" i="2"/>
  <c r="AW162" i="2"/>
  <c r="AW163" i="2"/>
  <c r="AW164" i="2"/>
  <c r="AW165" i="2"/>
  <c r="AW166" i="2"/>
  <c r="AW167" i="2"/>
  <c r="AW168" i="2"/>
  <c r="AW169" i="2"/>
  <c r="AW170" i="2"/>
  <c r="AW171" i="2"/>
  <c r="AW172" i="2"/>
  <c r="AW173" i="2"/>
  <c r="AW174" i="2"/>
  <c r="AW175" i="2"/>
  <c r="AW176" i="2"/>
  <c r="AW177" i="2"/>
  <c r="AW178" i="2"/>
  <c r="AW179" i="2"/>
  <c r="AW180" i="2"/>
  <c r="AW181" i="2"/>
  <c r="AW182" i="2"/>
  <c r="AW183" i="2"/>
  <c r="AW184" i="2"/>
  <c r="AW185" i="2"/>
  <c r="AW186" i="2"/>
  <c r="AW187" i="2"/>
  <c r="AW188" i="2"/>
  <c r="AW189" i="2"/>
  <c r="AW190" i="2"/>
  <c r="AW191" i="2"/>
  <c r="AW192" i="2"/>
  <c r="AW193" i="2"/>
  <c r="AW194" i="2"/>
  <c r="AW195" i="2"/>
  <c r="AW196" i="2"/>
  <c r="AW197" i="2"/>
  <c r="AW198" i="2"/>
  <c r="AW199" i="2"/>
  <c r="AW200" i="2"/>
  <c r="AW201" i="2"/>
  <c r="AW202" i="2"/>
  <c r="AW203" i="2"/>
  <c r="AW204" i="2"/>
  <c r="AW205" i="2"/>
  <c r="AW206" i="2"/>
  <c r="AW207" i="2"/>
  <c r="AW208" i="2"/>
  <c r="AW209" i="2"/>
  <c r="AW210" i="2"/>
  <c r="AW211" i="2"/>
  <c r="AW212" i="2"/>
  <c r="AW213" i="2"/>
  <c r="AW214" i="2"/>
  <c r="AW215" i="2"/>
  <c r="AW216" i="2"/>
  <c r="AW217" i="2"/>
  <c r="AW218" i="2"/>
  <c r="AW219" i="2"/>
  <c r="AW220" i="2"/>
  <c r="AW221" i="2"/>
  <c r="AW222" i="2"/>
  <c r="AW223" i="2"/>
  <c r="AW224" i="2"/>
  <c r="AW225" i="2"/>
  <c r="AW226" i="2"/>
  <c r="AW227" i="2"/>
  <c r="AW228" i="2"/>
  <c r="AW229" i="2"/>
  <c r="AW230" i="2"/>
  <c r="AW231" i="2"/>
  <c r="AW232" i="2"/>
  <c r="AW233" i="2"/>
  <c r="AW234" i="2"/>
  <c r="AW235" i="2"/>
  <c r="AW236" i="2"/>
  <c r="AW237" i="2"/>
  <c r="AW238" i="2"/>
  <c r="AW239" i="2"/>
  <c r="AW240" i="2"/>
  <c r="AW241" i="2"/>
  <c r="AW242" i="2"/>
  <c r="AW243" i="2"/>
  <c r="AW244" i="2"/>
  <c r="AW245" i="2"/>
  <c r="AW246" i="2"/>
  <c r="AW247" i="2"/>
  <c r="AW248" i="2"/>
  <c r="AW249" i="2"/>
  <c r="AW250" i="2"/>
  <c r="AW251" i="2"/>
  <c r="AW252" i="2"/>
  <c r="AW253" i="2"/>
  <c r="AW254" i="2"/>
  <c r="AW255" i="2"/>
  <c r="AW256" i="2"/>
  <c r="AW257" i="2"/>
  <c r="AW258" i="2"/>
  <c r="AW259" i="2"/>
  <c r="AW260" i="2"/>
  <c r="AW261" i="2"/>
  <c r="AW262" i="2"/>
  <c r="AW263" i="2"/>
  <c r="AW264" i="2"/>
  <c r="AW265" i="2"/>
  <c r="AW266" i="2"/>
  <c r="AW267" i="2"/>
  <c r="AW268" i="2"/>
  <c r="AW269" i="2"/>
  <c r="AW270" i="2"/>
  <c r="AW271" i="2"/>
  <c r="AW272" i="2"/>
  <c r="AW273" i="2"/>
  <c r="AW274" i="2"/>
  <c r="AW275" i="2"/>
  <c r="AW276" i="2"/>
  <c r="AW277" i="2"/>
  <c r="AW278" i="2"/>
  <c r="AW279" i="2"/>
  <c r="AW280" i="2"/>
  <c r="AW281" i="2"/>
  <c r="AW282" i="2"/>
  <c r="AW283" i="2"/>
  <c r="AW284" i="2"/>
  <c r="AW285" i="2"/>
  <c r="AW286" i="2"/>
  <c r="AW287" i="2"/>
  <c r="AW288" i="2"/>
  <c r="AW289" i="2"/>
  <c r="AW290" i="2"/>
  <c r="AW291" i="2"/>
  <c r="AW292" i="2"/>
  <c r="AW293" i="2"/>
  <c r="AW294" i="2"/>
  <c r="AW295" i="2"/>
  <c r="AW296" i="2"/>
  <c r="AW297" i="2"/>
  <c r="AW298" i="2"/>
  <c r="AW299" i="2"/>
  <c r="AW300" i="2"/>
  <c r="AW301" i="2"/>
  <c r="AW302" i="2"/>
  <c r="AW303" i="2"/>
  <c r="AW304" i="2"/>
  <c r="AW305" i="2"/>
  <c r="AW306" i="2"/>
  <c r="AW307" i="2"/>
  <c r="AW308" i="2"/>
  <c r="AW309" i="2"/>
  <c r="AW310" i="2"/>
  <c r="AW311" i="2"/>
  <c r="AW312" i="2"/>
  <c r="AV2" i="2"/>
  <c r="AV3" i="2"/>
  <c r="AV4" i="2"/>
  <c r="AV5" i="2"/>
  <c r="AV6" i="2"/>
  <c r="AV7" i="2"/>
  <c r="AV8" i="2"/>
  <c r="AV9" i="2"/>
  <c r="AV10" i="2"/>
  <c r="AV11" i="2"/>
  <c r="AV12" i="2"/>
  <c r="AV13" i="2"/>
  <c r="AV14" i="2"/>
  <c r="AV15" i="2"/>
  <c r="AV16" i="2"/>
  <c r="AV17" i="2"/>
  <c r="AV18" i="2"/>
  <c r="AV19" i="2"/>
  <c r="AV20" i="2"/>
  <c r="AV21" i="2"/>
  <c r="AV22" i="2"/>
  <c r="AV23" i="2"/>
  <c r="AV24" i="2"/>
  <c r="AV25" i="2"/>
  <c r="AV26" i="2"/>
  <c r="AV27" i="2"/>
  <c r="AV28" i="2"/>
  <c r="AV29" i="2"/>
  <c r="AV30" i="2"/>
  <c r="AV31" i="2"/>
  <c r="AV32" i="2"/>
  <c r="AV33" i="2"/>
  <c r="AV34" i="2"/>
  <c r="AV35" i="2"/>
  <c r="AV36" i="2"/>
  <c r="AV37" i="2"/>
  <c r="AV38" i="2"/>
  <c r="AV39" i="2"/>
  <c r="AV40" i="2"/>
  <c r="AV41" i="2"/>
  <c r="AV42" i="2"/>
  <c r="AV43" i="2"/>
  <c r="AV44" i="2"/>
  <c r="AV45" i="2"/>
  <c r="AV46" i="2"/>
  <c r="AV47" i="2"/>
  <c r="AV48" i="2"/>
  <c r="AV49" i="2"/>
  <c r="AV50" i="2"/>
  <c r="AV51" i="2"/>
  <c r="AV52" i="2"/>
  <c r="AV53" i="2"/>
  <c r="AV54" i="2"/>
  <c r="AV55" i="2"/>
  <c r="AV56" i="2"/>
  <c r="AV57" i="2"/>
  <c r="AV58" i="2"/>
  <c r="AV59" i="2"/>
  <c r="AV60" i="2"/>
  <c r="AV61" i="2"/>
  <c r="AV62" i="2"/>
  <c r="AV63" i="2"/>
  <c r="AV64" i="2"/>
  <c r="AV65" i="2"/>
  <c r="AV66" i="2"/>
  <c r="AV67" i="2"/>
  <c r="AV68" i="2"/>
  <c r="AV69" i="2"/>
  <c r="AV70" i="2"/>
  <c r="AV71" i="2"/>
  <c r="AV72" i="2"/>
  <c r="AV73" i="2"/>
  <c r="AV74" i="2"/>
  <c r="AV75" i="2"/>
  <c r="AV76" i="2"/>
  <c r="AV77" i="2"/>
  <c r="AV78" i="2"/>
  <c r="AV79" i="2"/>
  <c r="AV80" i="2"/>
  <c r="AV81" i="2"/>
  <c r="AV82" i="2"/>
  <c r="AV83" i="2"/>
  <c r="AV84" i="2"/>
  <c r="AV85" i="2"/>
  <c r="AV86" i="2"/>
  <c r="AV87" i="2"/>
  <c r="AV88" i="2"/>
  <c r="AV89" i="2"/>
  <c r="AV90" i="2"/>
  <c r="AV91" i="2"/>
  <c r="AV92" i="2"/>
  <c r="AV93" i="2"/>
  <c r="AV94" i="2"/>
  <c r="AV95" i="2"/>
  <c r="AV96" i="2"/>
  <c r="AV97" i="2"/>
  <c r="AV98" i="2"/>
  <c r="AV99" i="2"/>
  <c r="AV100" i="2"/>
  <c r="AV101" i="2"/>
  <c r="AV102" i="2"/>
  <c r="AV103" i="2"/>
  <c r="AV104" i="2"/>
  <c r="AV105" i="2"/>
  <c r="AV106" i="2"/>
  <c r="AV107" i="2"/>
  <c r="AV108" i="2"/>
  <c r="AV109" i="2"/>
  <c r="AV110" i="2"/>
  <c r="AV111" i="2"/>
  <c r="AV112" i="2"/>
  <c r="AV113" i="2"/>
  <c r="AV114" i="2"/>
  <c r="AV115" i="2"/>
  <c r="AV116" i="2"/>
  <c r="AV117" i="2"/>
  <c r="AV118" i="2"/>
  <c r="AV119" i="2"/>
  <c r="AV120" i="2"/>
  <c r="AV121" i="2"/>
  <c r="AV122" i="2"/>
  <c r="AV123" i="2"/>
  <c r="AV124" i="2"/>
  <c r="AV125" i="2"/>
  <c r="AV126" i="2"/>
  <c r="AV127" i="2"/>
  <c r="AV128" i="2"/>
  <c r="AV129" i="2"/>
  <c r="AV130" i="2"/>
  <c r="AV131" i="2"/>
  <c r="AV132" i="2"/>
  <c r="AV133" i="2"/>
  <c r="AV134" i="2"/>
  <c r="AV135" i="2"/>
  <c r="AV136" i="2"/>
  <c r="AV137" i="2"/>
  <c r="AV138" i="2"/>
  <c r="AV139" i="2"/>
  <c r="AV140" i="2"/>
  <c r="AV141" i="2"/>
  <c r="AV142" i="2"/>
  <c r="AV143" i="2"/>
  <c r="AV144" i="2"/>
  <c r="AV145" i="2"/>
  <c r="AV146" i="2"/>
  <c r="AV147" i="2"/>
  <c r="AV148" i="2"/>
  <c r="AV149" i="2"/>
  <c r="AV150" i="2"/>
  <c r="AV151" i="2"/>
  <c r="AV152" i="2"/>
  <c r="AV153" i="2"/>
  <c r="AV154" i="2"/>
  <c r="AV155" i="2"/>
  <c r="AV156" i="2"/>
  <c r="AV157" i="2"/>
  <c r="AV158" i="2"/>
  <c r="AV159" i="2"/>
  <c r="AV160" i="2"/>
  <c r="AV161" i="2"/>
  <c r="AV162" i="2"/>
  <c r="AV163" i="2"/>
  <c r="AV164" i="2"/>
  <c r="AV165" i="2"/>
  <c r="AV166" i="2"/>
  <c r="AV167" i="2"/>
  <c r="AV168" i="2"/>
  <c r="AV169" i="2"/>
  <c r="AV170" i="2"/>
  <c r="AV171" i="2"/>
  <c r="AV172" i="2"/>
  <c r="AV173" i="2"/>
  <c r="AV174" i="2"/>
  <c r="AV175" i="2"/>
  <c r="AV176" i="2"/>
  <c r="AV177" i="2"/>
  <c r="AV178" i="2"/>
  <c r="AV179" i="2"/>
  <c r="AV180" i="2"/>
  <c r="AV181" i="2"/>
  <c r="AV182" i="2"/>
  <c r="AV183" i="2"/>
  <c r="AV184" i="2"/>
  <c r="AV185" i="2"/>
  <c r="AV186" i="2"/>
  <c r="AV187" i="2"/>
  <c r="AV188" i="2"/>
  <c r="AV189" i="2"/>
  <c r="AV190" i="2"/>
  <c r="AV191" i="2"/>
  <c r="AV192" i="2"/>
  <c r="AV193" i="2"/>
  <c r="AV194" i="2"/>
  <c r="AV195" i="2"/>
  <c r="AV196" i="2"/>
  <c r="AV197" i="2"/>
  <c r="AV198" i="2"/>
  <c r="AV199" i="2"/>
  <c r="AV200" i="2"/>
  <c r="AV201" i="2"/>
  <c r="AV202" i="2"/>
  <c r="AV203" i="2"/>
  <c r="AV204" i="2"/>
  <c r="AV205" i="2"/>
  <c r="AV206" i="2"/>
  <c r="AV207" i="2"/>
  <c r="AV208" i="2"/>
  <c r="AV209" i="2"/>
  <c r="AV210" i="2"/>
  <c r="AV211" i="2"/>
  <c r="AV212" i="2"/>
  <c r="AV213" i="2"/>
  <c r="AV214" i="2"/>
  <c r="AV215" i="2"/>
  <c r="AV216" i="2"/>
  <c r="AV217" i="2"/>
  <c r="AV218" i="2"/>
  <c r="AV219" i="2"/>
  <c r="AV220" i="2"/>
  <c r="AV221" i="2"/>
  <c r="AV222" i="2"/>
  <c r="AV223" i="2"/>
  <c r="AV224" i="2"/>
  <c r="AV225" i="2"/>
  <c r="AV226" i="2"/>
  <c r="AV227" i="2"/>
  <c r="AV228" i="2"/>
  <c r="AV229" i="2"/>
  <c r="AV230" i="2"/>
  <c r="AV231" i="2"/>
  <c r="AV232" i="2"/>
  <c r="AV233" i="2"/>
  <c r="AV234" i="2"/>
  <c r="AV235" i="2"/>
  <c r="AV236" i="2"/>
  <c r="AV237" i="2"/>
  <c r="AV238" i="2"/>
  <c r="AV239" i="2"/>
  <c r="AV240" i="2"/>
  <c r="AV241" i="2"/>
  <c r="AV242" i="2"/>
  <c r="AV243" i="2"/>
  <c r="AV244" i="2"/>
  <c r="AV245" i="2"/>
  <c r="AV246" i="2"/>
  <c r="AV247" i="2"/>
  <c r="AV248" i="2"/>
  <c r="AV249" i="2"/>
  <c r="AV250" i="2"/>
  <c r="AV251" i="2"/>
  <c r="AV252" i="2"/>
  <c r="AV253" i="2"/>
  <c r="AV254" i="2"/>
  <c r="AV255" i="2"/>
  <c r="AV256" i="2"/>
  <c r="AV257" i="2"/>
  <c r="AV258" i="2"/>
  <c r="AV259" i="2"/>
  <c r="AV260" i="2"/>
  <c r="AV261" i="2"/>
  <c r="AV262" i="2"/>
  <c r="AV263" i="2"/>
  <c r="AV264" i="2"/>
  <c r="AV265" i="2"/>
  <c r="AV266" i="2"/>
  <c r="AV267" i="2"/>
  <c r="AV268" i="2"/>
  <c r="AV269" i="2"/>
  <c r="AV270" i="2"/>
  <c r="AV271" i="2"/>
  <c r="AV272" i="2"/>
  <c r="AV273" i="2"/>
  <c r="AV274" i="2"/>
  <c r="AV275" i="2"/>
  <c r="AV276" i="2"/>
  <c r="AV277" i="2"/>
  <c r="AV278" i="2"/>
  <c r="AV279" i="2"/>
  <c r="AV280" i="2"/>
  <c r="AV281" i="2"/>
  <c r="AV282" i="2"/>
  <c r="AV283" i="2"/>
  <c r="AV284" i="2"/>
  <c r="AV285" i="2"/>
  <c r="AV286" i="2"/>
  <c r="AV287" i="2"/>
  <c r="AV288" i="2"/>
  <c r="AV289" i="2"/>
  <c r="AV290" i="2"/>
  <c r="AV291" i="2"/>
  <c r="AV292" i="2"/>
  <c r="AV293" i="2"/>
  <c r="AV294" i="2"/>
  <c r="AV295" i="2"/>
  <c r="AV296" i="2"/>
  <c r="AV297" i="2"/>
  <c r="AV298" i="2"/>
  <c r="AV299" i="2"/>
  <c r="AV300" i="2"/>
  <c r="AV301" i="2"/>
  <c r="AV302" i="2"/>
  <c r="AV303" i="2"/>
  <c r="AV304" i="2"/>
  <c r="AV305" i="2"/>
  <c r="AV306" i="2"/>
  <c r="AV307" i="2"/>
  <c r="AV308" i="2"/>
  <c r="AV309" i="2"/>
  <c r="AV310" i="2"/>
  <c r="AV311" i="2"/>
  <c r="AV312" i="2"/>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89"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49" i="2"/>
  <c r="AU150" i="2"/>
  <c r="AU151" i="2"/>
  <c r="AU152" i="2"/>
  <c r="AU153" i="2"/>
  <c r="AU154" i="2"/>
  <c r="AU155" i="2"/>
  <c r="AU156" i="2"/>
  <c r="AU157" i="2"/>
  <c r="AU158" i="2"/>
  <c r="AU159" i="2"/>
  <c r="AU160" i="2"/>
  <c r="AU161" i="2"/>
  <c r="AU162" i="2"/>
  <c r="AU163" i="2"/>
  <c r="AU164" i="2"/>
  <c r="AU165" i="2"/>
  <c r="AU166"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5" i="2"/>
  <c r="AU196" i="2"/>
  <c r="AU197" i="2"/>
  <c r="AU198" i="2"/>
  <c r="AU199" i="2"/>
  <c r="AU200" i="2"/>
  <c r="AU201" i="2"/>
  <c r="AU202" i="2"/>
  <c r="AU203" i="2"/>
  <c r="AU204" i="2"/>
  <c r="AU205" i="2"/>
  <c r="AU206" i="2"/>
  <c r="AU207" i="2"/>
  <c r="AU208" i="2"/>
  <c r="AU209" i="2"/>
  <c r="AU210" i="2"/>
  <c r="AU211" i="2"/>
  <c r="AU212" i="2"/>
  <c r="AU213" i="2"/>
  <c r="AU214" i="2"/>
  <c r="AU215" i="2"/>
  <c r="AU216" i="2"/>
  <c r="AU217" i="2"/>
  <c r="AU218" i="2"/>
  <c r="AU219" i="2"/>
  <c r="AU220" i="2"/>
  <c r="AU221" i="2"/>
  <c r="AU222" i="2"/>
  <c r="AU223" i="2"/>
  <c r="AU224" i="2"/>
  <c r="AU225" i="2"/>
  <c r="AU226" i="2"/>
  <c r="AU227" i="2"/>
  <c r="AU228" i="2"/>
  <c r="AU229" i="2"/>
  <c r="AU230" i="2"/>
  <c r="AU231" i="2"/>
  <c r="AU232" i="2"/>
  <c r="AU233" i="2"/>
  <c r="AU234" i="2"/>
  <c r="AU235" i="2"/>
  <c r="AU236" i="2"/>
  <c r="AU237" i="2"/>
  <c r="AU238" i="2"/>
  <c r="AU239" i="2"/>
  <c r="AU240" i="2"/>
  <c r="AU241" i="2"/>
  <c r="AU242" i="2"/>
  <c r="AU243" i="2"/>
  <c r="AU244" i="2"/>
  <c r="AU245" i="2"/>
  <c r="AU246" i="2"/>
  <c r="AU247" i="2"/>
  <c r="AU248" i="2"/>
  <c r="AU249" i="2"/>
  <c r="AU250" i="2"/>
  <c r="AU251" i="2"/>
  <c r="AU252" i="2"/>
  <c r="AU253" i="2"/>
  <c r="AU254" i="2"/>
  <c r="AU255" i="2"/>
  <c r="AU256" i="2"/>
  <c r="AU257" i="2"/>
  <c r="AU258" i="2"/>
  <c r="AU259" i="2"/>
  <c r="AU260" i="2"/>
  <c r="AU261" i="2"/>
  <c r="AU262" i="2"/>
  <c r="AU263" i="2"/>
  <c r="AU264" i="2"/>
  <c r="AU265" i="2"/>
  <c r="AU266" i="2"/>
  <c r="AU267" i="2"/>
  <c r="AU268" i="2"/>
  <c r="AU269" i="2"/>
  <c r="AU270" i="2"/>
  <c r="AU271" i="2"/>
  <c r="AU272" i="2"/>
  <c r="AU273" i="2"/>
  <c r="AU274" i="2"/>
  <c r="AU275" i="2"/>
  <c r="AU276" i="2"/>
  <c r="AU277" i="2"/>
  <c r="AU278" i="2"/>
  <c r="AU279" i="2"/>
  <c r="AU280" i="2"/>
  <c r="AU281" i="2"/>
  <c r="AU282" i="2"/>
  <c r="AU283" i="2"/>
  <c r="AU284" i="2"/>
  <c r="AU285" i="2"/>
  <c r="AU286" i="2"/>
  <c r="AU287" i="2"/>
  <c r="AU288" i="2"/>
  <c r="AU289" i="2"/>
  <c r="AU290" i="2"/>
  <c r="AU291" i="2"/>
  <c r="AU292" i="2"/>
  <c r="AU293" i="2"/>
  <c r="AU294" i="2"/>
  <c r="AU295" i="2"/>
  <c r="AU296" i="2"/>
  <c r="AU297" i="2"/>
  <c r="AU298" i="2"/>
  <c r="AU299" i="2"/>
  <c r="AU300" i="2"/>
  <c r="AU301" i="2"/>
  <c r="AU302" i="2"/>
  <c r="AU303" i="2"/>
  <c r="AU304" i="2"/>
  <c r="AU305" i="2"/>
  <c r="AU306" i="2"/>
  <c r="AU307" i="2"/>
  <c r="AU308" i="2"/>
  <c r="AU309" i="2"/>
  <c r="AU310" i="2"/>
  <c r="AU311" i="2"/>
  <c r="AU312" i="2"/>
  <c r="AT2"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BI70" i="2" s="1"/>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S3" i="2"/>
  <c r="AS4" i="2"/>
  <c r="AS5" i="2"/>
  <c r="AS6" i="2"/>
  <c r="AS7" i="2"/>
  <c r="AS8"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203" i="2"/>
  <c r="AS204" i="2"/>
  <c r="AS205" i="2"/>
  <c r="AS206" i="2"/>
  <c r="AS207"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1" i="2"/>
  <c r="AS232" i="2"/>
  <c r="AS233" i="2"/>
  <c r="AS234" i="2"/>
  <c r="AS235" i="2"/>
  <c r="AS236" i="2"/>
  <c r="AS237" i="2"/>
  <c r="AS238" i="2"/>
  <c r="AS239" i="2"/>
  <c r="AS240" i="2"/>
  <c r="AS241" i="2"/>
  <c r="AS242" i="2"/>
  <c r="AS243" i="2"/>
  <c r="AS244"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R2" i="2"/>
  <c r="AR3"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O2" i="2"/>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N2" i="2"/>
  <c r="AP2" i="2" s="1"/>
  <c r="AN3" i="2"/>
  <c r="AP3" i="2" s="1"/>
  <c r="AN4" i="2"/>
  <c r="AP4" i="2" s="1"/>
  <c r="AN5" i="2"/>
  <c r="AP5" i="2" s="1"/>
  <c r="AN6" i="2"/>
  <c r="AP6" i="2" s="1"/>
  <c r="AN7" i="2"/>
  <c r="AP7" i="2" s="1"/>
  <c r="AN8" i="2"/>
  <c r="AP8" i="2" s="1"/>
  <c r="AN9" i="2"/>
  <c r="AP9" i="2" s="1"/>
  <c r="AN10" i="2"/>
  <c r="AP10" i="2" s="1"/>
  <c r="AN11" i="2"/>
  <c r="AP11" i="2" s="1"/>
  <c r="AN12" i="2"/>
  <c r="AP12" i="2" s="1"/>
  <c r="AN13" i="2"/>
  <c r="AP13" i="2" s="1"/>
  <c r="AN14" i="2"/>
  <c r="AP14" i="2" s="1"/>
  <c r="AN15" i="2"/>
  <c r="AP15" i="2" s="1"/>
  <c r="AN16" i="2"/>
  <c r="AP16" i="2" s="1"/>
  <c r="AN17" i="2"/>
  <c r="AP17" i="2" s="1"/>
  <c r="AN18" i="2"/>
  <c r="AP18" i="2" s="1"/>
  <c r="AN19" i="2"/>
  <c r="AP19" i="2" s="1"/>
  <c r="AN20" i="2"/>
  <c r="AP20" i="2" s="1"/>
  <c r="AN21" i="2"/>
  <c r="AP21" i="2" s="1"/>
  <c r="AN22" i="2"/>
  <c r="AP22" i="2" s="1"/>
  <c r="AN23" i="2"/>
  <c r="AP23" i="2" s="1"/>
  <c r="AN24" i="2"/>
  <c r="AP24" i="2" s="1"/>
  <c r="AN25" i="2"/>
  <c r="AP25" i="2" s="1"/>
  <c r="AN26" i="2"/>
  <c r="AP26" i="2" s="1"/>
  <c r="AN27" i="2"/>
  <c r="AP27" i="2" s="1"/>
  <c r="AN28" i="2"/>
  <c r="AP28" i="2" s="1"/>
  <c r="AN29" i="2"/>
  <c r="AP29" i="2" s="1"/>
  <c r="AN30" i="2"/>
  <c r="AP30" i="2" s="1"/>
  <c r="AN31" i="2"/>
  <c r="AP31" i="2" s="1"/>
  <c r="AN32" i="2"/>
  <c r="AP32" i="2" s="1"/>
  <c r="AN33" i="2"/>
  <c r="AP33" i="2" s="1"/>
  <c r="AN34" i="2"/>
  <c r="AP34" i="2" s="1"/>
  <c r="AN35" i="2"/>
  <c r="AP35" i="2" s="1"/>
  <c r="AN36" i="2"/>
  <c r="AP36" i="2" s="1"/>
  <c r="AN37" i="2"/>
  <c r="AP37" i="2" s="1"/>
  <c r="AN38" i="2"/>
  <c r="AP38" i="2" s="1"/>
  <c r="AN39" i="2"/>
  <c r="AP39" i="2" s="1"/>
  <c r="AN40" i="2"/>
  <c r="AP40" i="2" s="1"/>
  <c r="AN41" i="2"/>
  <c r="AP41" i="2" s="1"/>
  <c r="AN42" i="2"/>
  <c r="AP42" i="2" s="1"/>
  <c r="AN43" i="2"/>
  <c r="AP43" i="2" s="1"/>
  <c r="AN44" i="2"/>
  <c r="AP44" i="2" s="1"/>
  <c r="AN45" i="2"/>
  <c r="AP45" i="2" s="1"/>
  <c r="AN46" i="2"/>
  <c r="AP46" i="2" s="1"/>
  <c r="AN47" i="2"/>
  <c r="AP47" i="2" s="1"/>
  <c r="AN48" i="2"/>
  <c r="AP48" i="2" s="1"/>
  <c r="AN49" i="2"/>
  <c r="AP49" i="2" s="1"/>
  <c r="AN50" i="2"/>
  <c r="AP50" i="2" s="1"/>
  <c r="AN51" i="2"/>
  <c r="AP51" i="2" s="1"/>
  <c r="AN52" i="2"/>
  <c r="AP52" i="2" s="1"/>
  <c r="AN53" i="2"/>
  <c r="AP53" i="2" s="1"/>
  <c r="AN54" i="2"/>
  <c r="AP54" i="2" s="1"/>
  <c r="AN55" i="2"/>
  <c r="AP55" i="2" s="1"/>
  <c r="AN56" i="2"/>
  <c r="AP56" i="2" s="1"/>
  <c r="AN57" i="2"/>
  <c r="AP57" i="2" s="1"/>
  <c r="AN58" i="2"/>
  <c r="AP58" i="2" s="1"/>
  <c r="AN59" i="2"/>
  <c r="AP59" i="2" s="1"/>
  <c r="AN60" i="2"/>
  <c r="AP60" i="2" s="1"/>
  <c r="AN61" i="2"/>
  <c r="AP61" i="2" s="1"/>
  <c r="AN62" i="2"/>
  <c r="AP62" i="2" s="1"/>
  <c r="AN63" i="2"/>
  <c r="AP63" i="2" s="1"/>
  <c r="AN64" i="2"/>
  <c r="AP64" i="2" s="1"/>
  <c r="AN65" i="2"/>
  <c r="AP65" i="2" s="1"/>
  <c r="AN66" i="2"/>
  <c r="AP66" i="2" s="1"/>
  <c r="AN67" i="2"/>
  <c r="AP67" i="2" s="1"/>
  <c r="AN68" i="2"/>
  <c r="AP68" i="2" s="1"/>
  <c r="AN69" i="2"/>
  <c r="AP69" i="2" s="1"/>
  <c r="AN70" i="2"/>
  <c r="AP70" i="2" s="1"/>
  <c r="AN71" i="2"/>
  <c r="AP71" i="2" s="1"/>
  <c r="AN72" i="2"/>
  <c r="AP72" i="2" s="1"/>
  <c r="AN73" i="2"/>
  <c r="AP73" i="2" s="1"/>
  <c r="AN74" i="2"/>
  <c r="AP74" i="2" s="1"/>
  <c r="AN75" i="2"/>
  <c r="AP75" i="2" s="1"/>
  <c r="AN76" i="2"/>
  <c r="AP76" i="2" s="1"/>
  <c r="AN77" i="2"/>
  <c r="AP77" i="2" s="1"/>
  <c r="AN78" i="2"/>
  <c r="AP78" i="2" s="1"/>
  <c r="AN79" i="2"/>
  <c r="AP79" i="2" s="1"/>
  <c r="AN80" i="2"/>
  <c r="AP80" i="2" s="1"/>
  <c r="AN81" i="2"/>
  <c r="AP81" i="2" s="1"/>
  <c r="AN82" i="2"/>
  <c r="AP82" i="2" s="1"/>
  <c r="AN83" i="2"/>
  <c r="AP83" i="2" s="1"/>
  <c r="AN84" i="2"/>
  <c r="AP84" i="2" s="1"/>
  <c r="AN85" i="2"/>
  <c r="AP85" i="2" s="1"/>
  <c r="AN86" i="2"/>
  <c r="AP86" i="2" s="1"/>
  <c r="AN87" i="2"/>
  <c r="AP87" i="2" s="1"/>
  <c r="AN88" i="2"/>
  <c r="AP88" i="2" s="1"/>
  <c r="AN89" i="2"/>
  <c r="AP89" i="2" s="1"/>
  <c r="AN90" i="2"/>
  <c r="AP90" i="2" s="1"/>
  <c r="AN91" i="2"/>
  <c r="AP91" i="2" s="1"/>
  <c r="AN92" i="2"/>
  <c r="AP92" i="2" s="1"/>
  <c r="AN93" i="2"/>
  <c r="AP93" i="2" s="1"/>
  <c r="AN94" i="2"/>
  <c r="AP94" i="2" s="1"/>
  <c r="AN95" i="2"/>
  <c r="AP95" i="2" s="1"/>
  <c r="AN96" i="2"/>
  <c r="AP96" i="2" s="1"/>
  <c r="AN97" i="2"/>
  <c r="AP97" i="2" s="1"/>
  <c r="AN98" i="2"/>
  <c r="AP98" i="2" s="1"/>
  <c r="AN99" i="2"/>
  <c r="AP99" i="2" s="1"/>
  <c r="AN100" i="2"/>
  <c r="AP100" i="2" s="1"/>
  <c r="AN101" i="2"/>
  <c r="AP101" i="2" s="1"/>
  <c r="AN102" i="2"/>
  <c r="AP102" i="2" s="1"/>
  <c r="AN103" i="2"/>
  <c r="AP103" i="2" s="1"/>
  <c r="AN104" i="2"/>
  <c r="AP104" i="2" s="1"/>
  <c r="AN105" i="2"/>
  <c r="AP105" i="2" s="1"/>
  <c r="AN106" i="2"/>
  <c r="AP106" i="2" s="1"/>
  <c r="AN107" i="2"/>
  <c r="AP107" i="2" s="1"/>
  <c r="AN108" i="2"/>
  <c r="AP108" i="2" s="1"/>
  <c r="AN109" i="2"/>
  <c r="AP109" i="2" s="1"/>
  <c r="AN110" i="2"/>
  <c r="AP110" i="2" s="1"/>
  <c r="AN111" i="2"/>
  <c r="AP111" i="2" s="1"/>
  <c r="AN112" i="2"/>
  <c r="AP112" i="2" s="1"/>
  <c r="AN113" i="2"/>
  <c r="AP113" i="2" s="1"/>
  <c r="AN114" i="2"/>
  <c r="AP114" i="2" s="1"/>
  <c r="AN115" i="2"/>
  <c r="AP115" i="2" s="1"/>
  <c r="AN116" i="2"/>
  <c r="AP116" i="2" s="1"/>
  <c r="AN117" i="2"/>
  <c r="AP117" i="2" s="1"/>
  <c r="AN118" i="2"/>
  <c r="AP118" i="2" s="1"/>
  <c r="AN119" i="2"/>
  <c r="AP119" i="2" s="1"/>
  <c r="AN120" i="2"/>
  <c r="AP120" i="2" s="1"/>
  <c r="AN121" i="2"/>
  <c r="AP121" i="2" s="1"/>
  <c r="AN122" i="2"/>
  <c r="AP122" i="2" s="1"/>
  <c r="AN123" i="2"/>
  <c r="AP123" i="2" s="1"/>
  <c r="AN124" i="2"/>
  <c r="AP124" i="2" s="1"/>
  <c r="AN125" i="2"/>
  <c r="AP125" i="2" s="1"/>
  <c r="AN126" i="2"/>
  <c r="AP126" i="2" s="1"/>
  <c r="AN127" i="2"/>
  <c r="AP127" i="2" s="1"/>
  <c r="AN128" i="2"/>
  <c r="AP128" i="2" s="1"/>
  <c r="AN129" i="2"/>
  <c r="AP129" i="2" s="1"/>
  <c r="AN130" i="2"/>
  <c r="AP130" i="2" s="1"/>
  <c r="AN131" i="2"/>
  <c r="AP131" i="2" s="1"/>
  <c r="AN132" i="2"/>
  <c r="AP132" i="2" s="1"/>
  <c r="AN133" i="2"/>
  <c r="AP133" i="2" s="1"/>
  <c r="AN134" i="2"/>
  <c r="AP134" i="2" s="1"/>
  <c r="AN135" i="2"/>
  <c r="AP135" i="2" s="1"/>
  <c r="AN136" i="2"/>
  <c r="AP136" i="2" s="1"/>
  <c r="AN137" i="2"/>
  <c r="AP137" i="2" s="1"/>
  <c r="AN138" i="2"/>
  <c r="AP138" i="2" s="1"/>
  <c r="AN139" i="2"/>
  <c r="AP139" i="2" s="1"/>
  <c r="AN140" i="2"/>
  <c r="AP140" i="2" s="1"/>
  <c r="AN141" i="2"/>
  <c r="AP141" i="2" s="1"/>
  <c r="AN142" i="2"/>
  <c r="AP142" i="2" s="1"/>
  <c r="AN143" i="2"/>
  <c r="AP143" i="2" s="1"/>
  <c r="AN144" i="2"/>
  <c r="AP144" i="2" s="1"/>
  <c r="AN145" i="2"/>
  <c r="AP145" i="2" s="1"/>
  <c r="AN146" i="2"/>
  <c r="AP146" i="2" s="1"/>
  <c r="AN147" i="2"/>
  <c r="AP147" i="2" s="1"/>
  <c r="AN148" i="2"/>
  <c r="AP148" i="2" s="1"/>
  <c r="AN149" i="2"/>
  <c r="AP149" i="2" s="1"/>
  <c r="AN150" i="2"/>
  <c r="AP150" i="2" s="1"/>
  <c r="AN151" i="2"/>
  <c r="AP151" i="2" s="1"/>
  <c r="AN152" i="2"/>
  <c r="AP152" i="2" s="1"/>
  <c r="AN153" i="2"/>
  <c r="AP153" i="2" s="1"/>
  <c r="AN154" i="2"/>
  <c r="AP154" i="2" s="1"/>
  <c r="AN155" i="2"/>
  <c r="AP155" i="2" s="1"/>
  <c r="AN156" i="2"/>
  <c r="AP156" i="2" s="1"/>
  <c r="AN157" i="2"/>
  <c r="AP157" i="2" s="1"/>
  <c r="AN158" i="2"/>
  <c r="AP158" i="2" s="1"/>
  <c r="AN159" i="2"/>
  <c r="AP159" i="2" s="1"/>
  <c r="AN160" i="2"/>
  <c r="AP160" i="2" s="1"/>
  <c r="AN161" i="2"/>
  <c r="AP161" i="2" s="1"/>
  <c r="AN162" i="2"/>
  <c r="AP162" i="2" s="1"/>
  <c r="AN163" i="2"/>
  <c r="AP163" i="2" s="1"/>
  <c r="AN164" i="2"/>
  <c r="AP164" i="2" s="1"/>
  <c r="AN165" i="2"/>
  <c r="AP165" i="2" s="1"/>
  <c r="AN166" i="2"/>
  <c r="AP166" i="2" s="1"/>
  <c r="AN167" i="2"/>
  <c r="AP167" i="2" s="1"/>
  <c r="AN168" i="2"/>
  <c r="AP168" i="2" s="1"/>
  <c r="AN169" i="2"/>
  <c r="AP169" i="2" s="1"/>
  <c r="AN170" i="2"/>
  <c r="AP170" i="2" s="1"/>
  <c r="AN171" i="2"/>
  <c r="AP171" i="2" s="1"/>
  <c r="AN172" i="2"/>
  <c r="AP172" i="2" s="1"/>
  <c r="AN173" i="2"/>
  <c r="AP173" i="2" s="1"/>
  <c r="AN174" i="2"/>
  <c r="AP174" i="2" s="1"/>
  <c r="AN175" i="2"/>
  <c r="AP175" i="2" s="1"/>
  <c r="AN176" i="2"/>
  <c r="AP176" i="2" s="1"/>
  <c r="AN177" i="2"/>
  <c r="AP177" i="2" s="1"/>
  <c r="AN178" i="2"/>
  <c r="AP178" i="2" s="1"/>
  <c r="AN179" i="2"/>
  <c r="AP179" i="2" s="1"/>
  <c r="AN180" i="2"/>
  <c r="AP180" i="2" s="1"/>
  <c r="AN181" i="2"/>
  <c r="AP181" i="2" s="1"/>
  <c r="AN182" i="2"/>
  <c r="AP182" i="2" s="1"/>
  <c r="AN183" i="2"/>
  <c r="AP183" i="2" s="1"/>
  <c r="AN184" i="2"/>
  <c r="AP184" i="2" s="1"/>
  <c r="AN185" i="2"/>
  <c r="AP185" i="2" s="1"/>
  <c r="AN186" i="2"/>
  <c r="AP186" i="2" s="1"/>
  <c r="AN187" i="2"/>
  <c r="AP187" i="2" s="1"/>
  <c r="AN188" i="2"/>
  <c r="AP188" i="2" s="1"/>
  <c r="AN189" i="2"/>
  <c r="AP189" i="2" s="1"/>
  <c r="AN190" i="2"/>
  <c r="AP190" i="2" s="1"/>
  <c r="AN191" i="2"/>
  <c r="AP191" i="2" s="1"/>
  <c r="AN192" i="2"/>
  <c r="AP192" i="2" s="1"/>
  <c r="AN193" i="2"/>
  <c r="AP193" i="2" s="1"/>
  <c r="AN194" i="2"/>
  <c r="AP194" i="2" s="1"/>
  <c r="AN195" i="2"/>
  <c r="AP195" i="2" s="1"/>
  <c r="AN196" i="2"/>
  <c r="AP196" i="2" s="1"/>
  <c r="AN197" i="2"/>
  <c r="AP197" i="2" s="1"/>
  <c r="AN198" i="2"/>
  <c r="AP198" i="2" s="1"/>
  <c r="AN199" i="2"/>
  <c r="AP199" i="2" s="1"/>
  <c r="AN200" i="2"/>
  <c r="AP200" i="2" s="1"/>
  <c r="AN201" i="2"/>
  <c r="AP201" i="2" s="1"/>
  <c r="AN202" i="2"/>
  <c r="AP202" i="2" s="1"/>
  <c r="AN203" i="2"/>
  <c r="AP203" i="2" s="1"/>
  <c r="AN204" i="2"/>
  <c r="AP204" i="2" s="1"/>
  <c r="AN205" i="2"/>
  <c r="AP205" i="2" s="1"/>
  <c r="AN206" i="2"/>
  <c r="AP206" i="2" s="1"/>
  <c r="AN207" i="2"/>
  <c r="AP207" i="2" s="1"/>
  <c r="AN208" i="2"/>
  <c r="AP208" i="2" s="1"/>
  <c r="AN209" i="2"/>
  <c r="AP209" i="2" s="1"/>
  <c r="AN210" i="2"/>
  <c r="AP210" i="2" s="1"/>
  <c r="AN211" i="2"/>
  <c r="AP211" i="2" s="1"/>
  <c r="AN212" i="2"/>
  <c r="AP212" i="2" s="1"/>
  <c r="AN213" i="2"/>
  <c r="AP213" i="2" s="1"/>
  <c r="AN214" i="2"/>
  <c r="AP214" i="2" s="1"/>
  <c r="AN215" i="2"/>
  <c r="AP215" i="2" s="1"/>
  <c r="AN216" i="2"/>
  <c r="AP216" i="2" s="1"/>
  <c r="AN217" i="2"/>
  <c r="AP217" i="2" s="1"/>
  <c r="AN218" i="2"/>
  <c r="AP218" i="2" s="1"/>
  <c r="AN219" i="2"/>
  <c r="AP219" i="2" s="1"/>
  <c r="AN220" i="2"/>
  <c r="AP220" i="2" s="1"/>
  <c r="AN221" i="2"/>
  <c r="AP221" i="2" s="1"/>
  <c r="AN222" i="2"/>
  <c r="AP222" i="2" s="1"/>
  <c r="AN223" i="2"/>
  <c r="AP223" i="2" s="1"/>
  <c r="AN224" i="2"/>
  <c r="AP224" i="2" s="1"/>
  <c r="AN225" i="2"/>
  <c r="AP225" i="2" s="1"/>
  <c r="AN226" i="2"/>
  <c r="AP226" i="2" s="1"/>
  <c r="AN227" i="2"/>
  <c r="AP227" i="2" s="1"/>
  <c r="AN228" i="2"/>
  <c r="AP228" i="2" s="1"/>
  <c r="AN229" i="2"/>
  <c r="AP229" i="2" s="1"/>
  <c r="AN230" i="2"/>
  <c r="AP230" i="2" s="1"/>
  <c r="AN231" i="2"/>
  <c r="AP231" i="2" s="1"/>
  <c r="AN232" i="2"/>
  <c r="AP232" i="2" s="1"/>
  <c r="AN233" i="2"/>
  <c r="AP233" i="2" s="1"/>
  <c r="AN234" i="2"/>
  <c r="AP234" i="2" s="1"/>
  <c r="AN235" i="2"/>
  <c r="AP235" i="2" s="1"/>
  <c r="AN236" i="2"/>
  <c r="AP236" i="2" s="1"/>
  <c r="AN237" i="2"/>
  <c r="AP237" i="2" s="1"/>
  <c r="AN238" i="2"/>
  <c r="AP238" i="2" s="1"/>
  <c r="AN239" i="2"/>
  <c r="AP239" i="2" s="1"/>
  <c r="AN240" i="2"/>
  <c r="AP240" i="2" s="1"/>
  <c r="AN241" i="2"/>
  <c r="AP241" i="2" s="1"/>
  <c r="AN242" i="2"/>
  <c r="AP242" i="2" s="1"/>
  <c r="AN243" i="2"/>
  <c r="AP243" i="2" s="1"/>
  <c r="AN244" i="2"/>
  <c r="AP244" i="2" s="1"/>
  <c r="AN245" i="2"/>
  <c r="AP245" i="2" s="1"/>
  <c r="AN246" i="2"/>
  <c r="AP246" i="2" s="1"/>
  <c r="AN247" i="2"/>
  <c r="AP247" i="2" s="1"/>
  <c r="AN248" i="2"/>
  <c r="AP248" i="2" s="1"/>
  <c r="AN249" i="2"/>
  <c r="AP249" i="2" s="1"/>
  <c r="AN250" i="2"/>
  <c r="AP250" i="2" s="1"/>
  <c r="AN251" i="2"/>
  <c r="AP251" i="2" s="1"/>
  <c r="AN252" i="2"/>
  <c r="AP252" i="2" s="1"/>
  <c r="AN253" i="2"/>
  <c r="AP253" i="2" s="1"/>
  <c r="AN254" i="2"/>
  <c r="AP254" i="2" s="1"/>
  <c r="AN255" i="2"/>
  <c r="AP255" i="2" s="1"/>
  <c r="AN256" i="2"/>
  <c r="AP256" i="2" s="1"/>
  <c r="AN257" i="2"/>
  <c r="AP257" i="2" s="1"/>
  <c r="AN258" i="2"/>
  <c r="AP258" i="2" s="1"/>
  <c r="AN259" i="2"/>
  <c r="AP259" i="2" s="1"/>
  <c r="AN260" i="2"/>
  <c r="AP260" i="2" s="1"/>
  <c r="AN261" i="2"/>
  <c r="AP261" i="2" s="1"/>
  <c r="AN262" i="2"/>
  <c r="AP262" i="2" s="1"/>
  <c r="AN263" i="2"/>
  <c r="AP263" i="2" s="1"/>
  <c r="AN264" i="2"/>
  <c r="AP264" i="2" s="1"/>
  <c r="AN265" i="2"/>
  <c r="AP265" i="2" s="1"/>
  <c r="AN266" i="2"/>
  <c r="AP266" i="2" s="1"/>
  <c r="AN267" i="2"/>
  <c r="AP267" i="2" s="1"/>
  <c r="AN268" i="2"/>
  <c r="AP268" i="2" s="1"/>
  <c r="AN269" i="2"/>
  <c r="AP269" i="2" s="1"/>
  <c r="AN270" i="2"/>
  <c r="AP270" i="2" s="1"/>
  <c r="AN271" i="2"/>
  <c r="AP271" i="2" s="1"/>
  <c r="AN272" i="2"/>
  <c r="AP272" i="2" s="1"/>
  <c r="AN273" i="2"/>
  <c r="AP273" i="2" s="1"/>
  <c r="AN274" i="2"/>
  <c r="AP274" i="2" s="1"/>
  <c r="AN275" i="2"/>
  <c r="AP275" i="2" s="1"/>
  <c r="AN276" i="2"/>
  <c r="AP276" i="2" s="1"/>
  <c r="AN277" i="2"/>
  <c r="AP277" i="2" s="1"/>
  <c r="AN278" i="2"/>
  <c r="AP278" i="2" s="1"/>
  <c r="AN279" i="2"/>
  <c r="AP279" i="2" s="1"/>
  <c r="AN280" i="2"/>
  <c r="AP280" i="2" s="1"/>
  <c r="AN281" i="2"/>
  <c r="AP281" i="2" s="1"/>
  <c r="AN282" i="2"/>
  <c r="AP282" i="2" s="1"/>
  <c r="AN283" i="2"/>
  <c r="AP283" i="2" s="1"/>
  <c r="AN284" i="2"/>
  <c r="AP284" i="2" s="1"/>
  <c r="AN285" i="2"/>
  <c r="AP285" i="2" s="1"/>
  <c r="AN286" i="2"/>
  <c r="AP286" i="2" s="1"/>
  <c r="AN287" i="2"/>
  <c r="AP287" i="2" s="1"/>
  <c r="AN288" i="2"/>
  <c r="AP288" i="2" s="1"/>
  <c r="AN289" i="2"/>
  <c r="AP289" i="2" s="1"/>
  <c r="AN290" i="2"/>
  <c r="AP290" i="2" s="1"/>
  <c r="AN291" i="2"/>
  <c r="AP291" i="2" s="1"/>
  <c r="AN292" i="2"/>
  <c r="AP292" i="2" s="1"/>
  <c r="AN293" i="2"/>
  <c r="AP293" i="2" s="1"/>
  <c r="AN294" i="2"/>
  <c r="AP294" i="2" s="1"/>
  <c r="AN295" i="2"/>
  <c r="AP295" i="2" s="1"/>
  <c r="AN296" i="2"/>
  <c r="AP296" i="2" s="1"/>
  <c r="AN297" i="2"/>
  <c r="AP297" i="2" s="1"/>
  <c r="AN298" i="2"/>
  <c r="AP298" i="2" s="1"/>
  <c r="AN299" i="2"/>
  <c r="AP299" i="2" s="1"/>
  <c r="AN300" i="2"/>
  <c r="AP300" i="2" s="1"/>
  <c r="AN301" i="2"/>
  <c r="AP301" i="2" s="1"/>
  <c r="AN302" i="2"/>
  <c r="AP302" i="2" s="1"/>
  <c r="AN303" i="2"/>
  <c r="AP303" i="2" s="1"/>
  <c r="AN304" i="2"/>
  <c r="AP304" i="2" s="1"/>
  <c r="AN305" i="2"/>
  <c r="AP305" i="2" s="1"/>
  <c r="AN306" i="2"/>
  <c r="AP306" i="2" s="1"/>
  <c r="AN307" i="2"/>
  <c r="AP307" i="2" s="1"/>
  <c r="AN308" i="2"/>
  <c r="AP308" i="2" s="1"/>
  <c r="AN309" i="2"/>
  <c r="AP309" i="2" s="1"/>
  <c r="AN310" i="2"/>
  <c r="AP310" i="2" s="1"/>
  <c r="AN311" i="2"/>
  <c r="AP311" i="2" s="1"/>
  <c r="AN312" i="2"/>
  <c r="AP312" i="2" s="1"/>
  <c r="BG7"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BG4" i="2"/>
  <c r="BG81" i="2" l="1"/>
  <c r="BM26" i="2"/>
  <c r="BW1" i="2" a="1"/>
  <c r="BW1" i="2" s="1"/>
  <c r="BV1" i="2" a="1"/>
  <c r="BV1" i="2" s="1"/>
  <c r="BG70" i="2"/>
  <c r="BG76" i="2"/>
  <c r="BG62" i="2" a="1"/>
  <c r="BG62" i="2" s="1"/>
  <c r="BG52" i="2"/>
  <c r="BG66" i="2"/>
  <c r="BG63" i="2"/>
  <c r="BG65" i="2"/>
  <c r="BG67" i="2"/>
  <c r="BH49" i="2"/>
  <c r="BM9" i="2"/>
  <c r="BM6" i="2"/>
  <c r="BN6" i="2" s="1"/>
  <c r="BQ5" i="2" s="1"/>
  <c r="BM7" i="2"/>
  <c r="BM8" i="2"/>
  <c r="BG60" i="2"/>
  <c r="BG57" i="2"/>
  <c r="BG58" i="2"/>
  <c r="BG53" i="2"/>
  <c r="BG54" i="2"/>
  <c r="BI69" i="2"/>
  <c r="BI72" i="2"/>
  <c r="BI66" i="2"/>
  <c r="BI68" i="2"/>
  <c r="BI71" i="2"/>
  <c r="BI67" i="2"/>
  <c r="BG25" i="2"/>
  <c r="BI31" i="2"/>
  <c r="BI41" i="2"/>
  <c r="BI30" i="2"/>
  <c r="BI34" i="2"/>
  <c r="BI38" i="2"/>
  <c r="BI35" i="2"/>
  <c r="BI39" i="2"/>
  <c r="BI32" i="2"/>
  <c r="BI36" i="2"/>
  <c r="BI40" i="2"/>
  <c r="BI29" i="2"/>
  <c r="BI33" i="2"/>
  <c r="BI37" i="2"/>
  <c r="BF61" i="2"/>
  <c r="BF59" i="2"/>
  <c r="BF57" i="2"/>
  <c r="BF55" i="2"/>
  <c r="BF49" i="2"/>
  <c r="BF47" i="2"/>
  <c r="BF45" i="2"/>
  <c r="BF43" i="2"/>
  <c r="BF41" i="2"/>
  <c r="BF38" i="2"/>
  <c r="BF37" i="2"/>
  <c r="BF36" i="2"/>
  <c r="BF34" i="2"/>
  <c r="BF35" i="2"/>
  <c r="AQ310" i="2"/>
  <c r="AQ306" i="2"/>
  <c r="AQ302" i="2"/>
  <c r="AQ298" i="2"/>
  <c r="AQ304" i="2"/>
  <c r="AQ294" i="2"/>
  <c r="AQ278" i="2"/>
  <c r="AQ262" i="2"/>
  <c r="AQ246" i="2"/>
  <c r="AQ230" i="2"/>
  <c r="AQ214" i="2"/>
  <c r="AQ198" i="2"/>
  <c r="AQ182" i="2"/>
  <c r="AQ166" i="2"/>
  <c r="AQ150" i="2"/>
  <c r="AQ146" i="2"/>
  <c r="AQ142" i="2"/>
  <c r="AQ138" i="2"/>
  <c r="AQ134" i="2"/>
  <c r="AQ130" i="2"/>
  <c r="AQ126" i="2"/>
  <c r="AQ122" i="2"/>
  <c r="AQ118" i="2"/>
  <c r="AQ114" i="2"/>
  <c r="AQ110" i="2"/>
  <c r="AQ106" i="2"/>
  <c r="AQ102" i="2"/>
  <c r="AQ98" i="2"/>
  <c r="AQ94" i="2"/>
  <c r="AQ90" i="2"/>
  <c r="AQ86" i="2"/>
  <c r="AQ82" i="2"/>
  <c r="AQ78" i="2"/>
  <c r="AQ74" i="2"/>
  <c r="AQ70" i="2"/>
  <c r="AQ66" i="2"/>
  <c r="AQ62" i="2"/>
  <c r="AQ58" i="2"/>
  <c r="AQ54" i="2"/>
  <c r="AQ50" i="2"/>
  <c r="AQ46" i="2"/>
  <c r="AQ42" i="2"/>
  <c r="AQ38" i="2"/>
  <c r="AQ34" i="2"/>
  <c r="AQ30" i="2"/>
  <c r="AQ26" i="2"/>
  <c r="AQ22" i="2"/>
  <c r="AQ18" i="2"/>
  <c r="AQ14" i="2"/>
  <c r="AQ10" i="2"/>
  <c r="AQ6" i="2"/>
  <c r="AQ286" i="2"/>
  <c r="AQ266" i="2"/>
  <c r="AQ258" i="2"/>
  <c r="AQ234" i="2"/>
  <c r="AQ226" i="2"/>
  <c r="AQ206" i="2"/>
  <c r="AQ194" i="2"/>
  <c r="AQ174" i="2"/>
  <c r="AQ154" i="2"/>
  <c r="AQ301" i="2"/>
  <c r="AQ289" i="2"/>
  <c r="AQ277" i="2"/>
  <c r="AQ265" i="2"/>
  <c r="AQ249" i="2"/>
  <c r="AQ237" i="2"/>
  <c r="AQ225" i="2"/>
  <c r="AQ213" i="2"/>
  <c r="AQ197" i="2"/>
  <c r="AQ137" i="2"/>
  <c r="AQ129" i="2"/>
  <c r="AQ121" i="2"/>
  <c r="AQ113" i="2"/>
  <c r="AQ105" i="2"/>
  <c r="AQ97" i="2"/>
  <c r="AQ89" i="2"/>
  <c r="AQ85" i="2"/>
  <c r="AQ77" i="2"/>
  <c r="AQ73" i="2"/>
  <c r="AQ69" i="2"/>
  <c r="AQ65" i="2"/>
  <c r="AQ61" i="2"/>
  <c r="AQ57" i="2"/>
  <c r="AQ53" i="2"/>
  <c r="AQ49" i="2"/>
  <c r="AQ45" i="2"/>
  <c r="AQ41" i="2"/>
  <c r="AQ37" i="2"/>
  <c r="AQ33" i="2"/>
  <c r="AQ29" i="2"/>
  <c r="AQ25" i="2"/>
  <c r="AQ21" i="2"/>
  <c r="AQ17" i="2"/>
  <c r="AQ13" i="2"/>
  <c r="AQ9" i="2"/>
  <c r="AQ5" i="2"/>
  <c r="AQ290" i="2"/>
  <c r="AQ270" i="2"/>
  <c r="AQ254" i="2"/>
  <c r="AQ238" i="2"/>
  <c r="AQ222" i="2"/>
  <c r="AQ202" i="2"/>
  <c r="AQ190" i="2"/>
  <c r="AQ170" i="2"/>
  <c r="AQ162" i="2"/>
  <c r="AQ309" i="2"/>
  <c r="AQ297" i="2"/>
  <c r="AQ296" i="2"/>
  <c r="AQ285" i="2"/>
  <c r="AQ281" i="2"/>
  <c r="AQ269" i="2"/>
  <c r="AQ257" i="2"/>
  <c r="AQ245" i="2"/>
  <c r="AQ233" i="2"/>
  <c r="AQ221" i="2"/>
  <c r="AQ209" i="2"/>
  <c r="AQ201" i="2"/>
  <c r="AQ189" i="2"/>
  <c r="AQ185" i="2"/>
  <c r="AQ177" i="2"/>
  <c r="AQ169" i="2"/>
  <c r="AQ149" i="2"/>
  <c r="AQ145" i="2"/>
  <c r="AQ133" i="2"/>
  <c r="AQ125" i="2"/>
  <c r="AQ117" i="2"/>
  <c r="AQ109" i="2"/>
  <c r="AQ101" i="2"/>
  <c r="AQ93" i="2"/>
  <c r="AQ81" i="2"/>
  <c r="AQ292" i="2"/>
  <c r="AQ288" i="2"/>
  <c r="AQ284" i="2"/>
  <c r="AQ280" i="2"/>
  <c r="AQ276" i="2"/>
  <c r="AQ272" i="2"/>
  <c r="AQ268" i="2"/>
  <c r="AQ264" i="2"/>
  <c r="AQ260" i="2"/>
  <c r="AQ256" i="2"/>
  <c r="AQ252" i="2"/>
  <c r="AQ248" i="2"/>
  <c r="AQ244" i="2"/>
  <c r="AQ240" i="2"/>
  <c r="AQ236" i="2"/>
  <c r="AQ232" i="2"/>
  <c r="AQ228" i="2"/>
  <c r="AQ224" i="2"/>
  <c r="AQ220" i="2"/>
  <c r="AQ216" i="2"/>
  <c r="AQ212" i="2"/>
  <c r="AQ208" i="2"/>
  <c r="AQ204" i="2"/>
  <c r="AQ200" i="2"/>
  <c r="AQ196" i="2"/>
  <c r="AQ192" i="2"/>
  <c r="AQ184" i="2"/>
  <c r="AQ176" i="2"/>
  <c r="AQ160" i="2"/>
  <c r="AQ156" i="2"/>
  <c r="AQ152" i="2"/>
  <c r="AQ148" i="2"/>
  <c r="AQ128" i="2"/>
  <c r="AQ124" i="2"/>
  <c r="AQ120" i="2"/>
  <c r="AQ116" i="2"/>
  <c r="AQ96" i="2"/>
  <c r="AQ92" i="2"/>
  <c r="AQ308" i="2"/>
  <c r="AQ300" i="2"/>
  <c r="AQ282" i="2"/>
  <c r="AQ274" i="2"/>
  <c r="AQ250" i="2"/>
  <c r="AQ242" i="2"/>
  <c r="AQ218" i="2"/>
  <c r="AQ210" i="2"/>
  <c r="AQ186" i="2"/>
  <c r="AQ178" i="2"/>
  <c r="AQ158" i="2"/>
  <c r="AQ305" i="2"/>
  <c r="AQ293" i="2"/>
  <c r="AQ273" i="2"/>
  <c r="AQ261" i="2"/>
  <c r="AQ253" i="2"/>
  <c r="AQ241" i="2"/>
  <c r="AQ229" i="2"/>
  <c r="AQ217" i="2"/>
  <c r="AQ205" i="2"/>
  <c r="AQ193" i="2"/>
  <c r="AQ181" i="2"/>
  <c r="AQ173" i="2"/>
  <c r="AQ165" i="2"/>
  <c r="AQ161" i="2"/>
  <c r="AQ157" i="2"/>
  <c r="AQ153" i="2"/>
  <c r="AQ141" i="2"/>
  <c r="AQ307" i="2"/>
  <c r="AQ303" i="2"/>
  <c r="AQ299" i="2"/>
  <c r="AQ295" i="2"/>
  <c r="AQ291" i="2"/>
  <c r="AQ287" i="2"/>
  <c r="AQ283" i="2"/>
  <c r="AQ279" i="2"/>
  <c r="AQ275" i="2"/>
  <c r="AQ271" i="2"/>
  <c r="AQ267" i="2"/>
  <c r="AQ263" i="2"/>
  <c r="AQ259" i="2"/>
  <c r="AQ255" i="2"/>
  <c r="AQ251" i="2"/>
  <c r="AQ247" i="2"/>
  <c r="AQ243" i="2"/>
  <c r="AQ239" i="2"/>
  <c r="AQ235" i="2"/>
  <c r="AQ231" i="2"/>
  <c r="AQ227" i="2"/>
  <c r="AQ223" i="2"/>
  <c r="AQ219" i="2"/>
  <c r="AQ215" i="2"/>
  <c r="AQ211" i="2"/>
  <c r="AQ207" i="2"/>
  <c r="AQ203" i="2"/>
  <c r="AQ199" i="2"/>
  <c r="AQ195" i="2"/>
  <c r="AQ191" i="2"/>
  <c r="AQ187" i="2"/>
  <c r="AQ183" i="2"/>
  <c r="AQ179" i="2"/>
  <c r="AQ175" i="2"/>
  <c r="AQ171" i="2"/>
  <c r="AQ167" i="2"/>
  <c r="AQ163" i="2"/>
  <c r="AQ159" i="2"/>
  <c r="AQ155" i="2"/>
  <c r="AQ151" i="2"/>
  <c r="AQ147" i="2"/>
  <c r="AQ143" i="2"/>
  <c r="AQ139" i="2"/>
  <c r="AQ135" i="2"/>
  <c r="AQ131" i="2"/>
  <c r="AQ127" i="2"/>
  <c r="AQ123" i="2"/>
  <c r="AQ119" i="2"/>
  <c r="AQ115" i="2"/>
  <c r="AQ111" i="2"/>
  <c r="AQ107" i="2"/>
  <c r="AQ103" i="2"/>
  <c r="AQ99" i="2"/>
  <c r="AQ95" i="2"/>
  <c r="AQ91" i="2"/>
  <c r="AQ188" i="2"/>
  <c r="AQ180" i="2"/>
  <c r="AQ172" i="2"/>
  <c r="AQ168" i="2"/>
  <c r="AQ164" i="2"/>
  <c r="AQ144" i="2"/>
  <c r="AQ140" i="2"/>
  <c r="AQ136" i="2"/>
  <c r="AQ132" i="2"/>
  <c r="AQ112" i="2"/>
  <c r="AQ108" i="2"/>
  <c r="AQ104" i="2"/>
  <c r="AQ100" i="2"/>
  <c r="AQ88" i="2"/>
  <c r="AQ84" i="2"/>
  <c r="AQ80" i="2"/>
  <c r="AQ76" i="2"/>
  <c r="AQ72" i="2"/>
  <c r="AQ68" i="2"/>
  <c r="AQ64" i="2"/>
  <c r="AQ60" i="2"/>
  <c r="AQ56" i="2"/>
  <c r="AQ52" i="2"/>
  <c r="AQ48" i="2"/>
  <c r="AQ44" i="2"/>
  <c r="AQ40" i="2"/>
  <c r="AQ36" i="2"/>
  <c r="AQ32" i="2"/>
  <c r="AQ28" i="2"/>
  <c r="AQ24" i="2"/>
  <c r="AQ20" i="2"/>
  <c r="AQ16" i="2"/>
  <c r="AQ12" i="2"/>
  <c r="AQ8" i="2"/>
  <c r="AQ4" i="2"/>
  <c r="AQ87" i="2"/>
  <c r="AQ83" i="2"/>
  <c r="AQ79" i="2"/>
  <c r="AQ75" i="2"/>
  <c r="AQ71" i="2"/>
  <c r="AQ67" i="2"/>
  <c r="AQ63" i="2"/>
  <c r="AQ59" i="2"/>
  <c r="AQ55" i="2"/>
  <c r="AQ51" i="2"/>
  <c r="AQ47" i="2"/>
  <c r="AQ43" i="2"/>
  <c r="AQ39" i="2"/>
  <c r="AQ35" i="2"/>
  <c r="AQ31" i="2"/>
  <c r="AQ27" i="2"/>
  <c r="AQ23" i="2"/>
  <c r="AQ19" i="2"/>
  <c r="AQ15" i="2"/>
  <c r="AQ11" i="2"/>
  <c r="AQ7" i="2"/>
  <c r="AQ3" i="2"/>
  <c r="BN8" i="2" l="1"/>
  <c r="BQ7" i="2" s="1"/>
  <c r="BN7" i="2"/>
  <c r="BQ6" i="2" s="1"/>
  <c r="AQ2" i="2"/>
  <c r="BF31" i="2"/>
  <c r="BF28" i="2"/>
  <c r="BN9" i="2" l="1"/>
  <c r="BG49" i="2"/>
  <c r="BG48" i="2"/>
  <c r="BG47" i="2"/>
  <c r="BG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F836BB-E97D-419E-820B-4722D2F19B14}" keepAlive="1" name="Query - HRDataset_v14" description="Connection to the 'HRDataset_v14' query in the workbook." type="5" refreshedVersion="7" background="1" saveData="1">
    <dbPr connection="Provider=Microsoft.Mashup.OleDb.1;Data Source=$Workbook$;Location=HRDataset_v14;Extended Properties=&quot;&quot;" command="SELECT * FROM [HRDataset_v14]"/>
  </connection>
  <connection id="2" xr16:uid="{4350A805-8649-4574-BFA6-85D11C6076C1}"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 id="3" xr16:uid="{29DBE48B-E2F7-4D8F-AB0A-56369588CF39}"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<sst xmlns="http://schemas.openxmlformats.org/spreadsheetml/2006/main" count="4969" uniqueCount="815">
  <si>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</si>
  <si>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</si>
  <si>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</si>
  <si>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</si>
  <si>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</si>
  <si>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</si>
  <si>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</si>
  <si>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</si>
  <si>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</si>
  <si>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</si>
  <si>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</si>
  <si>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</si>
  <si>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</si>
  <si>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</si>
  <si>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</si>
  <si>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</si>
  <si>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</si>
  <si>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</si>
  <si>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</si>
  <si>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</si>
  <si>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</si>
  <si>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</si>
  <si>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</si>
  <si>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</si>
  <si>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</si>
  <si>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</si>
  <si>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</si>
  <si>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</si>
  <si>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</si>
  <si>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</si>
  <si>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</si>
  <si>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</si>
  <si>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</si>
  <si>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</si>
  <si>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</si>
  <si>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</si>
  <si>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</si>
  <si>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</si>
  <si>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</si>
  <si>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</si>
  <si>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</si>
  <si>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</si>
  <si>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</si>
  <si>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</si>
  <si>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</si>
  <si>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</si>
  <si>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</si>
  <si>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</si>
  <si>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</si>
  <si>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</si>
  <si>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1/17/2019</t>
  </si>
  <si>
    <t xml:space="preserve">Ait Sidi, Karthikeyan   </t>
  </si>
  <si>
    <t>Sr. DBA</t>
  </si>
  <si>
    <t>Married</t>
  </si>
  <si>
    <t>3/30/2015</t>
  </si>
  <si>
    <t>career change</t>
  </si>
  <si>
    <t>Voluntarily Terminated</t>
  </si>
  <si>
    <t>IT/IS</t>
  </si>
  <si>
    <t>Simon Roup</t>
  </si>
  <si>
    <t>Indeed</t>
  </si>
  <si>
    <t>Fully Meets</t>
  </si>
  <si>
    <t>2/24/2016</t>
  </si>
  <si>
    <t>Akinkuolie, Sarah</t>
  </si>
  <si>
    <t>Production Technician II</t>
  </si>
  <si>
    <t>F</t>
  </si>
  <si>
    <t>hours</t>
  </si>
  <si>
    <t>Kissy Sullivan</t>
  </si>
  <si>
    <t>5/15/2012</t>
  </si>
  <si>
    <t>Alagbe,Trina</t>
  </si>
  <si>
    <t>Elijiah Gray</t>
  </si>
  <si>
    <t>1/3/2019</t>
  </si>
  <si>
    <t xml:space="preserve">Anderson, Carol </t>
  </si>
  <si>
    <t>Divorced</t>
  </si>
  <si>
    <t>return to school</t>
  </si>
  <si>
    <t>Webster Butler</t>
  </si>
  <si>
    <t>Google Search</t>
  </si>
  <si>
    <t>2/1/2016</t>
  </si>
  <si>
    <t xml:space="preserve">Anderson, Linda  </t>
  </si>
  <si>
    <t>Amy Dunn</t>
  </si>
  <si>
    <t>1/7/2019</t>
  </si>
  <si>
    <t>Andreola, Colby</t>
  </si>
  <si>
    <t>Software Engineer</t>
  </si>
  <si>
    <t>Software Engineering</t>
  </si>
  <si>
    <t>Alex Sweetwater</t>
  </si>
  <si>
    <t>1/2/2019</t>
  </si>
  <si>
    <t>Athwal, Sam</t>
  </si>
  <si>
    <t>Widowed</t>
  </si>
  <si>
    <t>Ketsia Liebig</t>
  </si>
  <si>
    <t>Employee Referral</t>
  </si>
  <si>
    <t>2/25/2019</t>
  </si>
  <si>
    <t>Bachiochi, Linda</t>
  </si>
  <si>
    <t>Black or African American</t>
  </si>
  <si>
    <t>Brannon Miller</t>
  </si>
  <si>
    <t>Diversity Job Fair</t>
  </si>
  <si>
    <t>1/25/2019</t>
  </si>
  <si>
    <t xml:space="preserve">Bacong, Alejandro </t>
  </si>
  <si>
    <t>IT Support</t>
  </si>
  <si>
    <t>Peter Monroe</t>
  </si>
  <si>
    <t>2/18/2019</t>
  </si>
  <si>
    <t xml:space="preserve">Baczenski, Rachael  </t>
  </si>
  <si>
    <t>Yes</t>
  </si>
  <si>
    <t>Another position</t>
  </si>
  <si>
    <t>David Stanley</t>
  </si>
  <si>
    <t>1/30/2016</t>
  </si>
  <si>
    <t>Barbara, Thomas</t>
  </si>
  <si>
    <t>unhappy</t>
  </si>
  <si>
    <t>5/6/2016</t>
  </si>
  <si>
    <t>Barbossa, Hector</t>
  </si>
  <si>
    <t>Data Analyst</t>
  </si>
  <si>
    <t>TX</t>
  </si>
  <si>
    <t>Barone, Francesco  A</t>
  </si>
  <si>
    <t>Two or more races</t>
  </si>
  <si>
    <t>2/20/2012</t>
  </si>
  <si>
    <t>Kelley Spirea</t>
  </si>
  <si>
    <t>2/14/2019</t>
  </si>
  <si>
    <t>Barton, Nader</t>
  </si>
  <si>
    <t>4/6/2017</t>
  </si>
  <si>
    <t>On-line Web application</t>
  </si>
  <si>
    <t>3/2/2017</t>
  </si>
  <si>
    <t>Bates, Norman</t>
  </si>
  <si>
    <t>attendance</t>
  </si>
  <si>
    <t>Terminated for Cause</t>
  </si>
  <si>
    <t>4/5/2017</t>
  </si>
  <si>
    <t xml:space="preserve">Beak, Kimberly  </t>
  </si>
  <si>
    <t>1/14/2019</t>
  </si>
  <si>
    <t xml:space="preserve">Beatrice, Courtney </t>
  </si>
  <si>
    <t>Eligible NonCitizen</t>
  </si>
  <si>
    <t>Becker, Renee</t>
  </si>
  <si>
    <t>Database Administrator</t>
  </si>
  <si>
    <t>performance</t>
  </si>
  <si>
    <t>1/15/2015</t>
  </si>
  <si>
    <t>Becker, Scott</t>
  </si>
  <si>
    <t>Asian</t>
  </si>
  <si>
    <t>1/11/2019</t>
  </si>
  <si>
    <t>Bernstein, Sean</t>
  </si>
  <si>
    <t>Biden, Lowan  M</t>
  </si>
  <si>
    <t>1/10/2019</t>
  </si>
  <si>
    <t>Billis, Helen</t>
  </si>
  <si>
    <t>2/27/2019</t>
  </si>
  <si>
    <t>Blount, Dianna</t>
  </si>
  <si>
    <t>CareerBuilder</t>
  </si>
  <si>
    <t>Needs Improvement</t>
  </si>
  <si>
    <t>Bondwell, Betsy</t>
  </si>
  <si>
    <t>3/4/2014</t>
  </si>
  <si>
    <t>Booth, Frank</t>
  </si>
  <si>
    <t>Enterprise Architect</t>
  </si>
  <si>
    <t>CT</t>
  </si>
  <si>
    <t>Learned that he is a gangster</t>
  </si>
  <si>
    <t>1/10/2016</t>
  </si>
  <si>
    <t>Boutwell, Bonalyn</t>
  </si>
  <si>
    <t>Sr. Accountant</t>
  </si>
  <si>
    <t>Admin Offices</t>
  </si>
  <si>
    <t>Brandon R. LeBlanc</t>
  </si>
  <si>
    <t>Bozzi, Charles</t>
  </si>
  <si>
    <t>Production Manager</t>
  </si>
  <si>
    <t>retiring</t>
  </si>
  <si>
    <t>Janet King</t>
  </si>
  <si>
    <t>2/20/2014</t>
  </si>
  <si>
    <t>Brill, Donna</t>
  </si>
  <si>
    <t>3/4/2013</t>
  </si>
  <si>
    <t>Brown, Mia</t>
  </si>
  <si>
    <t>Accountant I</t>
  </si>
  <si>
    <t>1/15/2019</t>
  </si>
  <si>
    <t xml:space="preserve">Buccheri, Joseph  </t>
  </si>
  <si>
    <t>2/1/2019</t>
  </si>
  <si>
    <t xml:space="preserve">Bugali, Josephine </t>
  </si>
  <si>
    <t>Separated</t>
  </si>
  <si>
    <t>1/21/2019</t>
  </si>
  <si>
    <t>Bunbury, Jessica</t>
  </si>
  <si>
    <t>Area Sales Manager</t>
  </si>
  <si>
    <t>VA</t>
  </si>
  <si>
    <t>Sales</t>
  </si>
  <si>
    <t>John Smith</t>
  </si>
  <si>
    <t>2/10/2013</t>
  </si>
  <si>
    <t>Burke, Joelle</t>
  </si>
  <si>
    <t>3/5/2012</t>
  </si>
  <si>
    <t>2/21/2019</t>
  </si>
  <si>
    <t xml:space="preserve">Burkett, Benjamin </t>
  </si>
  <si>
    <t xml:space="preserve">Cady, Max </t>
  </si>
  <si>
    <t>Software Engineering Manager</t>
  </si>
  <si>
    <t>Jennifer Zamora</t>
  </si>
  <si>
    <t>Candie, Calvin</t>
  </si>
  <si>
    <t>2/22/2019</t>
  </si>
  <si>
    <t>Carabbio, Judith</t>
  </si>
  <si>
    <t>1/30/2019</t>
  </si>
  <si>
    <t xml:space="preserve">Carey, Michael  </t>
  </si>
  <si>
    <t>Carr, Claudia  N</t>
  </si>
  <si>
    <t xml:space="preserve">Carter, Michelle </t>
  </si>
  <si>
    <t>VT</t>
  </si>
  <si>
    <t xml:space="preserve">Chace, Beatrice </t>
  </si>
  <si>
    <t>2/12/2019</t>
  </si>
  <si>
    <t>Champaigne, Brian</t>
  </si>
  <si>
    <t>BI Director</t>
  </si>
  <si>
    <t>Chan, Lin</t>
  </si>
  <si>
    <t>2/19/2019</t>
  </si>
  <si>
    <t>Chang, Donovan  E</t>
  </si>
  <si>
    <t>Chigurh, Anton</t>
  </si>
  <si>
    <t>Lynn Daneault</t>
  </si>
  <si>
    <t>1/19/2019</t>
  </si>
  <si>
    <t>Chivukula, Enola</t>
  </si>
  <si>
    <t>relocation out of area</t>
  </si>
  <si>
    <t>3/10/2015</t>
  </si>
  <si>
    <t xml:space="preserve">Cierpiszewski, Caroline  </t>
  </si>
  <si>
    <t>Non-Citizen</t>
  </si>
  <si>
    <t>Clayton, Rick</t>
  </si>
  <si>
    <t>Eric Dougall</t>
  </si>
  <si>
    <t>Cloninger, Jennifer</t>
  </si>
  <si>
    <t>5/3/2012</t>
  </si>
  <si>
    <t>Close, Phil</t>
  </si>
  <si>
    <t>5/4/2011</t>
  </si>
  <si>
    <t>Clukey, Elijian</t>
  </si>
  <si>
    <t>2/28/2019</t>
  </si>
  <si>
    <t>Cockel, James</t>
  </si>
  <si>
    <t>Cole, Spencer</t>
  </si>
  <si>
    <t>5/1/2016</t>
  </si>
  <si>
    <t>Corleone, Michael</t>
  </si>
  <si>
    <t>Corleone, Vito</t>
  </si>
  <si>
    <t>Director of Operations</t>
  </si>
  <si>
    <t>2/4/2019</t>
  </si>
  <si>
    <t xml:space="preserve">Cornett, Lisa </t>
  </si>
  <si>
    <t>Costello, Frank</t>
  </si>
  <si>
    <t>1/22/2019</t>
  </si>
  <si>
    <t>Crimmings,   Jean</t>
  </si>
  <si>
    <t>1/28/2019</t>
  </si>
  <si>
    <t>Cross, Noah</t>
  </si>
  <si>
    <t>Sr. Network Engineer</t>
  </si>
  <si>
    <t>Daneault, Lynn</t>
  </si>
  <si>
    <t>Sales Manager</t>
  </si>
  <si>
    <t>Debra Houlihan</t>
  </si>
  <si>
    <t>1/24/2019</t>
  </si>
  <si>
    <t xml:space="preserve">Daniele, Ann  </t>
  </si>
  <si>
    <t xml:space="preserve">Darson, Jene'ya </t>
  </si>
  <si>
    <t>7/2/2012</t>
  </si>
  <si>
    <t>Davis, Daniel</t>
  </si>
  <si>
    <t>Dee, Randy</t>
  </si>
  <si>
    <t>1/31/2019</t>
  </si>
  <si>
    <t>DeGweck,  James</t>
  </si>
  <si>
    <t>4/2/2016</t>
  </si>
  <si>
    <t>Del Bosque, Keyla</t>
  </si>
  <si>
    <t>Delarge, Alex</t>
  </si>
  <si>
    <t>AL</t>
  </si>
  <si>
    <t>PIP</t>
  </si>
  <si>
    <t>Demita, Carla</t>
  </si>
  <si>
    <t>more money</t>
  </si>
  <si>
    <t>5/6/2015</t>
  </si>
  <si>
    <t xml:space="preserve">Desimone, Carl </t>
  </si>
  <si>
    <t>DeVito, Tommy</t>
  </si>
  <si>
    <t>BI Developer</t>
  </si>
  <si>
    <t>2/15/2017</t>
  </si>
  <si>
    <t>Brian Champaigne</t>
  </si>
  <si>
    <t>1/23/2019</t>
  </si>
  <si>
    <t xml:space="preserve">Dickinson, Geoff </t>
  </si>
  <si>
    <t xml:space="preserve">Dietrich, Jenna  </t>
  </si>
  <si>
    <t>WA</t>
  </si>
  <si>
    <t>Website</t>
  </si>
  <si>
    <t>1/29/2019</t>
  </si>
  <si>
    <t xml:space="preserve">DiNocco, Lily </t>
  </si>
  <si>
    <t>1/18/2019</t>
  </si>
  <si>
    <t>Dobrin, Denisa  S</t>
  </si>
  <si>
    <t>Dolan, Linda</t>
  </si>
  <si>
    <t>Dougall, Eric</t>
  </si>
  <si>
    <t>IT Manager - Support</t>
  </si>
  <si>
    <t>1/5/2014</t>
  </si>
  <si>
    <t>1/4/2019</t>
  </si>
  <si>
    <t>Driver, Elle</t>
  </si>
  <si>
    <t>CA</t>
  </si>
  <si>
    <t>1/27/2019</t>
  </si>
  <si>
    <t xml:space="preserve">Dunn, Amy  </t>
  </si>
  <si>
    <t>Dunne, Amy</t>
  </si>
  <si>
    <t>Eaton, Marianne</t>
  </si>
  <si>
    <t>military</t>
  </si>
  <si>
    <t>4/9/2017</t>
  </si>
  <si>
    <t>Engdahl, Jean</t>
  </si>
  <si>
    <t>2/13/2019</t>
  </si>
  <si>
    <t>England, Rex</t>
  </si>
  <si>
    <t>Erilus, Angela</t>
  </si>
  <si>
    <t>Estremera, Miguel</t>
  </si>
  <si>
    <t>4/12/2018</t>
  </si>
  <si>
    <t>Evensen, April</t>
  </si>
  <si>
    <t>no-call, no-show</t>
  </si>
  <si>
    <t>1/15/2017</t>
  </si>
  <si>
    <t>Exantus, Susan</t>
  </si>
  <si>
    <t>8/10/2012</t>
  </si>
  <si>
    <t xml:space="preserve">Faller, Megan </t>
  </si>
  <si>
    <t>Fancett, Nicole</t>
  </si>
  <si>
    <t>Ferguson, Susan</t>
  </si>
  <si>
    <t>2/4/2016</t>
  </si>
  <si>
    <t xml:space="preserve">Fernandes, Nilson  </t>
  </si>
  <si>
    <t>Fett, Boba</t>
  </si>
  <si>
    <t>Network Engineer</t>
  </si>
  <si>
    <t>Fidelia,  Libby</t>
  </si>
  <si>
    <t>Fitzpatrick, Michael  J</t>
  </si>
  <si>
    <t>4/5/2013</t>
  </si>
  <si>
    <t>Foreman, Tanya</t>
  </si>
  <si>
    <t>1/7/2012</t>
  </si>
  <si>
    <t>Forrest, Alex</t>
  </si>
  <si>
    <t>Fatal attraction</t>
  </si>
  <si>
    <t>Foss, Jason</t>
  </si>
  <si>
    <t>IT Director</t>
  </si>
  <si>
    <t>Foster-Baker, Amy</t>
  </si>
  <si>
    <t>no</t>
  </si>
  <si>
    <t>Board of Directors</t>
  </si>
  <si>
    <t>Other</t>
  </si>
  <si>
    <t>2/8/2019</t>
  </si>
  <si>
    <t xml:space="preserve">Fraval, Maruk </t>
  </si>
  <si>
    <t>Galia, Lisa</t>
  </si>
  <si>
    <t>Garcia, Raul</t>
  </si>
  <si>
    <t>Gaul, Barbara</t>
  </si>
  <si>
    <t>2/26/2019</t>
  </si>
  <si>
    <t>Gentry, Mildred</t>
  </si>
  <si>
    <t>1/16/2019</t>
  </si>
  <si>
    <t>Gerke, Melisa</t>
  </si>
  <si>
    <t>4/29/2016</t>
  </si>
  <si>
    <t xml:space="preserve">Gill, Whitney  </t>
  </si>
  <si>
    <t>OH</t>
  </si>
  <si>
    <t>1/15/2014</t>
  </si>
  <si>
    <t>Gilles, Alex</t>
  </si>
  <si>
    <t>1/20/2015</t>
  </si>
  <si>
    <t>Girifalco, Evelyn</t>
  </si>
  <si>
    <t>2/7/2019</t>
  </si>
  <si>
    <t>Givens, Myriam</t>
  </si>
  <si>
    <t>IN</t>
  </si>
  <si>
    <t>Goble, Taisha</t>
  </si>
  <si>
    <t>Goeth, Amon</t>
  </si>
  <si>
    <t xml:space="preserve">Gold, Shenice  </t>
  </si>
  <si>
    <t>Gonzalez, Cayo</t>
  </si>
  <si>
    <t>Gonzalez, Juan</t>
  </si>
  <si>
    <t>3/6/2011</t>
  </si>
  <si>
    <t>Gonzalez, Maria</t>
  </si>
  <si>
    <t>Good, Susan</t>
  </si>
  <si>
    <t>Gordon, David</t>
  </si>
  <si>
    <t xml:space="preserve">Gosciminski, Phylicia  </t>
  </si>
  <si>
    <t>American Indian or Alaska Native</t>
  </si>
  <si>
    <t>Goyal, Roxana</t>
  </si>
  <si>
    <t>2/15/2019</t>
  </si>
  <si>
    <t xml:space="preserve">Gray, Elijiah  </t>
  </si>
  <si>
    <t>Gross, Paula</t>
  </si>
  <si>
    <t>6/3/2013</t>
  </si>
  <si>
    <t>Gruber, Hans</t>
  </si>
  <si>
    <t>Guilianno, Mike</t>
  </si>
  <si>
    <t>TN</t>
  </si>
  <si>
    <t>2/1/2013</t>
  </si>
  <si>
    <t>Handschiegl, Joanne</t>
  </si>
  <si>
    <t>Hankard, Earnest</t>
  </si>
  <si>
    <t>1/8/2019</t>
  </si>
  <si>
    <t xml:space="preserve">Harrington, Christie </t>
  </si>
  <si>
    <t>5/2/2015</t>
  </si>
  <si>
    <t>Harrison, Kara</t>
  </si>
  <si>
    <t>Heitzman, Anthony</t>
  </si>
  <si>
    <t>2/11/2019</t>
  </si>
  <si>
    <t>Hendrickson, Trina</t>
  </si>
  <si>
    <t>1/30/2013</t>
  </si>
  <si>
    <t>Hitchcock, Alfred</t>
  </si>
  <si>
    <t>NH</t>
  </si>
  <si>
    <t>Homberger, Adrienne  J</t>
  </si>
  <si>
    <t>Horton, Jayne</t>
  </si>
  <si>
    <t>Houlihan, Debra</t>
  </si>
  <si>
    <t>Director of Sales</t>
  </si>
  <si>
    <t>RI</t>
  </si>
  <si>
    <t>Howard, Estelle</t>
  </si>
  <si>
    <t>Administrative Assistant</t>
  </si>
  <si>
    <t>4/15/2015</t>
  </si>
  <si>
    <t>Hudson, Jane</t>
  </si>
  <si>
    <t>Hunts, Julissa</t>
  </si>
  <si>
    <t>Hutter, Rosalie</t>
  </si>
  <si>
    <t>Huynh, Ming</t>
  </si>
  <si>
    <t>Immediato, Walter</t>
  </si>
  <si>
    <t>4/12/2012</t>
  </si>
  <si>
    <t xml:space="preserve">Ivey, Rose </t>
  </si>
  <si>
    <t>Jackson, Maryellen</t>
  </si>
  <si>
    <t xml:space="preserve">Jacobi, Hannah  </t>
  </si>
  <si>
    <t>Jeannite, Tayana</t>
  </si>
  <si>
    <t xml:space="preserve">Jhaveri, Sneha  </t>
  </si>
  <si>
    <t>Johnson, George</t>
  </si>
  <si>
    <t>2/14/2018</t>
  </si>
  <si>
    <t xml:space="preserve">Johnson, Noelle </t>
  </si>
  <si>
    <t>Johnston, Yen</t>
  </si>
  <si>
    <t xml:space="preserve">Jung, Judy  </t>
  </si>
  <si>
    <t>2/3/2016</t>
  </si>
  <si>
    <t>Kampew, Donysha</t>
  </si>
  <si>
    <t>PA</t>
  </si>
  <si>
    <t>maternity leave - did not return</t>
  </si>
  <si>
    <t>3/30/2013</t>
  </si>
  <si>
    <t xml:space="preserve">Keatts, Kramer </t>
  </si>
  <si>
    <t>Khemmich, Bartholemew</t>
  </si>
  <si>
    <t>CO</t>
  </si>
  <si>
    <t>King, Janet</t>
  </si>
  <si>
    <t>President &amp; CEO</t>
  </si>
  <si>
    <t>Executive Office</t>
  </si>
  <si>
    <t xml:space="preserve">Kinsella, Kathleen  </t>
  </si>
  <si>
    <t>3/1/2015</t>
  </si>
  <si>
    <t xml:space="preserve">Kirill, Alexandra  </t>
  </si>
  <si>
    <t>Knapp, Bradley  J</t>
  </si>
  <si>
    <t>2/6/2019</t>
  </si>
  <si>
    <t>Kretschmer, John</t>
  </si>
  <si>
    <t>Kreuger, Freddy</t>
  </si>
  <si>
    <t>NY</t>
  </si>
  <si>
    <t>Lajiri,  Jyoti</t>
  </si>
  <si>
    <t>Landa, Hans</t>
  </si>
  <si>
    <t>2/15/2015</t>
  </si>
  <si>
    <t>Langford, Lindsey</t>
  </si>
  <si>
    <t>Langton, Enrico</t>
  </si>
  <si>
    <t xml:space="preserve">LaRotonda, William  </t>
  </si>
  <si>
    <t>Latif, Mohammed</t>
  </si>
  <si>
    <t>2/20/2013</t>
  </si>
  <si>
    <t>Le, Binh</t>
  </si>
  <si>
    <t>Senior BI Developer</t>
  </si>
  <si>
    <t>Leach, Dallas</t>
  </si>
  <si>
    <t>7/2/2017</t>
  </si>
  <si>
    <t>LeBlanc, Brandon  R</t>
  </si>
  <si>
    <t>Shared Services Manager</t>
  </si>
  <si>
    <t>Lecter, Hannibal</t>
  </si>
  <si>
    <t>Leruth, Giovanni</t>
  </si>
  <si>
    <t>UT</t>
  </si>
  <si>
    <t>Liebig, Ketsia</t>
  </si>
  <si>
    <t xml:space="preserve">Linares, Marilyn </t>
  </si>
  <si>
    <t>3/2/2018</t>
  </si>
  <si>
    <t>Linden, Mathew</t>
  </si>
  <si>
    <t xml:space="preserve">Lindsay, Leonara </t>
  </si>
  <si>
    <t>Lundy, Susan</t>
  </si>
  <si>
    <t>6/10/2016</t>
  </si>
  <si>
    <t>Lunquist, Lisa</t>
  </si>
  <si>
    <t>Lydon, Allison</t>
  </si>
  <si>
    <t>Lynch, Lindsay</t>
  </si>
  <si>
    <t>2/2/2015</t>
  </si>
  <si>
    <t>MacLennan, Samuel</t>
  </si>
  <si>
    <t>4/1/2017</t>
  </si>
  <si>
    <t xml:space="preserve">Mahoney, Lauren  </t>
  </si>
  <si>
    <t>Manchester, Robyn</t>
  </si>
  <si>
    <t>Mancuso, Karen</t>
  </si>
  <si>
    <t>Mangal, Debbie</t>
  </si>
  <si>
    <t>Martin, Sandra</t>
  </si>
  <si>
    <t>Maurice, Shana</t>
  </si>
  <si>
    <t>Carthy, B'rigit</t>
  </si>
  <si>
    <t>Mckenna, Sandy</t>
  </si>
  <si>
    <t>McKinzie, Jac</t>
  </si>
  <si>
    <t>Meads, Elizabeth</t>
  </si>
  <si>
    <t>2/5/2016</t>
  </si>
  <si>
    <t>Medeiros, Jennifer</t>
  </si>
  <si>
    <t>Miller, Brannon</t>
  </si>
  <si>
    <t>yes</t>
  </si>
  <si>
    <t>Hispanic</t>
  </si>
  <si>
    <t>Miller, Ned</t>
  </si>
  <si>
    <t>1/14/2013</t>
  </si>
  <si>
    <t>Monkfish, Erasumus</t>
  </si>
  <si>
    <t>Monroe, Peter</t>
  </si>
  <si>
    <t>IT Manager - Infra</t>
  </si>
  <si>
    <t>2/15/2012</t>
  </si>
  <si>
    <t>Monterro, Luisa</t>
  </si>
  <si>
    <t>Moran, Patrick</t>
  </si>
  <si>
    <t>Morway, Tanya</t>
  </si>
  <si>
    <t>Motlagh,  Dawn</t>
  </si>
  <si>
    <t xml:space="preserve">Moumanil, Maliki </t>
  </si>
  <si>
    <t>Myers, Michael</t>
  </si>
  <si>
    <t>Navathe, Kurt</t>
  </si>
  <si>
    <t>Ndzi, Colombui</t>
  </si>
  <si>
    <t>3/2/2013</t>
  </si>
  <si>
    <t>Ndzi, Horia</t>
  </si>
  <si>
    <t>3/6/2016</t>
  </si>
  <si>
    <t xml:space="preserve">Newman, Richard </t>
  </si>
  <si>
    <t xml:space="preserve">Ngodup, Shari </t>
  </si>
  <si>
    <t>Nguyen, Dheepa</t>
  </si>
  <si>
    <t>GA</t>
  </si>
  <si>
    <t>Nguyen, Lei-Ming</t>
  </si>
  <si>
    <t>Nowlan, Kristie</t>
  </si>
  <si>
    <t>O'hare, Lynn</t>
  </si>
  <si>
    <t>3/9/2018</t>
  </si>
  <si>
    <t xml:space="preserve">Oliver, Brooke </t>
  </si>
  <si>
    <t>7/2/2013</t>
  </si>
  <si>
    <t>Onque, Jasmine</t>
  </si>
  <si>
    <t>FL</t>
  </si>
  <si>
    <t>Osturnka, Adeel</t>
  </si>
  <si>
    <t>Owad, Clinton</t>
  </si>
  <si>
    <t>Ozark, Travis</t>
  </si>
  <si>
    <t>NC</t>
  </si>
  <si>
    <t>Panjwani, Nina</t>
  </si>
  <si>
    <t>Patronick, Lucas</t>
  </si>
  <si>
    <t>8/16/2015</t>
  </si>
  <si>
    <t>Pearson, Randall</t>
  </si>
  <si>
    <t>1/16/2016</t>
  </si>
  <si>
    <t>Smith, Martin</t>
  </si>
  <si>
    <t>Pelletier, Ermine</t>
  </si>
  <si>
    <t>2/6/2015</t>
  </si>
  <si>
    <t>Perry, Shakira</t>
  </si>
  <si>
    <t>medical issues</t>
  </si>
  <si>
    <t>5/13/2014</t>
  </si>
  <si>
    <t>Peters, Lauren</t>
  </si>
  <si>
    <t>1/10/2013</t>
  </si>
  <si>
    <t xml:space="preserve">Peterson, Ebonee  </t>
  </si>
  <si>
    <t>3/5/2015</t>
  </si>
  <si>
    <t xml:space="preserve">Petingill, Shana  </t>
  </si>
  <si>
    <t>Petrowsky, Thelma</t>
  </si>
  <si>
    <t>Pham, Hong</t>
  </si>
  <si>
    <t xml:space="preserve">Pitt, Brad </t>
  </si>
  <si>
    <t>Potts, Xana</t>
  </si>
  <si>
    <t>KY</t>
  </si>
  <si>
    <t>Power, Morissa</t>
  </si>
  <si>
    <t>4/2/2018</t>
  </si>
  <si>
    <t xml:space="preserve">Punjabhi, Louis  </t>
  </si>
  <si>
    <t>Purinton, Janine</t>
  </si>
  <si>
    <t>4/2/2013</t>
  </si>
  <si>
    <t>Quinn, Sean</t>
  </si>
  <si>
    <t>4/19/2014</t>
  </si>
  <si>
    <t>Rachael, Maggie</t>
  </si>
  <si>
    <t>Rarrick, Quinn</t>
  </si>
  <si>
    <t>2/4/2018</t>
  </si>
  <si>
    <t>Ren, Kylo</t>
  </si>
  <si>
    <t>ID</t>
  </si>
  <si>
    <t>Rhoads, Thomas</t>
  </si>
  <si>
    <t xml:space="preserve">Rivera, Haley  </t>
  </si>
  <si>
    <t>Roberson, May</t>
  </si>
  <si>
    <t>10/22/2011</t>
  </si>
  <si>
    <t>Robertson, Peter</t>
  </si>
  <si>
    <t>1/6/2012</t>
  </si>
  <si>
    <t xml:space="preserve">Robinson, Alain  </t>
  </si>
  <si>
    <t>1/10/2015</t>
  </si>
  <si>
    <t>Robinson, Cherly</t>
  </si>
  <si>
    <t>4/5/2016</t>
  </si>
  <si>
    <t>Robinson, Elias</t>
  </si>
  <si>
    <t xml:space="preserve">Roby, Lori </t>
  </si>
  <si>
    <t>Roehrich, Bianca</t>
  </si>
  <si>
    <t>Principal Data Architect</t>
  </si>
  <si>
    <t>2/13/2018</t>
  </si>
  <si>
    <t>Roper, Katie</t>
  </si>
  <si>
    <t>Data Architect</t>
  </si>
  <si>
    <t xml:space="preserve">Rose, Ashley  </t>
  </si>
  <si>
    <t>Rossetti, Bruno</t>
  </si>
  <si>
    <t>7/2/2018</t>
  </si>
  <si>
    <t>Roup,Simon</t>
  </si>
  <si>
    <t>IT Manager - DB</t>
  </si>
  <si>
    <t>Ruiz, Ricardo</t>
  </si>
  <si>
    <t>1/4/2015</t>
  </si>
  <si>
    <t>Saada, Adell</t>
  </si>
  <si>
    <t>Saar-Beckles, Melinda</t>
  </si>
  <si>
    <t xml:space="preserve">Sadki, Nore  </t>
  </si>
  <si>
    <t>2/5/2018</t>
  </si>
  <si>
    <t>Sahoo, Adil</t>
  </si>
  <si>
    <t>Salter, Jason</t>
  </si>
  <si>
    <t xml:space="preserve">Data Analyst </t>
  </si>
  <si>
    <t>4/20/2015</t>
  </si>
  <si>
    <t>Sander, Kamrin</t>
  </si>
  <si>
    <t>Sewkumar, Nori</t>
  </si>
  <si>
    <t xml:space="preserve">Shepard, Anita </t>
  </si>
  <si>
    <t>Shields, Seffi</t>
  </si>
  <si>
    <t>Simard, Kramer</t>
  </si>
  <si>
    <t xml:space="preserve">Singh, Nan </t>
  </si>
  <si>
    <t>Sloan, Constance</t>
  </si>
  <si>
    <t>4/2/2015</t>
  </si>
  <si>
    <t>Smith, Joe</t>
  </si>
  <si>
    <t>Smith, John</t>
  </si>
  <si>
    <t>Smith, Leigh Ann</t>
  </si>
  <si>
    <t>8/15/2013</t>
  </si>
  <si>
    <t>Smith, Sade</t>
  </si>
  <si>
    <t xml:space="preserve">Soto, Julia </t>
  </si>
  <si>
    <t>Soze, Keyser</t>
  </si>
  <si>
    <t xml:space="preserve">Sparks, Taylor  </t>
  </si>
  <si>
    <t>Spirea, Kelley</t>
  </si>
  <si>
    <t>Squatrito, Kristen</t>
  </si>
  <si>
    <t>3/2/2015</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</si>
  <si>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</si>
  <si>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</si>
  <si>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</si>
  <si>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</si>
  <si>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</si>
  <si>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</si>
  <si>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</si>
  <si>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</si>
  <si>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</si>
  <si>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</si>
  <si>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</si>
  <si>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</si>
  <si>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</si>
  <si>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</si>
  <si>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4/18/2017</t>
  </si>
  <si>
    <t xml:space="preserve">Terry, Sharlene </t>
  </si>
  <si>
    <t>OR</t>
  </si>
  <si>
    <t>Theamstern, Sophia</t>
  </si>
  <si>
    <t>3/2/2016</t>
  </si>
  <si>
    <t>Thibaud, Kenneth</t>
  </si>
  <si>
    <t>7/14/2010</t>
  </si>
  <si>
    <t>Tippett, Jeanette</t>
  </si>
  <si>
    <t>Torrence, Jack</t>
  </si>
  <si>
    <t>ND</t>
  </si>
  <si>
    <t>Trang, Mei</t>
  </si>
  <si>
    <t xml:space="preserve">Tredinnick, Neville </t>
  </si>
  <si>
    <t>True, Edward</t>
  </si>
  <si>
    <t>2/12/2017</t>
  </si>
  <si>
    <t>Trzeciak, Cybil</t>
  </si>
  <si>
    <t>Turpin, Jumil</t>
  </si>
  <si>
    <t>Valentin,Jackie</t>
  </si>
  <si>
    <t>AZ</t>
  </si>
  <si>
    <t xml:space="preserve">Veera, Abdellah </t>
  </si>
  <si>
    <t>Vega, Vincent</t>
  </si>
  <si>
    <t>Villanueva, Noah</t>
  </si>
  <si>
    <t>ME</t>
  </si>
  <si>
    <t>Voldemort, Lord</t>
  </si>
  <si>
    <t>Volk, Colleen</t>
  </si>
  <si>
    <t>gross misconduct</t>
  </si>
  <si>
    <t>2/1/2015</t>
  </si>
  <si>
    <t>Von Massenbach, Anna</t>
  </si>
  <si>
    <t>Walker, Roger</t>
  </si>
  <si>
    <t>Wallace, Courtney  E</t>
  </si>
  <si>
    <t>1/2/2012</t>
  </si>
  <si>
    <t>Wallace, Theresa</t>
  </si>
  <si>
    <t>9/5/2014</t>
  </si>
  <si>
    <t>Wang, Charlie</t>
  </si>
  <si>
    <t>Warfield, Sarah</t>
  </si>
  <si>
    <t>2/5/2019</t>
  </si>
  <si>
    <t>Whittier, Scott</t>
  </si>
  <si>
    <t>5/15/2014</t>
  </si>
  <si>
    <t>Wilber, Barry</t>
  </si>
  <si>
    <t>Wilkes, Annie</t>
  </si>
  <si>
    <t>2/6/2011</t>
  </si>
  <si>
    <t xml:space="preserve">Williams, Jacquelyn  </t>
  </si>
  <si>
    <t>6/2/2014</t>
  </si>
  <si>
    <t xml:space="preserve">Winthrop, Jordan  </t>
  </si>
  <si>
    <t>1/19/2016</t>
  </si>
  <si>
    <t>Wolk, Hang  T</t>
  </si>
  <si>
    <t>Woodson, Jason</t>
  </si>
  <si>
    <t xml:space="preserve">Ybarra, Catherine </t>
  </si>
  <si>
    <t>9/2/2015</t>
  </si>
  <si>
    <t>Zamora, Jennifer</t>
  </si>
  <si>
    <t>CIO</t>
  </si>
  <si>
    <t>Zhou, Julia</t>
  </si>
  <si>
    <t>Zima, Colleen</t>
  </si>
  <si>
    <t>salary outlier (high)</t>
  </si>
  <si>
    <t xml:space="preserve">Total rows </t>
  </si>
  <si>
    <t>EMPTY BLANK COLUMN</t>
  </si>
  <si>
    <t>UNIQUE VALUE</t>
  </si>
  <si>
    <t>Salary outlier (low)</t>
  </si>
  <si>
    <t xml:space="preserve">Age Calculation
</t>
  </si>
  <si>
    <t>Terminated Employees</t>
  </si>
  <si>
    <t>Tenure Category</t>
  </si>
  <si>
    <t xml:space="preserve">Tenure in Years
</t>
  </si>
  <si>
    <t>age group</t>
  </si>
  <si>
    <t>Salary Band</t>
  </si>
  <si>
    <t>Is_Active Flag</t>
  </si>
  <si>
    <t>Hire_Year</t>
  </si>
  <si>
    <t>Hire_Month:</t>
  </si>
  <si>
    <t>Hire_Quarter</t>
  </si>
  <si>
    <t>Month_Name</t>
  </si>
  <si>
    <t>Year_Month</t>
  </si>
  <si>
    <t>Termination Year</t>
  </si>
  <si>
    <t>Total Active Employees</t>
  </si>
  <si>
    <t xml:space="preserve">Headcount by Department (IS/IT)
</t>
  </si>
  <si>
    <t xml:space="preserve">Headcount by Department (Production  )  </t>
  </si>
  <si>
    <t xml:space="preserve">Headcount by Department (Admin Offices  )  </t>
  </si>
  <si>
    <t xml:space="preserve">Headcount by Department (sales  )  </t>
  </si>
  <si>
    <t>Headcount by Department(Software Engineering)</t>
  </si>
  <si>
    <t xml:space="preserve">Headcount by Department(Executive Office) </t>
  </si>
  <si>
    <t xml:space="preserve"> Active Headcount by Department</t>
  </si>
  <si>
    <t>Headcount by State/Location</t>
  </si>
  <si>
    <t>Column2</t>
  </si>
  <si>
    <t>Gender Distribution</t>
  </si>
  <si>
    <t>MALE</t>
  </si>
  <si>
    <t>FEMALE</t>
  </si>
  <si>
    <t>Gender Percentage (MALE )(FEMALE)</t>
  </si>
  <si>
    <t>Gender Count by Department (MALE) (FEMALE)</t>
  </si>
  <si>
    <t>Gender in Leadership (Managers) Male female</t>
  </si>
  <si>
    <t xml:space="preserve"> Average Salary by Gender (MALE,FEMALE)</t>
  </si>
  <si>
    <t>Gender Pay Gap MALE AND FEMALE</t>
  </si>
  <si>
    <t>Age Demographics</t>
  </si>
  <si>
    <t>Average Age of Workforce</t>
  </si>
  <si>
    <t>Median Age</t>
  </si>
  <si>
    <t>Age Distribution Count</t>
  </si>
  <si>
    <t>18-25</t>
  </si>
  <si>
    <t>Average Age by Department</t>
  </si>
  <si>
    <t>sales</t>
  </si>
  <si>
    <t>production</t>
  </si>
  <si>
    <t>software</t>
  </si>
  <si>
    <t>admin</t>
  </si>
  <si>
    <t>Executive</t>
  </si>
  <si>
    <t xml:space="preserve"> Youngest and Oldest Employee</t>
  </si>
  <si>
    <t>Youngest Age</t>
  </si>
  <si>
    <t>Oldest Age</t>
  </si>
  <si>
    <t>NAMEOF EMPLOYEE AGE MIN</t>
  </si>
  <si>
    <t>Oldest Employee Name</t>
  </si>
  <si>
    <t>Race/Ethnicity Count</t>
  </si>
  <si>
    <t>WHITE</t>
  </si>
  <si>
    <t>ASIAN</t>
  </si>
  <si>
    <t>HISPANIC</t>
  </si>
  <si>
    <t xml:space="preserve"> Race Percentage</t>
  </si>
  <si>
    <t>white</t>
  </si>
  <si>
    <t>American</t>
  </si>
  <si>
    <t>hispanic</t>
  </si>
  <si>
    <t>two or more races</t>
  </si>
  <si>
    <t>indian</t>
  </si>
  <si>
    <t xml:space="preserve"> Hispanic/Latino Count</t>
  </si>
  <si>
    <t>DROM DIVERSITY JOBFAIR</t>
  </si>
  <si>
    <t>Diversity Index (Simpson's Diversity Index)</t>
  </si>
  <si>
    <t>Marital Status Analysis</t>
  </si>
  <si>
    <t>SINGAL</t>
  </si>
  <si>
    <t>married</t>
  </si>
  <si>
    <t>windowed</t>
  </si>
  <si>
    <t>Marital Status by Department</t>
  </si>
  <si>
    <t>Production       +</t>
  </si>
  <si>
    <t>Production</t>
  </si>
  <si>
    <t>admin offices</t>
  </si>
  <si>
    <t>executive</t>
  </si>
  <si>
    <t>single</t>
  </si>
  <si>
    <r>
      <t xml:space="preserve"> </t>
    </r>
    <r>
      <rPr>
        <sz val="11"/>
        <color theme="0"/>
        <rFont val="Franklin Gothic Book"/>
        <family val="2"/>
        <scheme val="minor"/>
      </rPr>
      <t>Recruitment Source Effectiveness</t>
    </r>
  </si>
  <si>
    <t xml:space="preserve">Total Hires by Source
</t>
  </si>
  <si>
    <t>LINKDIN</t>
  </si>
  <si>
    <t>INDEED</t>
  </si>
  <si>
    <t>Percentage of Hires by Source</t>
  </si>
  <si>
    <t>indeed</t>
  </si>
  <si>
    <t>LINKDIN AVG</t>
  </si>
  <si>
    <t>INDEED AVG</t>
  </si>
  <si>
    <t>Termination Rate by Source</t>
  </si>
  <si>
    <t>Retention Rate by Source</t>
  </si>
  <si>
    <t>2: Hiring Trends (HIRES BY THE YEARS</t>
  </si>
  <si>
    <t>Hires by Month</t>
  </si>
  <si>
    <t xml:space="preserve">hires by quarter </t>
  </si>
  <si>
    <t>Q2</t>
  </si>
  <si>
    <t>Q3</t>
  </si>
  <si>
    <t>Q4</t>
  </si>
  <si>
    <t xml:space="preserve">dept hires count </t>
  </si>
  <si>
    <t>Avg Salary (2006–2018)</t>
  </si>
  <si>
    <t xml:space="preserve"> Diversity Hiring</t>
  </si>
  <si>
    <t>Row Labels</t>
  </si>
  <si>
    <t>Grand Total</t>
  </si>
  <si>
    <t>Column Labels</t>
  </si>
  <si>
    <t>Count of Department</t>
  </si>
  <si>
    <t>Diversity Job Fair Hires Percentage
excel</t>
  </si>
  <si>
    <t>Diversity Hire Avg Perf:</t>
  </si>
  <si>
    <t>Non-Diversity Hire Avg Perf:</t>
  </si>
  <si>
    <t>Diversity Hire Retention Rate</t>
  </si>
  <si>
    <t xml:space="preserve">
ATTRITION &amp; TURNOVER ANALYSIS</t>
  </si>
  <si>
    <t>Overall Turnover Metrics</t>
  </si>
  <si>
    <t>Total Terminations</t>
  </si>
  <si>
    <t>Overall Turnover Rate</t>
  </si>
  <si>
    <t>Voluntary vs Involuntary Turnover</t>
  </si>
  <si>
    <t xml:space="preserve">Voluntary: EMPLOYE LEFT THE COMPANY </t>
  </si>
  <si>
    <t>Involuntary</t>
  </si>
  <si>
    <t>Average Tenure of Terminated Employees</t>
  </si>
  <si>
    <t>Turnover by Year</t>
  </si>
  <si>
    <t>Turnover Cost Estimate</t>
  </si>
  <si>
    <t>Turnover by Demographics</t>
  </si>
  <si>
    <t xml:space="preserve"> Turnover Rate by Gender</t>
  </si>
  <si>
    <t>Turnover Rate by Age Group</t>
  </si>
  <si>
    <t>d) Turnover Rate by Tenure</t>
  </si>
  <si>
    <t>All employees with 5–10 years tenure are still working.</t>
  </si>
  <si>
    <t>turn over by manager</t>
  </si>
  <si>
    <t>highest team turnover</t>
  </si>
  <si>
    <t xml:space="preserve">Overall Retention Rate </t>
  </si>
  <si>
    <t>Top Termination Reason</t>
  </si>
  <si>
    <t>REASON COUNTS</t>
  </si>
  <si>
    <t>High Performer Retention Rate</t>
  </si>
  <si>
    <t xml:space="preserve">RISK CATEGORY </t>
  </si>
  <si>
    <t>📌 Count High Risk:</t>
  </si>
  <si>
    <t xml:space="preserve"> Performance Analysis </t>
  </si>
  <si>
    <t>Average Performance Score</t>
  </si>
  <si>
    <t>High Performers Count &amp; %</t>
  </si>
  <si>
    <t>Top performers with low satisfaction.</t>
  </si>
  <si>
    <t>)</t>
  </si>
  <si>
    <t xml:space="preserve">Compensation Analysis </t>
  </si>
  <si>
    <t>Total Payroll</t>
  </si>
  <si>
    <t xml:space="preserve"> Average Salary</t>
  </si>
  <si>
    <t>Salary by Department</t>
  </si>
  <si>
    <t>Gender Pay Gap</t>
  </si>
  <si>
    <t>Male Avg</t>
  </si>
  <si>
    <t>Female Avg:</t>
  </si>
  <si>
    <t>GAP %</t>
  </si>
  <si>
    <t>Salary vs Performance Correlation</t>
  </si>
  <si>
    <t xml:space="preserve">Engagement &amp; Satisfaction </t>
  </si>
  <si>
    <t>Average Engagement</t>
  </si>
  <si>
    <t>Average Satisfaction</t>
  </si>
  <si>
    <t>Low Satisfaction Count</t>
  </si>
  <si>
    <t xml:space="preserve"> Engagement vs Satisfaction</t>
  </si>
  <si>
    <t>Engagement vs Turnover</t>
  </si>
  <si>
    <t xml:space="preserve"> Attendance </t>
  </si>
  <si>
    <t xml:space="preserve"> Total Absences</t>
  </si>
  <si>
    <t xml:space="preserve">Average Absences
</t>
  </si>
  <si>
    <t>3. Absence vs Performance</t>
  </si>
  <si>
    <t>Count of EmpID</t>
  </si>
  <si>
    <t>Count of Termd</t>
  </si>
  <si>
    <t>Sum of Trunover</t>
  </si>
  <si>
    <t>40000-49999</t>
  </si>
  <si>
    <t>50000-59999</t>
  </si>
  <si>
    <t>60000-69999</t>
  </si>
  <si>
    <t>70000-79999</t>
  </si>
  <si>
    <t>80000-89999</t>
  </si>
  <si>
    <t>90000-99999</t>
  </si>
  <si>
    <t>100000-109999</t>
  </si>
  <si>
    <t>110000-120000</t>
  </si>
  <si>
    <t>&gt;120000</t>
  </si>
  <si>
    <t>✅ Title: "Salary Distribution Histogram"</t>
  </si>
  <si>
    <t xml:space="preserve">✅ X-axis: "Salary Range ($)" </t>
  </si>
  <si>
    <t>✅ Y-axis: "Number of Employees"</t>
  </si>
  <si>
    <t>✅ Data Labels: Outside End</t>
  </si>
  <si>
    <t>✅ Gap Width: 0%</t>
  </si>
  <si>
    <t>✅ Blue gradient bars</t>
  </si>
  <si>
    <t>10+ Years</t>
  </si>
  <si>
    <t>5-10 Years</t>
  </si>
  <si>
    <t>total employees</t>
  </si>
  <si>
    <t>STAGE</t>
  </si>
  <si>
    <t>VALUE</t>
  </si>
  <si>
    <t>VALUES</t>
  </si>
  <si>
    <t>Risk Level</t>
  </si>
  <si>
    <t>Count</t>
  </si>
  <si>
    <t>%</t>
  </si>
  <si>
    <t>High</t>
  </si>
  <si>
    <t>Medium</t>
  </si>
  <si>
    <t>Low</t>
  </si>
  <si>
    <t>Total</t>
  </si>
  <si>
    <t>Category</t>
  </si>
  <si>
    <t>Value</t>
  </si>
  <si>
    <t>Hidden</t>
  </si>
  <si>
    <t>ACTIVE</t>
  </si>
  <si>
    <t>TERMINATED 2</t>
  </si>
  <si>
    <t>Count of TermReason</t>
  </si>
  <si>
    <t>Cumulative of TermReason</t>
  </si>
  <si>
    <t>(blank)</t>
  </si>
  <si>
    <t>a</t>
  </si>
  <si>
    <t xml:space="preserve">Total Terminated Employees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</si>
</sst>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Franklin Gothic Book"/>
      <family val="2"/>
      <scheme val="minor"/>
    </font>
    <font>
      <sz val="11"/>
      <color theme="1"/>
      <name val="Franklin Gothic Book"/>
      <family val="2"/>
      <scheme val="minor"/>
    </font>
    <font>
      <sz val="18"/>
      <color theme="3"/>
      <name val="Franklin Gothic Medium"/>
      <family val="2"/>
      <scheme val="major"/>
    </font>
    <font>
      <b/>
      <sz val="15"/>
      <color theme="3"/>
      <name val="Franklin Gothic Book"/>
      <family val="2"/>
      <scheme val="minor"/>
    </font>
    <font>
      <b/>
      <sz val="13"/>
      <color theme="3"/>
      <name val="Franklin Gothic Book"/>
      <family val="2"/>
      <scheme val="minor"/>
    </font>
    <font>
      <b/>
      <sz val="11"/>
      <color theme="3"/>
      <name val="Franklin Gothic Book"/>
      <family val="2"/>
      <scheme val="minor"/>
    </font>
    <font>
      <sz val="11"/>
      <color rgb="FF006100"/>
      <name val="Franklin Gothic Book"/>
      <family val="2"/>
      <scheme val="minor"/>
    </font>
    <font>
      <sz val="11"/>
      <color rgb="FF9C0006"/>
      <name val="Franklin Gothic Book"/>
      <family val="2"/>
      <scheme val="minor"/>
    </font>
    <font>
      <sz val="11"/>
      <color rgb="FF9C5700"/>
      <name val="Franklin Gothic Book"/>
      <family val="2"/>
      <scheme val="minor"/>
    </font>
    <font>
      <sz val="11"/>
      <color rgb="FF3F3F76"/>
      <name val="Franklin Gothic Book"/>
      <family val="2"/>
      <scheme val="minor"/>
    </font>
    <font>
      <b/>
      <sz val="11"/>
      <color rgb="FF3F3F3F"/>
      <name val="Franklin Gothic Book"/>
      <family val="2"/>
      <scheme val="minor"/>
    </font>
    <font>
      <b/>
      <sz val="11"/>
      <color rgb="FFFA7D00"/>
      <name val="Franklin Gothic Book"/>
      <family val="2"/>
      <scheme val="minor"/>
    </font>
    <font>
      <sz val="11"/>
      <color rgb="FFFA7D00"/>
      <name val="Franklin Gothic Book"/>
      <family val="2"/>
      <scheme val="minor"/>
    </font>
    <font>
      <b/>
      <sz val="11"/>
      <color theme="0"/>
      <name val="Franklin Gothic Book"/>
      <family val="2"/>
      <scheme val="minor"/>
    </font>
    <font>
      <sz val="11"/>
      <color rgb="FFFF0000"/>
      <name val="Franklin Gothic Book"/>
      <family val="2"/>
      <scheme val="minor"/>
    </font>
    <font>
      <i/>
      <sz val="11"/>
      <color rgb="FF7F7F7F"/>
      <name val="Franklin Gothic Book"/>
      <family val="2"/>
      <scheme val="minor"/>
    </font>
    <font>
      <b/>
      <sz val="11"/>
      <color theme="1"/>
      <name val="Franklin Gothic Book"/>
      <family val="2"/>
      <scheme val="minor"/>
    </font>
    <font>
      <sz val="11"/>
      <color theme="0"/>
      <name val="Franklin Gothic Book"/>
      <family val="2"/>
      <scheme val="minor"/>
    </font>
    <font>
      <sz val="11"/>
      <color theme="9" tint="0.79998168889431442"/>
      <name val="Franklin Gothic Book"/>
      <family val="2"/>
      <scheme val="minor"/>
    </font>
    <font>
      <sz val="12"/>
      <color theme="1"/>
      <name val="Franklin Gothic Book"/>
      <family val="2"/>
      <scheme val="minor"/>
    </font>
    <font>
      <sz val="10"/>
      <color theme="1"/>
      <name val="Courier New"/>
      <family val="3"/>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10" fontId="0" fillId="0" borderId="0" xfId="0" applyNumberFormat="1"/>
    <xf numFmtId="0" fontId="18" fillId="33" borderId="0" xfId="0" applyFont="1" applyFill="1"/>
    <xf numFmtId="0" fontId="19" fillId="33" borderId="0" xfId="0" applyFont="1" applyFill="1"/>
    <xf numFmtId="0" fontId="20" fillId="0" borderId="0" xfId="0" applyFont="1"/>
    <xf numFmtId="0" fontId="0" fillId="0" borderId="10" xfId="0" pivotButton="1" applyBorder="1"/>
    <xf numFmtId="0" fontId="0" fillId="0" borderId="10" xfId="0" applyBorder="1"/>
    <xf numFmtId="0" fontId="0" fillId="0" borderId="10" xfId="0" applyBorder="1" applyAlignment="1">
      <alignment horizontal="left"/>
    </xf>
    <xf numFmtId="1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s>
  <tableStyles count="0" defaultTableStyle="TableStyleMedium2" defaultPivotStyle="PivotStyleLight16"/>
  <colors>
    <mruColors>
      <color rgb="FFFFFF00"/>
      <color rgb="FFA9D0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analysis.xlsx]PIVOTTABLE!PivotTable4</c:name>
    <c:fmtId val="2"/>
  </c:pivotSource>
  <c:chart>
    <c:title>
      <c:tx>
        <c:rich>
          <a:bodyPr rot="0" spcFirstLastPara="1" vertOverflow="ellipsis" vert="horz" wrap="square" anchor="ctr" anchorCtr="1"/>
          <a:lstStyle/>
          <a:p>
            <a:pPr>
              <a:defRPr lang="en-US" sz="1800" b="1" i="0" u="none" strike="noStrike" kern="1200" spc="0" baseline="0">
                <a:solidFill>
                  <a:schemeClr val="accent1">
                    <a:lumMod val="50000"/>
                  </a:schemeClr>
                </a:solidFill>
                <a:latin typeface="Arial Narrow" panose="020B0606020202030204" pitchFamily="34" charset="0"/>
                <a:ea typeface="+mn-ea"/>
                <a:cs typeface="+mn-cs"/>
              </a:defRPr>
            </a:pPr>
            <a:r>
              <a:rPr lang="en-GB" sz="1800" b="1">
                <a:solidFill>
                  <a:schemeClr val="accent1">
                    <a:lumMod val="50000"/>
                  </a:schemeClr>
                </a:solidFill>
                <a:latin typeface="Arial Narrow" panose="020B0606020202030204" pitchFamily="34" charset="0"/>
              </a:rPr>
              <a:t>Department Workforce + Turnover Combo Chart </a:t>
            </a:r>
          </a:p>
        </c:rich>
      </c:tx>
      <c:layout>
        <c:manualLayout>
          <c:xMode val="edge"/>
          <c:yMode val="edge"/>
          <c:x val="0.11030711352113667"/>
          <c:y val="1.3615120260529596E-2"/>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chemeClr val="accent1">
                  <a:lumMod val="50000"/>
                </a:scheme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PIVOTTABLE!$G$46</c:f>
              <c:strCache>
                <c:ptCount val="1"/>
                <c:pt idx="0">
                  <c:v>Count of EmpID</c:v>
                </c:pt>
              </c:strCache>
            </c:strRef>
          </c:tx>
          <c:spPr>
            <a:solidFill>
              <a:schemeClr val="accent1"/>
            </a:solidFill>
            <a:ln>
              <a:noFill/>
            </a:ln>
            <a:effectLst/>
          </c:spPr>
          <c:invertIfNegative val="0"/>
          <c:cat>
            <c:strRef>
              <c:f>PIVOTTABLE!$F$47:$F$53</c:f>
              <c:strCache>
                <c:ptCount val="6"/>
                <c:pt idx="0">
                  <c:v>Admin Offices</c:v>
                </c:pt>
                <c:pt idx="1">
                  <c:v>Executive Office</c:v>
                </c:pt>
                <c:pt idx="2">
                  <c:v>IT/IS</c:v>
                </c:pt>
                <c:pt idx="3">
                  <c:v>Production       </c:v>
                </c:pt>
                <c:pt idx="4">
                  <c:v>Sales</c:v>
                </c:pt>
                <c:pt idx="5">
                  <c:v>Software Engineering</c:v>
                </c:pt>
              </c:strCache>
            </c:strRef>
          </c:cat>
          <c:val>
            <c:numRef>
              <c:f>PIVOTTABLE!$G$47:$G$53</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1A48-48DE-BA28-B2ACCC559DE4}"/>
            </c:ext>
          </c:extLst>
        </c:ser>
        <c:dLbls>
          <c:showLegendKey val="0"/>
          <c:showVal val="0"/>
          <c:showCatName val="0"/>
          <c:showSerName val="0"/>
          <c:showPercent val="0"/>
          <c:showBubbleSize val="0"/>
        </c:dLbls>
        <c:gapWidth val="219"/>
        <c:overlap val="-27"/>
        <c:axId val="1292632432"/>
        <c:axId val="1292634928"/>
      </c:barChart>
      <c:lineChart>
        <c:grouping val="standard"/>
        <c:varyColors val="0"/>
        <c:ser>
          <c:idx val="1"/>
          <c:order val="1"/>
          <c:tx>
            <c:strRef>
              <c:f>PIVOTTABLE!$H$46</c:f>
              <c:strCache>
                <c:ptCount val="1"/>
                <c:pt idx="0">
                  <c:v>Sum of Trunover</c:v>
                </c:pt>
              </c:strCache>
            </c:strRef>
          </c:tx>
          <c:spPr>
            <a:ln w="28575" cap="rnd">
              <a:solidFill>
                <a:schemeClr val="accent2"/>
              </a:solidFill>
              <a:round/>
            </a:ln>
            <a:effectLst/>
          </c:spPr>
          <c:marker>
            <c:symbol val="none"/>
          </c:marker>
          <c:cat>
            <c:strRef>
              <c:f>PIVOTTABLE!$F$47:$F$53</c:f>
              <c:strCache>
                <c:ptCount val="6"/>
                <c:pt idx="0">
                  <c:v>Admin Offices</c:v>
                </c:pt>
                <c:pt idx="1">
                  <c:v>Executive Office</c:v>
                </c:pt>
                <c:pt idx="2">
                  <c:v>IT/IS</c:v>
                </c:pt>
                <c:pt idx="3">
                  <c:v>Production       </c:v>
                </c:pt>
                <c:pt idx="4">
                  <c:v>Sales</c:v>
                </c:pt>
                <c:pt idx="5">
                  <c:v>Software Engineering</c:v>
                </c:pt>
              </c:strCache>
            </c:strRef>
          </c:cat>
          <c:val>
            <c:numRef>
              <c:f>PIVOTTABLE!$H$47:$H$53</c:f>
              <c:numCache>
                <c:formatCode>0.00%</c:formatCode>
                <c:ptCount val="6"/>
                <c:pt idx="0">
                  <c:v>2.1955824880340756E-5</c:v>
                </c:pt>
                <c:pt idx="1">
                  <c:v>0</c:v>
                </c:pt>
                <c:pt idx="2">
                  <c:v>1.9702919381564767E-5</c:v>
                </c:pt>
                <c:pt idx="3">
                  <c:v>3.9097663608412872E-5</c:v>
                </c:pt>
                <c:pt idx="4">
                  <c:v>1.5846102651052972E-5</c:v>
                </c:pt>
                <c:pt idx="5">
                  <c:v>3.5915670006823979E-5</c:v>
                </c:pt>
              </c:numCache>
            </c:numRef>
          </c:val>
          <c:smooth val="0"/>
          <c:extLst>
            <c:ext xmlns:c16="http://schemas.microsoft.com/office/drawing/2014/chart" uri="{C3380CC4-5D6E-409C-BE32-E72D297353CC}">
              <c16:uniqueId val="{00000001-1A48-48DE-BA28-B2ACCC559DE4}"/>
            </c:ext>
          </c:extLst>
        </c:ser>
        <c:dLbls>
          <c:showLegendKey val="0"/>
          <c:showVal val="0"/>
          <c:showCatName val="0"/>
          <c:showSerName val="0"/>
          <c:showPercent val="0"/>
          <c:showBubbleSize val="0"/>
        </c:dLbls>
        <c:marker val="1"/>
        <c:smooth val="0"/>
        <c:axId val="1184504160"/>
        <c:axId val="1184494176"/>
      </c:lineChart>
      <c:catAx>
        <c:axId val="1292632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92634928"/>
        <c:crosses val="autoZero"/>
        <c:auto val="1"/>
        <c:lblAlgn val="ctr"/>
        <c:lblOffset val="100"/>
        <c:noMultiLvlLbl val="0"/>
      </c:catAx>
      <c:valAx>
        <c:axId val="129263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400" b="0" i="0" u="none" strike="noStrike" kern="1200" baseline="0">
                    <a:solidFill>
                      <a:schemeClr val="accent1">
                        <a:lumMod val="75000"/>
                      </a:schemeClr>
                    </a:solidFill>
                    <a:latin typeface="Arial Narrow" panose="020B0606020202030204" pitchFamily="34" charset="0"/>
                    <a:ea typeface="+mn-ea"/>
                    <a:cs typeface="+mn-cs"/>
                  </a:defRPr>
                </a:pPr>
                <a:r>
                  <a:rPr lang="en-GB" sz="1400">
                    <a:solidFill>
                      <a:schemeClr val="accent1">
                        <a:lumMod val="75000"/>
                      </a:schemeClr>
                    </a:solidFill>
                    <a:latin typeface="Arial Narrow" panose="020B0606020202030204" pitchFamily="34" charset="0"/>
                  </a:rPr>
                  <a:t>Employee count</a:t>
                </a:r>
              </a:p>
            </c:rich>
          </c:tx>
          <c:overlay val="0"/>
          <c:spPr>
            <a:noFill/>
            <a:ln>
              <a:noFill/>
            </a:ln>
            <a:effectLst/>
          </c:spPr>
          <c:txPr>
            <a:bodyPr rot="-5400000" spcFirstLastPara="1" vertOverflow="ellipsis" vert="horz" wrap="square" anchor="ctr" anchorCtr="1"/>
            <a:lstStyle/>
            <a:p>
              <a:pPr>
                <a:defRPr lang="en-US" sz="1400" b="0" i="0" u="none" strike="noStrike" kern="1200" baseline="0">
                  <a:solidFill>
                    <a:schemeClr val="accent1">
                      <a:lumMod val="75000"/>
                    </a:schemeClr>
                  </a:solidFill>
                  <a:latin typeface="Arial Narrow" panose="020B060602020203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92632432"/>
        <c:crosses val="autoZero"/>
        <c:crossBetween val="between"/>
      </c:valAx>
      <c:valAx>
        <c:axId val="1184494176"/>
        <c:scaling>
          <c:orientation val="minMax"/>
        </c:scaling>
        <c:delete val="0"/>
        <c:axPos val="r"/>
        <c:title>
          <c:tx>
            <c:rich>
              <a:bodyPr rot="-5400000" spcFirstLastPara="1" vertOverflow="ellipsis" vert="horz" wrap="square" anchor="ctr" anchorCtr="1"/>
              <a:lstStyle/>
              <a:p>
                <a:pPr>
                  <a:defRPr lang="en-US" sz="1400" b="0" i="0" u="none" strike="noStrike" kern="1200" baseline="0">
                    <a:solidFill>
                      <a:schemeClr val="accent1">
                        <a:lumMod val="75000"/>
                      </a:schemeClr>
                    </a:solidFill>
                    <a:latin typeface="Arial Narrow" panose="020B0606020202030204" pitchFamily="34" charset="0"/>
                    <a:ea typeface="+mn-ea"/>
                    <a:cs typeface="+mn-cs"/>
                  </a:defRPr>
                </a:pPr>
                <a:r>
                  <a:rPr lang="en-GB" sz="1400">
                    <a:solidFill>
                      <a:schemeClr val="accent1">
                        <a:lumMod val="75000"/>
                      </a:schemeClr>
                    </a:solidFill>
                    <a:latin typeface="Arial Narrow" panose="020B0606020202030204" pitchFamily="34" charset="0"/>
                  </a:rPr>
                  <a:t>Sum of turnover</a:t>
                </a:r>
              </a:p>
            </c:rich>
          </c:tx>
          <c:layout>
            <c:manualLayout>
              <c:xMode val="edge"/>
              <c:yMode val="edge"/>
              <c:x val="0.94022237697873323"/>
              <c:y val="0.26615788792623513"/>
            </c:manualLayout>
          </c:layout>
          <c:overlay val="0"/>
          <c:spPr>
            <a:noFill/>
            <a:ln>
              <a:noFill/>
            </a:ln>
            <a:effectLst/>
          </c:spPr>
          <c:txPr>
            <a:bodyPr rot="-5400000" spcFirstLastPara="1" vertOverflow="ellipsis" vert="horz" wrap="square" anchor="ctr" anchorCtr="1"/>
            <a:lstStyle/>
            <a:p>
              <a:pPr>
                <a:defRPr lang="en-US" sz="1400" b="0" i="0" u="none" strike="noStrike" kern="1200" baseline="0">
                  <a:solidFill>
                    <a:schemeClr val="accent1">
                      <a:lumMod val="75000"/>
                    </a:schemeClr>
                  </a:solidFill>
                  <a:latin typeface="Arial Narrow" panose="020B0606020202030204" pitchFamily="34" charset="0"/>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184504160"/>
        <c:crosses val="max"/>
        <c:crossBetween val="between"/>
      </c:valAx>
      <c:catAx>
        <c:axId val="1184504160"/>
        <c:scaling>
          <c:orientation val="minMax"/>
        </c:scaling>
        <c:delete val="1"/>
        <c:axPos val="b"/>
        <c:numFmt formatCode="General" sourceLinked="1"/>
        <c:majorTickMark val="out"/>
        <c:minorTickMark val="none"/>
        <c:tickLblPos val="nextTo"/>
        <c:crossAx val="1184494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analysis.xlsx]PIVOTTABLE!PivotTable5</c:name>
    <c:fmtId val="3"/>
  </c:pivotSource>
  <c:chart>
    <c:title>
      <c:tx>
        <c:rich>
          <a:bodyPr rot="0" spcFirstLastPara="1" vertOverflow="ellipsis" vert="horz" wrap="square" anchor="ctr" anchorCtr="1"/>
          <a:lstStyle/>
          <a:p>
            <a:pPr>
              <a:defRPr lang="en-US" sz="1800" b="0" i="0" u="none" strike="noStrike" kern="1200" spc="0" baseline="0">
                <a:solidFill>
                  <a:schemeClr val="accent1">
                    <a:lumMod val="50000"/>
                  </a:schemeClr>
                </a:solidFill>
                <a:latin typeface="+mn-lt"/>
                <a:ea typeface="+mn-ea"/>
                <a:cs typeface="+mn-cs"/>
              </a:defRPr>
            </a:pPr>
            <a:r>
              <a:rPr lang="en-GB" sz="1800" b="0" i="0" u="none" strike="noStrike" baseline="0">
                <a:solidFill>
                  <a:schemeClr val="accent1">
                    <a:lumMod val="50000"/>
                  </a:schemeClr>
                </a:solidFill>
                <a:effectLst/>
              </a:rPr>
              <a:t> </a:t>
            </a:r>
            <a:r>
              <a:rPr lang="en-GB" sz="1800" b="1" i="0" u="none" strike="noStrike" baseline="0">
                <a:solidFill>
                  <a:schemeClr val="accent1">
                    <a:lumMod val="50000"/>
                  </a:schemeClr>
                </a:solidFill>
                <a:effectLst/>
              </a:rPr>
              <a:t>Salary Distribution Histogram </a:t>
            </a:r>
            <a:endParaRPr lang="en-US" sz="1800" b="1">
              <a:solidFill>
                <a:schemeClr val="accent1">
                  <a:lumMod val="50000"/>
                </a:schemeClr>
              </a:solidFill>
            </a:endParaRPr>
          </a:p>
        </c:rich>
      </c:tx>
      <c:layout>
        <c:manualLayout>
          <c:xMode val="edge"/>
          <c:yMode val="edge"/>
          <c:x val="0.25373787882401616"/>
          <c:y val="2.942265358611763E-2"/>
        </c:manualLayout>
      </c:layout>
      <c:overlay val="0"/>
      <c:spPr>
        <a:noFill/>
        <a:ln>
          <a:noFill/>
        </a:ln>
        <a:effectLst/>
      </c:spPr>
      <c:txPr>
        <a:bodyPr rot="0" spcFirstLastPara="1" vertOverflow="ellipsis" vert="horz" wrap="square" anchor="ctr" anchorCtr="1"/>
        <a:lstStyle/>
        <a:p>
          <a:pPr>
            <a:defRPr lang="en-US" sz="18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5745411709178"/>
          <c:y val="0.17938932247054282"/>
          <c:w val="0.84935790545906686"/>
          <c:h val="0.63913418946527834"/>
        </c:manualLayout>
      </c:layout>
      <c:barChart>
        <c:barDir val="col"/>
        <c:grouping val="clustered"/>
        <c:varyColors val="0"/>
        <c:ser>
          <c:idx val="0"/>
          <c:order val="0"/>
          <c:tx>
            <c:strRef>
              <c:f>PIVOTTABLE!$G$58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PIVOTTABLE!$F$59:$F$68</c:f>
              <c:strCache>
                <c:ptCount val="9"/>
                <c:pt idx="0">
                  <c:v>40000-49999</c:v>
                </c:pt>
                <c:pt idx="1">
                  <c:v>50000-59999</c:v>
                </c:pt>
                <c:pt idx="2">
                  <c:v>60000-69999</c:v>
                </c:pt>
                <c:pt idx="3">
                  <c:v>70000-79999</c:v>
                </c:pt>
                <c:pt idx="4">
                  <c:v>80000-89999</c:v>
                </c:pt>
                <c:pt idx="5">
                  <c:v>90000-99999</c:v>
                </c:pt>
                <c:pt idx="6">
                  <c:v>100000-109999</c:v>
                </c:pt>
                <c:pt idx="7">
                  <c:v>110000-120000</c:v>
                </c:pt>
                <c:pt idx="8">
                  <c:v>&gt;120000</c:v>
                </c:pt>
              </c:strCache>
            </c:strRef>
          </c:cat>
          <c:val>
            <c:numRef>
              <c:f>PIVOTTABLE!$G$59:$G$68</c:f>
              <c:numCache>
                <c:formatCode>General</c:formatCode>
                <c:ptCount val="9"/>
                <c:pt idx="0">
                  <c:v>31</c:v>
                </c:pt>
                <c:pt idx="1">
                  <c:v>90</c:v>
                </c:pt>
                <c:pt idx="2">
                  <c:v>101</c:v>
                </c:pt>
                <c:pt idx="3">
                  <c:v>31</c:v>
                </c:pt>
                <c:pt idx="4">
                  <c:v>17</c:v>
                </c:pt>
                <c:pt idx="5">
                  <c:v>16</c:v>
                </c:pt>
                <c:pt idx="6">
                  <c:v>10</c:v>
                </c:pt>
                <c:pt idx="7">
                  <c:v>5</c:v>
                </c:pt>
                <c:pt idx="8">
                  <c:v>10</c:v>
                </c:pt>
              </c:numCache>
            </c:numRef>
          </c:val>
          <c:extLst>
            <c:ext xmlns:c16="http://schemas.microsoft.com/office/drawing/2014/chart" uri="{C3380CC4-5D6E-409C-BE32-E72D297353CC}">
              <c16:uniqueId val="{00000000-0F05-4722-9316-4A4A1EBB8670}"/>
            </c:ext>
          </c:extLst>
        </c:ser>
        <c:dLbls>
          <c:dLblPos val="outEnd"/>
          <c:showLegendKey val="0"/>
          <c:showVal val="1"/>
          <c:showCatName val="0"/>
          <c:showSerName val="0"/>
          <c:showPercent val="0"/>
          <c:showBubbleSize val="0"/>
        </c:dLbls>
        <c:gapWidth val="0"/>
        <c:overlap val="-27"/>
        <c:axId val="1184497088"/>
        <c:axId val="1184490432"/>
      </c:barChart>
      <c:catAx>
        <c:axId val="1184497088"/>
        <c:scaling>
          <c:orientation val="minMax"/>
        </c:scaling>
        <c:delete val="0"/>
        <c:axPos val="b"/>
        <c:title>
          <c:tx>
            <c:rich>
              <a:bodyPr rot="0" spcFirstLastPara="1" vertOverflow="ellipsis" vert="horz" wrap="square" anchor="ctr" anchorCtr="1"/>
              <a:lstStyle/>
              <a:p>
                <a:pPr>
                  <a:defRPr lang="en-US" sz="1600" b="0" i="0" u="none" strike="noStrike" kern="1200" baseline="0">
                    <a:solidFill>
                      <a:schemeClr val="accent1">
                        <a:lumMod val="75000"/>
                      </a:schemeClr>
                    </a:solidFill>
                    <a:latin typeface="Arial Narrow" panose="020B0606020202030204" pitchFamily="34" charset="0"/>
                    <a:ea typeface="+mn-ea"/>
                    <a:cs typeface="+mn-cs"/>
                  </a:defRPr>
                </a:pPr>
                <a:r>
                  <a:rPr lang="en-GB" sz="1600" b="0">
                    <a:solidFill>
                      <a:schemeClr val="accent1">
                        <a:lumMod val="75000"/>
                      </a:schemeClr>
                    </a:solidFill>
                    <a:latin typeface="Arial Narrow" panose="020B0606020202030204" pitchFamily="34" charset="0"/>
                  </a:rPr>
                  <a:t>Salaries</a:t>
                </a:r>
              </a:p>
            </c:rich>
          </c:tx>
          <c:overlay val="0"/>
          <c:spPr>
            <a:noFill/>
            <a:ln>
              <a:noFill/>
            </a:ln>
            <a:effectLst/>
          </c:spPr>
          <c:txPr>
            <a:bodyPr rot="0" spcFirstLastPara="1" vertOverflow="ellipsis" vert="horz" wrap="square" anchor="ctr" anchorCtr="1"/>
            <a:lstStyle/>
            <a:p>
              <a:pPr>
                <a:defRPr lang="en-US" sz="1600" b="0" i="0" u="none" strike="noStrike" kern="1200" baseline="0">
                  <a:solidFill>
                    <a:schemeClr val="accent1">
                      <a:lumMod val="75000"/>
                    </a:schemeClr>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lumMod val="50000"/>
                  </a:schemeClr>
                </a:solidFill>
                <a:latin typeface="+mn-lt"/>
                <a:ea typeface="+mn-ea"/>
                <a:cs typeface="+mn-cs"/>
              </a:defRPr>
            </a:pPr>
            <a:endParaRPr lang="en-US"/>
          </a:p>
        </c:txPr>
        <c:crossAx val="1184490432"/>
        <c:crosses val="autoZero"/>
        <c:auto val="1"/>
        <c:lblAlgn val="ctr"/>
        <c:lblOffset val="100"/>
        <c:noMultiLvlLbl val="0"/>
      </c:catAx>
      <c:valAx>
        <c:axId val="118449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400" b="0" i="0" u="none" strike="noStrike" kern="1200" baseline="0">
                    <a:solidFill>
                      <a:schemeClr val="accent1">
                        <a:lumMod val="75000"/>
                      </a:schemeClr>
                    </a:solidFill>
                    <a:latin typeface="Arial Narrow" panose="020B0606020202030204" pitchFamily="34" charset="0"/>
                    <a:ea typeface="+mn-ea"/>
                    <a:cs typeface="+mn-cs"/>
                  </a:defRPr>
                </a:pPr>
                <a:r>
                  <a:rPr lang="en-GB" sz="1400" b="0" i="0" baseline="0">
                    <a:solidFill>
                      <a:schemeClr val="accent1">
                        <a:lumMod val="75000"/>
                      </a:schemeClr>
                    </a:solidFill>
                    <a:effectLst/>
                    <a:latin typeface="Arial Narrow" panose="020B0606020202030204" pitchFamily="34" charset="0"/>
                  </a:rPr>
                  <a:t>Employee count</a:t>
                </a:r>
                <a:endParaRPr lang="en-GB" sz="1400" b="0">
                  <a:solidFill>
                    <a:schemeClr val="accent1">
                      <a:lumMod val="75000"/>
                    </a:schemeClr>
                  </a:solidFill>
                  <a:effectLst/>
                  <a:latin typeface="Arial Narrow" panose="020B0606020202030204" pitchFamily="34" charset="0"/>
                </a:endParaRPr>
              </a:p>
            </c:rich>
          </c:tx>
          <c:layout>
            <c:manualLayout>
              <c:xMode val="edge"/>
              <c:yMode val="edge"/>
              <c:x val="7.3873436317601461E-3"/>
              <c:y val="0.34485290131376839"/>
            </c:manualLayout>
          </c:layout>
          <c:overlay val="0"/>
          <c:spPr>
            <a:noFill/>
            <a:ln>
              <a:noFill/>
            </a:ln>
            <a:effectLst/>
          </c:spPr>
          <c:txPr>
            <a:bodyPr rot="-5400000" spcFirstLastPara="1" vertOverflow="ellipsis" vert="horz" wrap="square" anchor="ctr" anchorCtr="1"/>
            <a:lstStyle/>
            <a:p>
              <a:pPr>
                <a:defRPr lang="en-US" sz="1400" b="0" i="0" u="none" strike="noStrike" kern="1200" baseline="0">
                  <a:solidFill>
                    <a:schemeClr val="accent1">
                      <a:lumMod val="75000"/>
                    </a:schemeClr>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449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accent1">
                    <a:lumMod val="50000"/>
                  </a:schemeClr>
                </a:solidFill>
                <a:latin typeface="+mj-lt"/>
                <a:ea typeface="+mj-ea"/>
                <a:cs typeface="+mj-cs"/>
              </a:defRPr>
            </a:pPr>
            <a:r>
              <a:rPr lang="en-GB" sz="2000" b="0">
                <a:solidFill>
                  <a:schemeClr val="accent1">
                    <a:lumMod val="50000"/>
                  </a:schemeClr>
                </a:solidFill>
                <a:effectLst/>
              </a:rPr>
              <a:t> Performance vs Salary Scatter Plot </a:t>
            </a:r>
            <a:endParaRPr lang="en-US" sz="2000" b="0">
              <a:solidFill>
                <a:schemeClr val="accent1">
                  <a:lumMod val="50000"/>
                </a:schemeClr>
              </a:solidFill>
            </a:endParaRPr>
          </a:p>
        </c:rich>
      </c:tx>
      <c:layout>
        <c:manualLayout>
          <c:xMode val="edge"/>
          <c:yMode val="edge"/>
          <c:x val="0.15333328951380615"/>
          <c:y val="2.9255184075380838E-3"/>
        </c:manualLayout>
      </c:layout>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accent1">
                  <a:lumMod val="50000"/>
                </a:schemeClr>
              </a:solidFill>
              <a:latin typeface="+mj-lt"/>
              <a:ea typeface="+mj-ea"/>
              <a:cs typeface="+mj-cs"/>
            </a:defRPr>
          </a:pPr>
          <a:endParaRPr lang="en-US"/>
        </a:p>
      </c:txPr>
    </c:title>
    <c:autoTitleDeleted val="0"/>
    <c:plotArea>
      <c:layout/>
      <c:scatterChart>
        <c:scatterStyle val="lineMarker"/>
        <c:varyColors val="0"/>
        <c:ser>
          <c:idx val="0"/>
          <c:order val="0"/>
          <c:tx>
            <c:strRef>
              <c:f>HRDataset_v14!$J$1</c:f>
              <c:strCache>
                <c:ptCount val="1"/>
                <c:pt idx="0">
                  <c:v>Salary</c:v>
                </c:pt>
              </c:strCache>
            </c:strRef>
          </c:tx>
          <c:spPr>
            <a:ln w="25400" cap="flat" cmpd="dbl" algn="ctr">
              <a:noFill/>
              <a:round/>
            </a:ln>
            <a:effectLst/>
          </c:spPr>
          <c:marker>
            <c:symbol val="circle"/>
            <c:size val="6"/>
            <c:spPr>
              <a:solidFill>
                <a:schemeClr val="accent2"/>
              </a:solidFill>
              <a:ln w="34925" cap="flat" cmpd="dbl" algn="ctr">
                <a:solidFill>
                  <a:schemeClr val="accent1">
                    <a:lumMod val="75000"/>
                    <a:alpha val="70000"/>
                  </a:schemeClr>
                </a:solidFill>
                <a:round/>
              </a:ln>
              <a:effectLst/>
            </c:spPr>
          </c:marker>
          <c:xVal>
            <c:numRef>
              <c:f>HRDataset_v14!$H$2:$H$312</c:f>
              <c:numCache>
                <c:formatCode>General</c:formatCode>
                <c:ptCount val="311"/>
                <c:pt idx="0">
                  <c:v>4</c:v>
                </c:pt>
                <c:pt idx="1">
                  <c:v>3</c:v>
                </c:pt>
                <c:pt idx="2">
                  <c:v>3</c:v>
                </c:pt>
                <c:pt idx="3">
                  <c:v>3</c:v>
                </c:pt>
                <c:pt idx="4">
                  <c:v>3</c:v>
                </c:pt>
                <c:pt idx="5">
                  <c:v>4</c:v>
                </c:pt>
                <c:pt idx="6">
                  <c:v>3</c:v>
                </c:pt>
                <c:pt idx="7">
                  <c:v>3</c:v>
                </c:pt>
                <c:pt idx="8">
                  <c:v>3</c:v>
                </c:pt>
                <c:pt idx="9">
                  <c:v>3</c:v>
                </c:pt>
                <c:pt idx="10">
                  <c:v>3</c:v>
                </c:pt>
                <c:pt idx="11">
                  <c:v>3</c:v>
                </c:pt>
                <c:pt idx="12">
                  <c:v>4</c:v>
                </c:pt>
                <c:pt idx="13">
                  <c:v>3</c:v>
                </c:pt>
                <c:pt idx="14">
                  <c:v>3</c:v>
                </c:pt>
                <c:pt idx="15">
                  <c:v>3</c:v>
                </c:pt>
                <c:pt idx="16">
                  <c:v>4</c:v>
                </c:pt>
                <c:pt idx="17">
                  <c:v>3</c:v>
                </c:pt>
                <c:pt idx="18">
                  <c:v>3</c:v>
                </c:pt>
                <c:pt idx="19">
                  <c:v>3</c:v>
                </c:pt>
                <c:pt idx="20">
                  <c:v>3</c:v>
                </c:pt>
                <c:pt idx="21">
                  <c:v>3</c:v>
                </c:pt>
                <c:pt idx="22">
                  <c:v>4</c:v>
                </c:pt>
                <c:pt idx="23">
                  <c:v>2</c:v>
                </c:pt>
                <c:pt idx="24">
                  <c:v>3</c:v>
                </c:pt>
                <c:pt idx="25">
                  <c:v>3</c:v>
                </c:pt>
                <c:pt idx="26">
                  <c:v>3</c:v>
                </c:pt>
                <c:pt idx="27">
                  <c:v>3</c:v>
                </c:pt>
                <c:pt idx="28">
                  <c:v>3</c:v>
                </c:pt>
                <c:pt idx="29">
                  <c:v>3</c:v>
                </c:pt>
                <c:pt idx="30">
                  <c:v>3</c:v>
                </c:pt>
                <c:pt idx="31">
                  <c:v>3</c:v>
                </c:pt>
                <c:pt idx="32">
                  <c:v>3</c:v>
                </c:pt>
                <c:pt idx="33">
                  <c:v>3</c:v>
                </c:pt>
                <c:pt idx="34">
                  <c:v>3</c:v>
                </c:pt>
                <c:pt idx="35">
                  <c:v>3</c:v>
                </c:pt>
                <c:pt idx="36">
                  <c:v>4</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4</c:v>
                </c:pt>
                <c:pt idx="52">
                  <c:v>3</c:v>
                </c:pt>
                <c:pt idx="53">
                  <c:v>2</c:v>
                </c:pt>
                <c:pt idx="54">
                  <c:v>2</c:v>
                </c:pt>
                <c:pt idx="55">
                  <c:v>4</c:v>
                </c:pt>
                <c:pt idx="56">
                  <c:v>3</c:v>
                </c:pt>
                <c:pt idx="57">
                  <c:v>3</c:v>
                </c:pt>
                <c:pt idx="58">
                  <c:v>3</c:v>
                </c:pt>
                <c:pt idx="59">
                  <c:v>3</c:v>
                </c:pt>
                <c:pt idx="60">
                  <c:v>3</c:v>
                </c:pt>
                <c:pt idx="61">
                  <c:v>3</c:v>
                </c:pt>
                <c:pt idx="62">
                  <c:v>3</c:v>
                </c:pt>
                <c:pt idx="63">
                  <c:v>3</c:v>
                </c:pt>
                <c:pt idx="64">
                  <c:v>1</c:v>
                </c:pt>
                <c:pt idx="65">
                  <c:v>3</c:v>
                </c:pt>
                <c:pt idx="66">
                  <c:v>3</c:v>
                </c:pt>
                <c:pt idx="67">
                  <c:v>1</c:v>
                </c:pt>
                <c:pt idx="68">
                  <c:v>3</c:v>
                </c:pt>
                <c:pt idx="69">
                  <c:v>1</c:v>
                </c:pt>
                <c:pt idx="70">
                  <c:v>3</c:v>
                </c:pt>
                <c:pt idx="71">
                  <c:v>3</c:v>
                </c:pt>
                <c:pt idx="72">
                  <c:v>1</c:v>
                </c:pt>
                <c:pt idx="73">
                  <c:v>2</c:v>
                </c:pt>
                <c:pt idx="74">
                  <c:v>3</c:v>
                </c:pt>
                <c:pt idx="75">
                  <c:v>3</c:v>
                </c:pt>
                <c:pt idx="76">
                  <c:v>4</c:v>
                </c:pt>
                <c:pt idx="77">
                  <c:v>4</c:v>
                </c:pt>
                <c:pt idx="78">
                  <c:v>3</c:v>
                </c:pt>
                <c:pt idx="79">
                  <c:v>3</c:v>
                </c:pt>
                <c:pt idx="80">
                  <c:v>3</c:v>
                </c:pt>
                <c:pt idx="81">
                  <c:v>3</c:v>
                </c:pt>
                <c:pt idx="82">
                  <c:v>3</c:v>
                </c:pt>
                <c:pt idx="83">
                  <c:v>1</c:v>
                </c:pt>
                <c:pt idx="84">
                  <c:v>2</c:v>
                </c:pt>
                <c:pt idx="85">
                  <c:v>2</c:v>
                </c:pt>
                <c:pt idx="86">
                  <c:v>2</c:v>
                </c:pt>
                <c:pt idx="87">
                  <c:v>3</c:v>
                </c:pt>
                <c:pt idx="88">
                  <c:v>3</c:v>
                </c:pt>
                <c:pt idx="89">
                  <c:v>3</c:v>
                </c:pt>
                <c:pt idx="90">
                  <c:v>1</c:v>
                </c:pt>
                <c:pt idx="91">
                  <c:v>1</c:v>
                </c:pt>
                <c:pt idx="92">
                  <c:v>3</c:v>
                </c:pt>
                <c:pt idx="93">
                  <c:v>3</c:v>
                </c:pt>
                <c:pt idx="94">
                  <c:v>3</c:v>
                </c:pt>
                <c:pt idx="95">
                  <c:v>3</c:v>
                </c:pt>
                <c:pt idx="96">
                  <c:v>4</c:v>
                </c:pt>
                <c:pt idx="97">
                  <c:v>3</c:v>
                </c:pt>
                <c:pt idx="98">
                  <c:v>3</c:v>
                </c:pt>
                <c:pt idx="99">
                  <c:v>3</c:v>
                </c:pt>
                <c:pt idx="100">
                  <c:v>3</c:v>
                </c:pt>
                <c:pt idx="101">
                  <c:v>3</c:v>
                </c:pt>
                <c:pt idx="102">
                  <c:v>3</c:v>
                </c:pt>
                <c:pt idx="103">
                  <c:v>3</c:v>
                </c:pt>
                <c:pt idx="104">
                  <c:v>3</c:v>
                </c:pt>
                <c:pt idx="105">
                  <c:v>2</c:v>
                </c:pt>
                <c:pt idx="106">
                  <c:v>4</c:v>
                </c:pt>
                <c:pt idx="107">
                  <c:v>3</c:v>
                </c:pt>
                <c:pt idx="108">
                  <c:v>3</c:v>
                </c:pt>
                <c:pt idx="109">
                  <c:v>3</c:v>
                </c:pt>
                <c:pt idx="110">
                  <c:v>3</c:v>
                </c:pt>
                <c:pt idx="111">
                  <c:v>4</c:v>
                </c:pt>
                <c:pt idx="112">
                  <c:v>1</c:v>
                </c:pt>
                <c:pt idx="113">
                  <c:v>3</c:v>
                </c:pt>
                <c:pt idx="114">
                  <c:v>3</c:v>
                </c:pt>
                <c:pt idx="115">
                  <c:v>3</c:v>
                </c:pt>
                <c:pt idx="116">
                  <c:v>3</c:v>
                </c:pt>
                <c:pt idx="117">
                  <c:v>3</c:v>
                </c:pt>
                <c:pt idx="118">
                  <c:v>3</c:v>
                </c:pt>
                <c:pt idx="119">
                  <c:v>3</c:v>
                </c:pt>
                <c:pt idx="120">
                  <c:v>3</c:v>
                </c:pt>
                <c:pt idx="121">
                  <c:v>3</c:v>
                </c:pt>
                <c:pt idx="122">
                  <c:v>3</c:v>
                </c:pt>
                <c:pt idx="123">
                  <c:v>3</c:v>
                </c:pt>
                <c:pt idx="124">
                  <c:v>3</c:v>
                </c:pt>
                <c:pt idx="125">
                  <c:v>4</c:v>
                </c:pt>
                <c:pt idx="126">
                  <c:v>3</c:v>
                </c:pt>
                <c:pt idx="127">
                  <c:v>3</c:v>
                </c:pt>
                <c:pt idx="128">
                  <c:v>3</c:v>
                </c:pt>
                <c:pt idx="129">
                  <c:v>3</c:v>
                </c:pt>
                <c:pt idx="130">
                  <c:v>3</c:v>
                </c:pt>
                <c:pt idx="131">
                  <c:v>3</c:v>
                </c:pt>
                <c:pt idx="132">
                  <c:v>3</c:v>
                </c:pt>
                <c:pt idx="133">
                  <c:v>3</c:v>
                </c:pt>
                <c:pt idx="134">
                  <c:v>3</c:v>
                </c:pt>
                <c:pt idx="135">
                  <c:v>3</c:v>
                </c:pt>
                <c:pt idx="136">
                  <c:v>3</c:v>
                </c:pt>
                <c:pt idx="137">
                  <c:v>2</c:v>
                </c:pt>
                <c:pt idx="138">
                  <c:v>3</c:v>
                </c:pt>
                <c:pt idx="139">
                  <c:v>3</c:v>
                </c:pt>
                <c:pt idx="140">
                  <c:v>3</c:v>
                </c:pt>
                <c:pt idx="141">
                  <c:v>4</c:v>
                </c:pt>
                <c:pt idx="142">
                  <c:v>3</c:v>
                </c:pt>
                <c:pt idx="143">
                  <c:v>4</c:v>
                </c:pt>
                <c:pt idx="144">
                  <c:v>3</c:v>
                </c:pt>
                <c:pt idx="145">
                  <c:v>4</c:v>
                </c:pt>
                <c:pt idx="146">
                  <c:v>3</c:v>
                </c:pt>
                <c:pt idx="147">
                  <c:v>3</c:v>
                </c:pt>
                <c:pt idx="148">
                  <c:v>3</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4</c:v>
                </c:pt>
                <c:pt idx="168">
                  <c:v>3</c:v>
                </c:pt>
                <c:pt idx="169">
                  <c:v>3</c:v>
                </c:pt>
                <c:pt idx="170">
                  <c:v>4</c:v>
                </c:pt>
                <c:pt idx="171">
                  <c:v>3</c:v>
                </c:pt>
                <c:pt idx="172">
                  <c:v>4</c:v>
                </c:pt>
                <c:pt idx="173">
                  <c:v>3</c:v>
                </c:pt>
                <c:pt idx="174">
                  <c:v>4</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1</c:v>
                </c:pt>
                <c:pt idx="189">
                  <c:v>3</c:v>
                </c:pt>
                <c:pt idx="190">
                  <c:v>2</c:v>
                </c:pt>
                <c:pt idx="191">
                  <c:v>4</c:v>
                </c:pt>
                <c:pt idx="192">
                  <c:v>3</c:v>
                </c:pt>
                <c:pt idx="193">
                  <c:v>3</c:v>
                </c:pt>
                <c:pt idx="194">
                  <c:v>3</c:v>
                </c:pt>
                <c:pt idx="195">
                  <c:v>3</c:v>
                </c:pt>
                <c:pt idx="196">
                  <c:v>3</c:v>
                </c:pt>
                <c:pt idx="197">
                  <c:v>3</c:v>
                </c:pt>
                <c:pt idx="198">
                  <c:v>3</c:v>
                </c:pt>
                <c:pt idx="199">
                  <c:v>3</c:v>
                </c:pt>
                <c:pt idx="200">
                  <c:v>3</c:v>
                </c:pt>
                <c:pt idx="201">
                  <c:v>4</c:v>
                </c:pt>
                <c:pt idx="202">
                  <c:v>3</c:v>
                </c:pt>
                <c:pt idx="203">
                  <c:v>3</c:v>
                </c:pt>
                <c:pt idx="204">
                  <c:v>3</c:v>
                </c:pt>
                <c:pt idx="205">
                  <c:v>1</c:v>
                </c:pt>
                <c:pt idx="206">
                  <c:v>3</c:v>
                </c:pt>
                <c:pt idx="207">
                  <c:v>3</c:v>
                </c:pt>
                <c:pt idx="208">
                  <c:v>4</c:v>
                </c:pt>
                <c:pt idx="209">
                  <c:v>2</c:v>
                </c:pt>
                <c:pt idx="210">
                  <c:v>3</c:v>
                </c:pt>
                <c:pt idx="211">
                  <c:v>3</c:v>
                </c:pt>
                <c:pt idx="212">
                  <c:v>4</c:v>
                </c:pt>
                <c:pt idx="213">
                  <c:v>3</c:v>
                </c:pt>
                <c:pt idx="214">
                  <c:v>2</c:v>
                </c:pt>
                <c:pt idx="215">
                  <c:v>2</c:v>
                </c:pt>
                <c:pt idx="216">
                  <c:v>3</c:v>
                </c:pt>
                <c:pt idx="217">
                  <c:v>4</c:v>
                </c:pt>
                <c:pt idx="218">
                  <c:v>3</c:v>
                </c:pt>
                <c:pt idx="219">
                  <c:v>3</c:v>
                </c:pt>
                <c:pt idx="220">
                  <c:v>4</c:v>
                </c:pt>
                <c:pt idx="221">
                  <c:v>3</c:v>
                </c:pt>
                <c:pt idx="222">
                  <c:v>3</c:v>
                </c:pt>
                <c:pt idx="223">
                  <c:v>3</c:v>
                </c:pt>
                <c:pt idx="224">
                  <c:v>3</c:v>
                </c:pt>
                <c:pt idx="225">
                  <c:v>3</c:v>
                </c:pt>
                <c:pt idx="226">
                  <c:v>3</c:v>
                </c:pt>
                <c:pt idx="227">
                  <c:v>3</c:v>
                </c:pt>
                <c:pt idx="228">
                  <c:v>3</c:v>
                </c:pt>
                <c:pt idx="229">
                  <c:v>3</c:v>
                </c:pt>
                <c:pt idx="230">
                  <c:v>3</c:v>
                </c:pt>
                <c:pt idx="231">
                  <c:v>3</c:v>
                </c:pt>
                <c:pt idx="232">
                  <c:v>4</c:v>
                </c:pt>
                <c:pt idx="233">
                  <c:v>3</c:v>
                </c:pt>
                <c:pt idx="234">
                  <c:v>3</c:v>
                </c:pt>
                <c:pt idx="235">
                  <c:v>3</c:v>
                </c:pt>
                <c:pt idx="236">
                  <c:v>2</c:v>
                </c:pt>
                <c:pt idx="237">
                  <c:v>4</c:v>
                </c:pt>
                <c:pt idx="238">
                  <c:v>3</c:v>
                </c:pt>
                <c:pt idx="239">
                  <c:v>3</c:v>
                </c:pt>
                <c:pt idx="240">
                  <c:v>3</c:v>
                </c:pt>
                <c:pt idx="241">
                  <c:v>3</c:v>
                </c:pt>
                <c:pt idx="242">
                  <c:v>3</c:v>
                </c:pt>
                <c:pt idx="243">
                  <c:v>3</c:v>
                </c:pt>
                <c:pt idx="244">
                  <c:v>3</c:v>
                </c:pt>
                <c:pt idx="245">
                  <c:v>3</c:v>
                </c:pt>
                <c:pt idx="246">
                  <c:v>2</c:v>
                </c:pt>
                <c:pt idx="247">
                  <c:v>3</c:v>
                </c:pt>
                <c:pt idx="248">
                  <c:v>3</c:v>
                </c:pt>
                <c:pt idx="249">
                  <c:v>3</c:v>
                </c:pt>
                <c:pt idx="250">
                  <c:v>3</c:v>
                </c:pt>
                <c:pt idx="251">
                  <c:v>3</c:v>
                </c:pt>
                <c:pt idx="252">
                  <c:v>3</c:v>
                </c:pt>
                <c:pt idx="253">
                  <c:v>3</c:v>
                </c:pt>
                <c:pt idx="254">
                  <c:v>3</c:v>
                </c:pt>
                <c:pt idx="255">
                  <c:v>3</c:v>
                </c:pt>
                <c:pt idx="256">
                  <c:v>3</c:v>
                </c:pt>
                <c:pt idx="257">
                  <c:v>4</c:v>
                </c:pt>
                <c:pt idx="258">
                  <c:v>2</c:v>
                </c:pt>
                <c:pt idx="259">
                  <c:v>3</c:v>
                </c:pt>
                <c:pt idx="260">
                  <c:v>3</c:v>
                </c:pt>
                <c:pt idx="261">
                  <c:v>3</c:v>
                </c:pt>
                <c:pt idx="262">
                  <c:v>3</c:v>
                </c:pt>
                <c:pt idx="263">
                  <c:v>1</c:v>
                </c:pt>
                <c:pt idx="264">
                  <c:v>3</c:v>
                </c:pt>
                <c:pt idx="265">
                  <c:v>4</c:v>
                </c:pt>
                <c:pt idx="266">
                  <c:v>3</c:v>
                </c:pt>
                <c:pt idx="267">
                  <c:v>1</c:v>
                </c:pt>
                <c:pt idx="268">
                  <c:v>3</c:v>
                </c:pt>
                <c:pt idx="269">
                  <c:v>3</c:v>
                </c:pt>
                <c:pt idx="270">
                  <c:v>3</c:v>
                </c:pt>
                <c:pt idx="271">
                  <c:v>3</c:v>
                </c:pt>
                <c:pt idx="272">
                  <c:v>3</c:v>
                </c:pt>
                <c:pt idx="273">
                  <c:v>3</c:v>
                </c:pt>
                <c:pt idx="274">
                  <c:v>4</c:v>
                </c:pt>
                <c:pt idx="275">
                  <c:v>3</c:v>
                </c:pt>
                <c:pt idx="276">
                  <c:v>3</c:v>
                </c:pt>
                <c:pt idx="277">
                  <c:v>3</c:v>
                </c:pt>
                <c:pt idx="278">
                  <c:v>3</c:v>
                </c:pt>
                <c:pt idx="279">
                  <c:v>3</c:v>
                </c:pt>
                <c:pt idx="280">
                  <c:v>3</c:v>
                </c:pt>
                <c:pt idx="281">
                  <c:v>3</c:v>
                </c:pt>
                <c:pt idx="282">
                  <c:v>4</c:v>
                </c:pt>
                <c:pt idx="283">
                  <c:v>2</c:v>
                </c:pt>
                <c:pt idx="284">
                  <c:v>3</c:v>
                </c:pt>
                <c:pt idx="285">
                  <c:v>3</c:v>
                </c:pt>
                <c:pt idx="286">
                  <c:v>3</c:v>
                </c:pt>
                <c:pt idx="287">
                  <c:v>3</c:v>
                </c:pt>
                <c:pt idx="288">
                  <c:v>3</c:v>
                </c:pt>
                <c:pt idx="289">
                  <c:v>4</c:v>
                </c:pt>
                <c:pt idx="290">
                  <c:v>3</c:v>
                </c:pt>
                <c:pt idx="291">
                  <c:v>3</c:v>
                </c:pt>
                <c:pt idx="292">
                  <c:v>3</c:v>
                </c:pt>
                <c:pt idx="293">
                  <c:v>4</c:v>
                </c:pt>
                <c:pt idx="294">
                  <c:v>3</c:v>
                </c:pt>
                <c:pt idx="295">
                  <c:v>3</c:v>
                </c:pt>
                <c:pt idx="296">
                  <c:v>3</c:v>
                </c:pt>
                <c:pt idx="297">
                  <c:v>2</c:v>
                </c:pt>
                <c:pt idx="298">
                  <c:v>3</c:v>
                </c:pt>
                <c:pt idx="299">
                  <c:v>3</c:v>
                </c:pt>
                <c:pt idx="300">
                  <c:v>3</c:v>
                </c:pt>
                <c:pt idx="301">
                  <c:v>3</c:v>
                </c:pt>
                <c:pt idx="302">
                  <c:v>3</c:v>
                </c:pt>
                <c:pt idx="303">
                  <c:v>3</c:v>
                </c:pt>
                <c:pt idx="304">
                  <c:v>4</c:v>
                </c:pt>
                <c:pt idx="305">
                  <c:v>3</c:v>
                </c:pt>
                <c:pt idx="306">
                  <c:v>3</c:v>
                </c:pt>
                <c:pt idx="307">
                  <c:v>1</c:v>
                </c:pt>
                <c:pt idx="308">
                  <c:v>4</c:v>
                </c:pt>
                <c:pt idx="309">
                  <c:v>3</c:v>
                </c:pt>
                <c:pt idx="310">
                  <c:v>3</c:v>
                </c:pt>
              </c:numCache>
            </c:numRef>
          </c:xVal>
          <c:yVal>
            <c:numRef>
              <c:f>HRDataset_v14!$J$2:$J$312</c:f>
              <c:numCache>
                <c:formatCode>General</c:formatCode>
                <c:ptCount val="311"/>
                <c:pt idx="0">
                  <c:v>62506</c:v>
                </c:pt>
                <c:pt idx="1">
                  <c:v>104437</c:v>
                </c:pt>
                <c:pt idx="2">
                  <c:v>64955</c:v>
                </c:pt>
                <c:pt idx="3">
                  <c:v>64991</c:v>
                </c:pt>
                <c:pt idx="4">
                  <c:v>50825</c:v>
                </c:pt>
                <c:pt idx="5">
                  <c:v>57568</c:v>
                </c:pt>
                <c:pt idx="6">
                  <c:v>95660</c:v>
                </c:pt>
                <c:pt idx="7">
                  <c:v>59365</c:v>
                </c:pt>
                <c:pt idx="8">
                  <c:v>47837</c:v>
                </c:pt>
                <c:pt idx="9">
                  <c:v>50178</c:v>
                </c:pt>
                <c:pt idx="10">
                  <c:v>54670</c:v>
                </c:pt>
                <c:pt idx="11">
                  <c:v>47211</c:v>
                </c:pt>
                <c:pt idx="12">
                  <c:v>92328</c:v>
                </c:pt>
                <c:pt idx="13">
                  <c:v>58709</c:v>
                </c:pt>
                <c:pt idx="14">
                  <c:v>52505</c:v>
                </c:pt>
                <c:pt idx="15">
                  <c:v>57834</c:v>
                </c:pt>
                <c:pt idx="16">
                  <c:v>70131</c:v>
                </c:pt>
                <c:pt idx="17">
                  <c:v>59026</c:v>
                </c:pt>
                <c:pt idx="18">
                  <c:v>110000</c:v>
                </c:pt>
                <c:pt idx="19">
                  <c:v>53250</c:v>
                </c:pt>
                <c:pt idx="20">
                  <c:v>51044</c:v>
                </c:pt>
                <c:pt idx="21">
                  <c:v>64919</c:v>
                </c:pt>
                <c:pt idx="22">
                  <c:v>62910</c:v>
                </c:pt>
                <c:pt idx="23">
                  <c:v>66441</c:v>
                </c:pt>
                <c:pt idx="24">
                  <c:v>57815</c:v>
                </c:pt>
                <c:pt idx="25">
                  <c:v>103613</c:v>
                </c:pt>
                <c:pt idx="26">
                  <c:v>106367</c:v>
                </c:pt>
                <c:pt idx="27">
                  <c:v>74312</c:v>
                </c:pt>
                <c:pt idx="28">
                  <c:v>53492</c:v>
                </c:pt>
                <c:pt idx="29">
                  <c:v>63000</c:v>
                </c:pt>
                <c:pt idx="30">
                  <c:v>65288</c:v>
                </c:pt>
                <c:pt idx="31">
                  <c:v>64375</c:v>
                </c:pt>
                <c:pt idx="32">
                  <c:v>74326</c:v>
                </c:pt>
                <c:pt idx="33">
                  <c:v>63763</c:v>
                </c:pt>
                <c:pt idx="34">
                  <c:v>62162</c:v>
                </c:pt>
                <c:pt idx="35">
                  <c:v>77692</c:v>
                </c:pt>
                <c:pt idx="36">
                  <c:v>72640</c:v>
                </c:pt>
                <c:pt idx="37">
                  <c:v>93396</c:v>
                </c:pt>
                <c:pt idx="38">
                  <c:v>52846</c:v>
                </c:pt>
                <c:pt idx="39">
                  <c:v>100031</c:v>
                </c:pt>
                <c:pt idx="40">
                  <c:v>71860</c:v>
                </c:pt>
                <c:pt idx="41">
                  <c:v>61656</c:v>
                </c:pt>
                <c:pt idx="42">
                  <c:v>110929</c:v>
                </c:pt>
                <c:pt idx="43">
                  <c:v>54237</c:v>
                </c:pt>
                <c:pt idx="44">
                  <c:v>60380</c:v>
                </c:pt>
                <c:pt idx="45">
                  <c:v>66808</c:v>
                </c:pt>
                <c:pt idx="46">
                  <c:v>64786</c:v>
                </c:pt>
                <c:pt idx="47">
                  <c:v>64816</c:v>
                </c:pt>
                <c:pt idx="48">
                  <c:v>68678</c:v>
                </c:pt>
                <c:pt idx="49">
                  <c:v>64066</c:v>
                </c:pt>
                <c:pt idx="50">
                  <c:v>59369</c:v>
                </c:pt>
                <c:pt idx="51">
                  <c:v>50373</c:v>
                </c:pt>
                <c:pt idx="52">
                  <c:v>63108</c:v>
                </c:pt>
                <c:pt idx="53">
                  <c:v>59144</c:v>
                </c:pt>
                <c:pt idx="54">
                  <c:v>68051</c:v>
                </c:pt>
                <c:pt idx="55">
                  <c:v>170500</c:v>
                </c:pt>
                <c:pt idx="56">
                  <c:v>63381</c:v>
                </c:pt>
                <c:pt idx="57">
                  <c:v>83552</c:v>
                </c:pt>
                <c:pt idx="58">
                  <c:v>56149</c:v>
                </c:pt>
                <c:pt idx="59">
                  <c:v>92329</c:v>
                </c:pt>
                <c:pt idx="60">
                  <c:v>65729</c:v>
                </c:pt>
                <c:pt idx="61">
                  <c:v>85028</c:v>
                </c:pt>
                <c:pt idx="62">
                  <c:v>57583</c:v>
                </c:pt>
                <c:pt idx="63">
                  <c:v>56294</c:v>
                </c:pt>
                <c:pt idx="64">
                  <c:v>56991</c:v>
                </c:pt>
                <c:pt idx="65">
                  <c:v>55722</c:v>
                </c:pt>
                <c:pt idx="66">
                  <c:v>101199</c:v>
                </c:pt>
                <c:pt idx="67">
                  <c:v>61568</c:v>
                </c:pt>
                <c:pt idx="68">
                  <c:v>58275</c:v>
                </c:pt>
                <c:pt idx="69">
                  <c:v>53189</c:v>
                </c:pt>
                <c:pt idx="70">
                  <c:v>96820</c:v>
                </c:pt>
                <c:pt idx="71">
                  <c:v>51259</c:v>
                </c:pt>
                <c:pt idx="72">
                  <c:v>59231</c:v>
                </c:pt>
                <c:pt idx="73">
                  <c:v>61584</c:v>
                </c:pt>
                <c:pt idx="74">
                  <c:v>46335</c:v>
                </c:pt>
                <c:pt idx="75">
                  <c:v>70621</c:v>
                </c:pt>
                <c:pt idx="76">
                  <c:v>138888</c:v>
                </c:pt>
                <c:pt idx="77">
                  <c:v>74241</c:v>
                </c:pt>
                <c:pt idx="78">
                  <c:v>75188</c:v>
                </c:pt>
                <c:pt idx="79">
                  <c:v>62514</c:v>
                </c:pt>
                <c:pt idx="80">
                  <c:v>60070</c:v>
                </c:pt>
                <c:pt idx="81">
                  <c:v>48888</c:v>
                </c:pt>
                <c:pt idx="82">
                  <c:v>54285</c:v>
                </c:pt>
                <c:pt idx="83">
                  <c:v>56847</c:v>
                </c:pt>
                <c:pt idx="84">
                  <c:v>60340</c:v>
                </c:pt>
                <c:pt idx="85">
                  <c:v>59124</c:v>
                </c:pt>
                <c:pt idx="86">
                  <c:v>99280</c:v>
                </c:pt>
                <c:pt idx="87">
                  <c:v>71776</c:v>
                </c:pt>
                <c:pt idx="88">
                  <c:v>65902</c:v>
                </c:pt>
                <c:pt idx="89">
                  <c:v>57748</c:v>
                </c:pt>
                <c:pt idx="90">
                  <c:v>64057</c:v>
                </c:pt>
                <c:pt idx="91">
                  <c:v>53366</c:v>
                </c:pt>
                <c:pt idx="92">
                  <c:v>58530</c:v>
                </c:pt>
                <c:pt idx="93">
                  <c:v>72609</c:v>
                </c:pt>
                <c:pt idx="94">
                  <c:v>55965</c:v>
                </c:pt>
                <c:pt idx="95">
                  <c:v>70187</c:v>
                </c:pt>
                <c:pt idx="96">
                  <c:v>178000</c:v>
                </c:pt>
                <c:pt idx="97">
                  <c:v>99351</c:v>
                </c:pt>
                <c:pt idx="98">
                  <c:v>67251</c:v>
                </c:pt>
                <c:pt idx="99">
                  <c:v>65707</c:v>
                </c:pt>
                <c:pt idx="100">
                  <c:v>52249</c:v>
                </c:pt>
                <c:pt idx="101">
                  <c:v>53171</c:v>
                </c:pt>
                <c:pt idx="102">
                  <c:v>51337</c:v>
                </c:pt>
                <c:pt idx="103">
                  <c:v>51505</c:v>
                </c:pt>
                <c:pt idx="104">
                  <c:v>59370</c:v>
                </c:pt>
                <c:pt idx="105">
                  <c:v>54933</c:v>
                </c:pt>
                <c:pt idx="106">
                  <c:v>57815</c:v>
                </c:pt>
                <c:pt idx="107">
                  <c:v>61555</c:v>
                </c:pt>
                <c:pt idx="108">
                  <c:v>114800</c:v>
                </c:pt>
                <c:pt idx="109">
                  <c:v>74679</c:v>
                </c:pt>
                <c:pt idx="110">
                  <c:v>53018</c:v>
                </c:pt>
                <c:pt idx="111">
                  <c:v>59892</c:v>
                </c:pt>
                <c:pt idx="112">
                  <c:v>68898</c:v>
                </c:pt>
                <c:pt idx="113">
                  <c:v>61242</c:v>
                </c:pt>
                <c:pt idx="114">
                  <c:v>66825</c:v>
                </c:pt>
                <c:pt idx="115">
                  <c:v>48285</c:v>
                </c:pt>
                <c:pt idx="116">
                  <c:v>66149</c:v>
                </c:pt>
                <c:pt idx="117">
                  <c:v>49256</c:v>
                </c:pt>
                <c:pt idx="118">
                  <c:v>62957</c:v>
                </c:pt>
                <c:pt idx="119">
                  <c:v>63813</c:v>
                </c:pt>
                <c:pt idx="120">
                  <c:v>99020</c:v>
                </c:pt>
                <c:pt idx="121">
                  <c:v>71707</c:v>
                </c:pt>
                <c:pt idx="122">
                  <c:v>54828</c:v>
                </c:pt>
                <c:pt idx="123">
                  <c:v>64246</c:v>
                </c:pt>
                <c:pt idx="124">
                  <c:v>52177</c:v>
                </c:pt>
                <c:pt idx="125">
                  <c:v>62065</c:v>
                </c:pt>
                <c:pt idx="126">
                  <c:v>46998</c:v>
                </c:pt>
                <c:pt idx="127">
                  <c:v>68099</c:v>
                </c:pt>
                <c:pt idx="128">
                  <c:v>70545</c:v>
                </c:pt>
                <c:pt idx="129">
                  <c:v>63478</c:v>
                </c:pt>
                <c:pt idx="130">
                  <c:v>97999</c:v>
                </c:pt>
                <c:pt idx="131">
                  <c:v>180000</c:v>
                </c:pt>
                <c:pt idx="132">
                  <c:v>49920</c:v>
                </c:pt>
                <c:pt idx="133">
                  <c:v>55425</c:v>
                </c:pt>
                <c:pt idx="134">
                  <c:v>69340</c:v>
                </c:pt>
                <c:pt idx="135">
                  <c:v>64995</c:v>
                </c:pt>
                <c:pt idx="136">
                  <c:v>68182</c:v>
                </c:pt>
                <c:pt idx="137">
                  <c:v>83082</c:v>
                </c:pt>
                <c:pt idx="138">
                  <c:v>51908</c:v>
                </c:pt>
                <c:pt idx="139">
                  <c:v>61242</c:v>
                </c:pt>
                <c:pt idx="140">
                  <c:v>45069</c:v>
                </c:pt>
                <c:pt idx="141">
                  <c:v>60724</c:v>
                </c:pt>
                <c:pt idx="142">
                  <c:v>60436</c:v>
                </c:pt>
                <c:pt idx="143">
                  <c:v>46837</c:v>
                </c:pt>
                <c:pt idx="144">
                  <c:v>105700</c:v>
                </c:pt>
                <c:pt idx="145">
                  <c:v>63322</c:v>
                </c:pt>
                <c:pt idx="146">
                  <c:v>61154</c:v>
                </c:pt>
                <c:pt idx="147">
                  <c:v>68999</c:v>
                </c:pt>
                <c:pt idx="148">
                  <c:v>50482</c:v>
                </c:pt>
                <c:pt idx="149">
                  <c:v>65310</c:v>
                </c:pt>
                <c:pt idx="150">
                  <c:v>250000</c:v>
                </c:pt>
                <c:pt idx="151">
                  <c:v>54005</c:v>
                </c:pt>
                <c:pt idx="152">
                  <c:v>45433</c:v>
                </c:pt>
                <c:pt idx="153">
                  <c:v>46654</c:v>
                </c:pt>
                <c:pt idx="154">
                  <c:v>63973</c:v>
                </c:pt>
                <c:pt idx="155">
                  <c:v>71339</c:v>
                </c:pt>
                <c:pt idx="156">
                  <c:v>93206</c:v>
                </c:pt>
                <c:pt idx="157">
                  <c:v>82758</c:v>
                </c:pt>
                <c:pt idx="158">
                  <c:v>66074</c:v>
                </c:pt>
                <c:pt idx="159">
                  <c:v>46120</c:v>
                </c:pt>
                <c:pt idx="160">
                  <c:v>64520</c:v>
                </c:pt>
                <c:pt idx="161">
                  <c:v>61962</c:v>
                </c:pt>
                <c:pt idx="162">
                  <c:v>81584</c:v>
                </c:pt>
                <c:pt idx="163">
                  <c:v>63676</c:v>
                </c:pt>
                <c:pt idx="164">
                  <c:v>93046</c:v>
                </c:pt>
                <c:pt idx="165">
                  <c:v>64738</c:v>
                </c:pt>
                <c:pt idx="166">
                  <c:v>70468</c:v>
                </c:pt>
                <c:pt idx="167">
                  <c:v>77915</c:v>
                </c:pt>
                <c:pt idx="168">
                  <c:v>52624</c:v>
                </c:pt>
                <c:pt idx="169">
                  <c:v>63450</c:v>
                </c:pt>
                <c:pt idx="170">
                  <c:v>51777</c:v>
                </c:pt>
                <c:pt idx="171">
                  <c:v>67237</c:v>
                </c:pt>
                <c:pt idx="172">
                  <c:v>73330</c:v>
                </c:pt>
                <c:pt idx="173">
                  <c:v>52057</c:v>
                </c:pt>
                <c:pt idx="174">
                  <c:v>47434</c:v>
                </c:pt>
                <c:pt idx="175">
                  <c:v>52788</c:v>
                </c:pt>
                <c:pt idx="176">
                  <c:v>45395</c:v>
                </c:pt>
                <c:pt idx="177">
                  <c:v>62385</c:v>
                </c:pt>
                <c:pt idx="178">
                  <c:v>68407</c:v>
                </c:pt>
                <c:pt idx="179">
                  <c:v>61349</c:v>
                </c:pt>
                <c:pt idx="180">
                  <c:v>105688</c:v>
                </c:pt>
                <c:pt idx="181">
                  <c:v>54132</c:v>
                </c:pt>
                <c:pt idx="182">
                  <c:v>55315</c:v>
                </c:pt>
                <c:pt idx="183">
                  <c:v>62810</c:v>
                </c:pt>
                <c:pt idx="184">
                  <c:v>63291</c:v>
                </c:pt>
                <c:pt idx="185">
                  <c:v>62659</c:v>
                </c:pt>
                <c:pt idx="186">
                  <c:v>55688</c:v>
                </c:pt>
                <c:pt idx="187">
                  <c:v>83667</c:v>
                </c:pt>
                <c:pt idx="188">
                  <c:v>55800</c:v>
                </c:pt>
                <c:pt idx="189">
                  <c:v>58207</c:v>
                </c:pt>
                <c:pt idx="190">
                  <c:v>157000</c:v>
                </c:pt>
                <c:pt idx="191">
                  <c:v>72460</c:v>
                </c:pt>
                <c:pt idx="192">
                  <c:v>72106</c:v>
                </c:pt>
                <c:pt idx="193">
                  <c:v>52599</c:v>
                </c:pt>
                <c:pt idx="194">
                  <c:v>63430</c:v>
                </c:pt>
                <c:pt idx="195">
                  <c:v>74417</c:v>
                </c:pt>
                <c:pt idx="196">
                  <c:v>57575</c:v>
                </c:pt>
                <c:pt idx="197">
                  <c:v>87921</c:v>
                </c:pt>
                <c:pt idx="198">
                  <c:v>50470</c:v>
                </c:pt>
                <c:pt idx="199">
                  <c:v>46664</c:v>
                </c:pt>
                <c:pt idx="200">
                  <c:v>48495</c:v>
                </c:pt>
                <c:pt idx="201">
                  <c:v>52984</c:v>
                </c:pt>
                <c:pt idx="202">
                  <c:v>63695</c:v>
                </c:pt>
                <c:pt idx="203">
                  <c:v>62061</c:v>
                </c:pt>
                <c:pt idx="204">
                  <c:v>66738</c:v>
                </c:pt>
                <c:pt idx="205">
                  <c:v>52674</c:v>
                </c:pt>
                <c:pt idx="206">
                  <c:v>71966</c:v>
                </c:pt>
                <c:pt idx="207">
                  <c:v>63051</c:v>
                </c:pt>
                <c:pt idx="208">
                  <c:v>47414</c:v>
                </c:pt>
                <c:pt idx="209">
                  <c:v>53060</c:v>
                </c:pt>
                <c:pt idx="210">
                  <c:v>68829</c:v>
                </c:pt>
                <c:pt idx="211">
                  <c:v>63515</c:v>
                </c:pt>
                <c:pt idx="212">
                  <c:v>108987</c:v>
                </c:pt>
                <c:pt idx="213">
                  <c:v>93093</c:v>
                </c:pt>
                <c:pt idx="214">
                  <c:v>53564</c:v>
                </c:pt>
                <c:pt idx="215">
                  <c:v>60270</c:v>
                </c:pt>
                <c:pt idx="216">
                  <c:v>45998</c:v>
                </c:pt>
                <c:pt idx="217">
                  <c:v>57954</c:v>
                </c:pt>
                <c:pt idx="218">
                  <c:v>74669</c:v>
                </c:pt>
                <c:pt idx="219">
                  <c:v>74226</c:v>
                </c:pt>
                <c:pt idx="220">
                  <c:v>93554</c:v>
                </c:pt>
                <c:pt idx="221">
                  <c:v>64724</c:v>
                </c:pt>
                <c:pt idx="222">
                  <c:v>47001</c:v>
                </c:pt>
                <c:pt idx="223">
                  <c:v>61844</c:v>
                </c:pt>
                <c:pt idx="224">
                  <c:v>46799</c:v>
                </c:pt>
                <c:pt idx="225">
                  <c:v>59472</c:v>
                </c:pt>
                <c:pt idx="226">
                  <c:v>46430</c:v>
                </c:pt>
                <c:pt idx="227">
                  <c:v>83363</c:v>
                </c:pt>
                <c:pt idx="228">
                  <c:v>95920</c:v>
                </c:pt>
                <c:pt idx="229">
                  <c:v>61729</c:v>
                </c:pt>
                <c:pt idx="230">
                  <c:v>61809</c:v>
                </c:pt>
                <c:pt idx="231">
                  <c:v>45115</c:v>
                </c:pt>
                <c:pt idx="232">
                  <c:v>46738</c:v>
                </c:pt>
                <c:pt idx="233">
                  <c:v>64971</c:v>
                </c:pt>
                <c:pt idx="234">
                  <c:v>55578</c:v>
                </c:pt>
                <c:pt idx="235">
                  <c:v>50428</c:v>
                </c:pt>
                <c:pt idx="236">
                  <c:v>61422</c:v>
                </c:pt>
                <c:pt idx="237">
                  <c:v>63353</c:v>
                </c:pt>
                <c:pt idx="238">
                  <c:v>89883</c:v>
                </c:pt>
                <c:pt idx="239">
                  <c:v>120000</c:v>
                </c:pt>
                <c:pt idx="240">
                  <c:v>150290</c:v>
                </c:pt>
                <c:pt idx="241">
                  <c:v>60627</c:v>
                </c:pt>
                <c:pt idx="242">
                  <c:v>53180</c:v>
                </c:pt>
                <c:pt idx="243">
                  <c:v>140920</c:v>
                </c:pt>
                <c:pt idx="244">
                  <c:v>148999</c:v>
                </c:pt>
                <c:pt idx="245">
                  <c:v>86214</c:v>
                </c:pt>
                <c:pt idx="246">
                  <c:v>47750</c:v>
                </c:pt>
                <c:pt idx="247">
                  <c:v>46428</c:v>
                </c:pt>
                <c:pt idx="248">
                  <c:v>57975</c:v>
                </c:pt>
                <c:pt idx="249">
                  <c:v>88527</c:v>
                </c:pt>
                <c:pt idx="250">
                  <c:v>56147</c:v>
                </c:pt>
                <c:pt idx="251">
                  <c:v>50923</c:v>
                </c:pt>
                <c:pt idx="252">
                  <c:v>50750</c:v>
                </c:pt>
                <c:pt idx="253">
                  <c:v>52087</c:v>
                </c:pt>
                <c:pt idx="254">
                  <c:v>87826</c:v>
                </c:pt>
                <c:pt idx="255">
                  <c:v>51920</c:v>
                </c:pt>
                <c:pt idx="256">
                  <c:v>63878</c:v>
                </c:pt>
                <c:pt idx="257">
                  <c:v>60656</c:v>
                </c:pt>
                <c:pt idx="258">
                  <c:v>72992</c:v>
                </c:pt>
                <c:pt idx="259">
                  <c:v>55000</c:v>
                </c:pt>
                <c:pt idx="260">
                  <c:v>58939</c:v>
                </c:pt>
                <c:pt idx="261">
                  <c:v>66593</c:v>
                </c:pt>
                <c:pt idx="262">
                  <c:v>87565</c:v>
                </c:pt>
                <c:pt idx="263">
                  <c:v>64021</c:v>
                </c:pt>
                <c:pt idx="264">
                  <c:v>65714</c:v>
                </c:pt>
                <c:pt idx="265">
                  <c:v>62425</c:v>
                </c:pt>
                <c:pt idx="266">
                  <c:v>47961</c:v>
                </c:pt>
                <c:pt idx="267">
                  <c:v>58273</c:v>
                </c:pt>
                <c:pt idx="268">
                  <c:v>63003</c:v>
                </c:pt>
                <c:pt idx="269">
                  <c:v>61355</c:v>
                </c:pt>
                <c:pt idx="270">
                  <c:v>60120</c:v>
                </c:pt>
                <c:pt idx="271">
                  <c:v>63682</c:v>
                </c:pt>
                <c:pt idx="272">
                  <c:v>63025</c:v>
                </c:pt>
                <c:pt idx="273">
                  <c:v>59238</c:v>
                </c:pt>
                <c:pt idx="274">
                  <c:v>92989</c:v>
                </c:pt>
                <c:pt idx="275">
                  <c:v>90100</c:v>
                </c:pt>
                <c:pt idx="276">
                  <c:v>60754</c:v>
                </c:pt>
                <c:pt idx="277">
                  <c:v>72202</c:v>
                </c:pt>
                <c:pt idx="278">
                  <c:v>58370</c:v>
                </c:pt>
                <c:pt idx="279">
                  <c:v>48413</c:v>
                </c:pt>
                <c:pt idx="280">
                  <c:v>67176</c:v>
                </c:pt>
                <c:pt idx="281">
                  <c:v>56339</c:v>
                </c:pt>
                <c:pt idx="282">
                  <c:v>64397</c:v>
                </c:pt>
                <c:pt idx="283">
                  <c:v>63025</c:v>
                </c:pt>
                <c:pt idx="284">
                  <c:v>75281</c:v>
                </c:pt>
                <c:pt idx="285">
                  <c:v>100416</c:v>
                </c:pt>
                <c:pt idx="286">
                  <c:v>74813</c:v>
                </c:pt>
                <c:pt idx="287">
                  <c:v>76029</c:v>
                </c:pt>
                <c:pt idx="288">
                  <c:v>57859</c:v>
                </c:pt>
                <c:pt idx="289">
                  <c:v>58523</c:v>
                </c:pt>
                <c:pt idx="290">
                  <c:v>88976</c:v>
                </c:pt>
                <c:pt idx="291">
                  <c:v>55875</c:v>
                </c:pt>
                <c:pt idx="292">
                  <c:v>113999</c:v>
                </c:pt>
                <c:pt idx="293">
                  <c:v>49773</c:v>
                </c:pt>
                <c:pt idx="294">
                  <c:v>62068</c:v>
                </c:pt>
                <c:pt idx="295">
                  <c:v>66541</c:v>
                </c:pt>
                <c:pt idx="296">
                  <c:v>80512</c:v>
                </c:pt>
                <c:pt idx="297">
                  <c:v>50274</c:v>
                </c:pt>
                <c:pt idx="298">
                  <c:v>84903</c:v>
                </c:pt>
                <c:pt idx="299">
                  <c:v>107226</c:v>
                </c:pt>
                <c:pt idx="300">
                  <c:v>58371</c:v>
                </c:pt>
                <c:pt idx="301">
                  <c:v>55140</c:v>
                </c:pt>
                <c:pt idx="302">
                  <c:v>58062</c:v>
                </c:pt>
                <c:pt idx="303">
                  <c:v>59728</c:v>
                </c:pt>
                <c:pt idx="304">
                  <c:v>70507</c:v>
                </c:pt>
                <c:pt idx="305">
                  <c:v>60446</c:v>
                </c:pt>
                <c:pt idx="306">
                  <c:v>65893</c:v>
                </c:pt>
                <c:pt idx="307">
                  <c:v>48513</c:v>
                </c:pt>
                <c:pt idx="308">
                  <c:v>220450</c:v>
                </c:pt>
                <c:pt idx="309">
                  <c:v>89292</c:v>
                </c:pt>
                <c:pt idx="310">
                  <c:v>45046</c:v>
                </c:pt>
              </c:numCache>
            </c:numRef>
          </c:yVal>
          <c:smooth val="0"/>
          <c:extLst>
            <c:ext xmlns:c16="http://schemas.microsoft.com/office/drawing/2014/chart" uri="{C3380CC4-5D6E-409C-BE32-E72D297353CC}">
              <c16:uniqueId val="{00000000-5B62-4962-B628-B252D9051590}"/>
            </c:ext>
          </c:extLst>
        </c:ser>
        <c:dLbls>
          <c:showLegendKey val="0"/>
          <c:showVal val="0"/>
          <c:showCatName val="0"/>
          <c:showSerName val="0"/>
          <c:showPercent val="0"/>
          <c:showBubbleSize val="0"/>
        </c:dLbls>
        <c:axId val="402736864"/>
        <c:axId val="402729376"/>
      </c:scatterChart>
      <c:valAx>
        <c:axId val="40273686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cap="all" baseline="0">
                    <a:solidFill>
                      <a:schemeClr val="accent1">
                        <a:lumMod val="75000"/>
                      </a:schemeClr>
                    </a:solidFill>
                    <a:latin typeface="Arial Narrow" panose="020B0606020202030204" pitchFamily="34" charset="0"/>
                    <a:ea typeface="+mn-ea"/>
                    <a:cs typeface="+mn-cs"/>
                  </a:defRPr>
                </a:pPr>
                <a:r>
                  <a:rPr lang="en-GB" sz="1400" b="0">
                    <a:solidFill>
                      <a:schemeClr val="accent1">
                        <a:lumMod val="75000"/>
                      </a:schemeClr>
                    </a:solidFill>
                    <a:latin typeface="Arial Narrow" panose="020B0606020202030204" pitchFamily="34" charset="0"/>
                  </a:rPr>
                  <a:t>Performace ID</a:t>
                </a:r>
              </a:p>
            </c:rich>
          </c:tx>
          <c:overlay val="0"/>
          <c:spPr>
            <a:noFill/>
            <a:ln>
              <a:noFill/>
            </a:ln>
            <a:effectLst/>
          </c:spPr>
          <c:txPr>
            <a:bodyPr rot="0" spcFirstLastPara="1" vertOverflow="ellipsis" vert="horz" wrap="square" anchor="ctr" anchorCtr="1"/>
            <a:lstStyle/>
            <a:p>
              <a:pPr>
                <a:defRPr sz="1400" b="0" i="0" u="none" strike="noStrike" kern="1200" cap="all" baseline="0">
                  <a:solidFill>
                    <a:schemeClr val="accent1">
                      <a:lumMod val="75000"/>
                    </a:schemeClr>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2729376"/>
        <c:crosses val="autoZero"/>
        <c:crossBetween val="midCat"/>
      </c:valAx>
      <c:valAx>
        <c:axId val="4027293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cap="all" baseline="0">
                    <a:solidFill>
                      <a:schemeClr val="accent1">
                        <a:lumMod val="75000"/>
                      </a:schemeClr>
                    </a:solidFill>
                    <a:latin typeface="Arial Narrow" panose="020B0606020202030204" pitchFamily="34" charset="0"/>
                    <a:ea typeface="+mn-ea"/>
                    <a:cs typeface="+mn-cs"/>
                  </a:defRPr>
                </a:pPr>
                <a:r>
                  <a:rPr lang="en-GB" sz="1400" b="0">
                    <a:solidFill>
                      <a:schemeClr val="accent1">
                        <a:lumMod val="75000"/>
                      </a:schemeClr>
                    </a:solidFill>
                    <a:latin typeface="Arial Narrow" panose="020B0606020202030204" pitchFamily="34" charset="0"/>
                  </a:rPr>
                  <a:t>Salary</a:t>
                </a:r>
              </a:p>
            </c:rich>
          </c:tx>
          <c:overlay val="0"/>
          <c:spPr>
            <a:noFill/>
            <a:ln>
              <a:noFill/>
            </a:ln>
            <a:effectLst/>
          </c:spPr>
          <c:txPr>
            <a:bodyPr rot="-5400000" spcFirstLastPara="1" vertOverflow="ellipsis" vert="horz" wrap="square" anchor="ctr" anchorCtr="1"/>
            <a:lstStyle/>
            <a:p>
              <a:pPr>
                <a:defRPr sz="1400" b="0" i="0" u="none" strike="noStrike" kern="1200" cap="all" baseline="0">
                  <a:solidFill>
                    <a:schemeClr val="accent1">
                      <a:lumMod val="75000"/>
                    </a:schemeClr>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36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75000"/>
                </a:schemeClr>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analysis.xlsx]PIVOTTABLE!PivotTable3</c:name>
    <c:fmtId val="21"/>
  </c:pivotSource>
  <c:chart>
    <c:title>
      <c:tx>
        <c:rich>
          <a:bodyPr rot="0" vert="horz"/>
          <a:lstStyle/>
          <a:p>
            <a:pPr algn="ctr" rtl="0">
              <a:defRPr lang="en-GB" sz="2000" b="0" i="0" u="none" strike="noStrike" kern="1200" spc="0" normalizeH="0" baseline="0">
                <a:solidFill>
                  <a:schemeClr val="accent1">
                    <a:lumMod val="50000"/>
                  </a:schemeClr>
                </a:solidFill>
                <a:effectLst/>
                <a:latin typeface="+mj-lt"/>
                <a:ea typeface="+mj-ea"/>
                <a:cs typeface="+mj-cs"/>
              </a:defRPr>
            </a:pPr>
            <a:r>
              <a:rPr lang="en-GB" sz="2000" b="0" i="0" u="none" strike="noStrike" kern="1200" spc="0" normalizeH="0" baseline="0">
                <a:solidFill>
                  <a:schemeClr val="accent1">
                    <a:lumMod val="50000"/>
                  </a:schemeClr>
                </a:solidFill>
                <a:effectLst/>
                <a:latin typeface="+mj-lt"/>
                <a:ea typeface="+mj-ea"/>
                <a:cs typeface="+mj-cs"/>
              </a:rPr>
              <a:t>Employee count by Year</a:t>
            </a:r>
          </a:p>
        </c:rich>
      </c:tx>
      <c:layout>
        <c:manualLayout>
          <c:xMode val="edge"/>
          <c:yMode val="edge"/>
          <c:x val="0.26009925355075297"/>
          <c:y val="5.5596579918411278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7954431228011"/>
          <c:y val="0.24606280704010275"/>
          <c:w val="0.88577293795722345"/>
          <c:h val="0.43681816610816138"/>
        </c:manualLayout>
      </c:layout>
      <c:lineChart>
        <c:grouping val="standard"/>
        <c:varyColors val="0"/>
        <c:ser>
          <c:idx val="0"/>
          <c:order val="0"/>
          <c:tx>
            <c:strRef>
              <c:f>PIVOTTABLE!$G$24</c:f>
              <c:strCache>
                <c:ptCount val="1"/>
                <c:pt idx="0">
                  <c:v>Total</c:v>
                </c:pt>
              </c:strCache>
            </c:strRef>
          </c:tx>
          <c:spPr>
            <a:ln w="28575" cap="rnd">
              <a:solidFill>
                <a:schemeClr val="accent1"/>
              </a:solidFill>
              <a:round/>
            </a:ln>
            <a:effectLst/>
          </c:spPr>
          <c:marker>
            <c:symbol val="none"/>
          </c:marker>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PIVOTTABLE!$F$25:$F$39</c:f>
              <c:strCache>
                <c:ptCount val="14"/>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(blank)</c:v>
                </c:pt>
              </c:strCache>
            </c:strRef>
          </c:cat>
          <c:val>
            <c:numRef>
              <c:f>PIVOTTABLE!$G$25:$G$39</c:f>
              <c:numCache>
                <c:formatCode>General</c:formatCode>
                <c:ptCount val="14"/>
                <c:pt idx="0">
                  <c:v>1</c:v>
                </c:pt>
                <c:pt idx="1">
                  <c:v>2</c:v>
                </c:pt>
                <c:pt idx="2">
                  <c:v>3</c:v>
                </c:pt>
                <c:pt idx="3">
                  <c:v>7</c:v>
                </c:pt>
                <c:pt idx="4">
                  <c:v>9</c:v>
                </c:pt>
                <c:pt idx="5">
                  <c:v>83</c:v>
                </c:pt>
                <c:pt idx="6">
                  <c:v>45</c:v>
                </c:pt>
                <c:pt idx="7">
                  <c:v>44</c:v>
                </c:pt>
                <c:pt idx="8">
                  <c:v>60</c:v>
                </c:pt>
                <c:pt idx="9">
                  <c:v>36</c:v>
                </c:pt>
                <c:pt idx="10">
                  <c:v>14</c:v>
                </c:pt>
                <c:pt idx="11">
                  <c:v>6</c:v>
                </c:pt>
                <c:pt idx="12">
                  <c:v>1</c:v>
                </c:pt>
              </c:numCache>
            </c:numRef>
          </c:val>
          <c:smooth val="0"/>
          <c:extLst>
            <c:ext xmlns:c16="http://schemas.microsoft.com/office/drawing/2014/chart" uri="{C3380CC4-5D6E-409C-BE32-E72D297353CC}">
              <c16:uniqueId val="{00000003-B083-49FD-AA92-0035C19C8413}"/>
            </c:ext>
          </c:extLst>
        </c:ser>
        <c:dLbls>
          <c:dLblPos val="t"/>
          <c:showLegendKey val="0"/>
          <c:showVal val="1"/>
          <c:showCatName val="0"/>
          <c:showSerName val="0"/>
          <c:showPercent val="0"/>
          <c:showBubbleSize val="0"/>
        </c:dLbls>
        <c:smooth val="0"/>
        <c:axId val="1293686096"/>
        <c:axId val="1293692336"/>
      </c:lineChart>
      <c:catAx>
        <c:axId val="1293686096"/>
        <c:scaling>
          <c:orientation val="minMax"/>
        </c:scaling>
        <c:delete val="0"/>
        <c:axPos val="b"/>
        <c:title>
          <c:tx>
            <c:rich>
              <a:bodyPr/>
              <a:lstStyle/>
              <a:p>
                <a:pPr>
                  <a:defRPr sz="1400" b="0">
                    <a:solidFill>
                      <a:schemeClr val="accent1">
                        <a:lumMod val="75000"/>
                      </a:schemeClr>
                    </a:solidFill>
                    <a:latin typeface="Arial Narrow" panose="020B0606020202030204" pitchFamily="34" charset="0"/>
                  </a:defRPr>
                </a:pPr>
                <a:r>
                  <a:rPr lang="en-GB" sz="1400" b="0">
                    <a:solidFill>
                      <a:schemeClr val="accent1">
                        <a:lumMod val="75000"/>
                      </a:schemeClr>
                    </a:solidFill>
                    <a:latin typeface="Arial Narrow" panose="020B0606020202030204" pitchFamily="34" charset="0"/>
                  </a:rPr>
                  <a:t>HIRE YEAR </a:t>
                </a:r>
              </a:p>
            </c:rich>
          </c:tx>
          <c:layout>
            <c:manualLayout>
              <c:xMode val="edge"/>
              <c:yMode val="edge"/>
              <c:x val="0.43608272370209045"/>
              <c:y val="0.84737252272826091"/>
            </c:manualLayout>
          </c:layout>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solidFill>
                  <a:schemeClr val="accent1">
                    <a:lumMod val="50000"/>
                  </a:schemeClr>
                </a:solidFill>
              </a:defRPr>
            </a:pPr>
            <a:endParaRPr lang="en-US"/>
          </a:p>
        </c:txPr>
        <c:crossAx val="1293692336"/>
        <c:crosses val="autoZero"/>
        <c:auto val="1"/>
        <c:lblAlgn val="ctr"/>
        <c:lblOffset val="100"/>
        <c:noMultiLvlLbl val="0"/>
      </c:catAx>
      <c:valAx>
        <c:axId val="129369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400">
                    <a:solidFill>
                      <a:schemeClr val="accent1">
                        <a:lumMod val="75000"/>
                      </a:schemeClr>
                    </a:solidFill>
                    <a:latin typeface="Arial Narrow" panose="020B0606020202030204" pitchFamily="34" charset="0"/>
                  </a:defRPr>
                </a:pPr>
                <a:r>
                  <a:rPr lang="en-GB" sz="1400">
                    <a:solidFill>
                      <a:schemeClr val="accent1">
                        <a:lumMod val="75000"/>
                      </a:schemeClr>
                    </a:solidFill>
                    <a:latin typeface="Arial Narrow" panose="020B0606020202030204" pitchFamily="34" charset="0"/>
                  </a:rPr>
                  <a:t>EMP ID</a:t>
                </a:r>
              </a:p>
            </c:rich>
          </c:tx>
          <c:overlay val="0"/>
        </c:title>
        <c:numFmt formatCode="General" sourceLinked="1"/>
        <c:majorTickMark val="none"/>
        <c:minorTickMark val="none"/>
        <c:tickLblPos val="nextTo"/>
        <c:spPr>
          <a:noFill/>
          <a:ln>
            <a:noFill/>
          </a:ln>
          <a:effectLst/>
        </c:spPr>
        <c:txPr>
          <a:bodyPr rot="-60000000" vert="horz"/>
          <a:lstStyle/>
          <a:p>
            <a:pPr>
              <a:defRPr>
                <a:solidFill>
                  <a:schemeClr val="accent1">
                    <a:lumMod val="50000"/>
                  </a:schemeClr>
                </a:solidFill>
              </a:defRPr>
            </a:pPr>
            <a:endParaRPr lang="en-US"/>
          </a:p>
        </c:txPr>
        <c:crossAx val="1293686096"/>
        <c:crosses val="autoZero"/>
        <c:crossBetween val="between"/>
      </c:valAx>
      <c:spPr>
        <a:solidFill>
          <a:schemeClr val="accent6">
            <a:lumMod val="20000"/>
            <a:lumOff val="80000"/>
          </a:schemeClr>
        </a:solidFill>
      </c:spPr>
    </c:plotArea>
    <c:plotVisOnly val="1"/>
    <c:dispBlanksAs val="gap"/>
    <c:showDLblsOverMax val="0"/>
    <c:extLst/>
  </c:chart>
  <c:spPr>
    <a:solidFill>
      <a:schemeClr val="accent6">
        <a:lumMod val="20000"/>
        <a:lumOff val="80000"/>
      </a:schemeClr>
    </a:solidFill>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baseline="0">
                <a:solidFill>
                  <a:schemeClr val="accent1">
                    <a:lumMod val="50000"/>
                  </a:schemeClr>
                </a:solidFill>
                <a:effectLst/>
              </a:rPr>
              <a:t>Risk Score Distribution Gauge</a:t>
            </a:r>
            <a:r>
              <a:rPr lang="en-GB" sz="1200" b="0" i="0" u="none" strike="noStrike" baseline="0">
                <a:effectLst/>
              </a:rPr>
              <a:t> </a:t>
            </a:r>
            <a:endParaRPr lang="en-GB" sz="1200"/>
          </a:p>
        </c:rich>
      </c:tx>
      <c:layout>
        <c:manualLayout>
          <c:xMode val="edge"/>
          <c:yMode val="edge"/>
          <c:x val="0.18956962379702538"/>
          <c:y val="0.112700405841340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244107811396666"/>
          <c:y val="0.28108640831660747"/>
          <c:w val="0.29823201033880919"/>
          <c:h val="0.57599711800730791"/>
        </c:manualLayout>
      </c:layout>
      <c:pieChart>
        <c:varyColors val="1"/>
        <c:ser>
          <c:idx val="0"/>
          <c:order val="0"/>
          <c:tx>
            <c:strRef>
              <c:f>HRDataset_v14!$BQ$4</c:f>
              <c:strCache>
                <c:ptCount val="1"/>
                <c:pt idx="0">
                  <c:v>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FE-4281-A4F5-A5A93B95F3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FE-4281-A4F5-A5A93B95F36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A1FE-4281-A4F5-A5A93B95F369}"/>
              </c:ext>
            </c:extLst>
          </c:dPt>
          <c:dPt>
            <c:idx val="3"/>
            <c:bubble3D val="0"/>
            <c:spPr>
              <a:noFill/>
              <a:ln w="19050">
                <a:noFill/>
              </a:ln>
              <a:effectLst/>
            </c:spPr>
            <c:extLst>
              <c:ext xmlns:c16="http://schemas.microsoft.com/office/drawing/2014/chart" uri="{C3380CC4-5D6E-409C-BE32-E72D297353CC}">
                <c16:uniqueId val="{00000007-A1FE-4281-A4F5-A5A93B95F369}"/>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FE-4281-A4F5-A5A93B95F369}"/>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FE-4281-A4F5-A5A93B95F369}"/>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FE-4281-A4F5-A5A93B95F3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HRDataset_v14!$BP$5:$BP$8</c:f>
              <c:strCache>
                <c:ptCount val="4"/>
                <c:pt idx="0">
                  <c:v>Low</c:v>
                </c:pt>
                <c:pt idx="1">
                  <c:v>Medium</c:v>
                </c:pt>
                <c:pt idx="2">
                  <c:v>High</c:v>
                </c:pt>
                <c:pt idx="3">
                  <c:v>Hidden</c:v>
                </c:pt>
              </c:strCache>
            </c:strRef>
          </c:cat>
          <c:val>
            <c:numRef>
              <c:f>HRDataset_v14!$BQ$5:$BQ$8</c:f>
              <c:numCache>
                <c:formatCode>General</c:formatCode>
                <c:ptCount val="4"/>
                <c:pt idx="0">
                  <c:v>9.9358974358974353E-2</c:v>
                </c:pt>
                <c:pt idx="1">
                  <c:v>0.78846153846153844</c:v>
                </c:pt>
                <c:pt idx="2">
                  <c:v>0.10897435897435898</c:v>
                </c:pt>
                <c:pt idx="3">
                  <c:v>1</c:v>
                </c:pt>
              </c:numCache>
            </c:numRef>
          </c:val>
          <c:extLst>
            <c:ext xmlns:c16="http://schemas.microsoft.com/office/drawing/2014/chart" uri="{C3380CC4-5D6E-409C-BE32-E72D297353CC}">
              <c16:uniqueId val="{00000008-A1FE-4281-A4F5-A5A93B95F369}"/>
            </c:ext>
          </c:extLst>
        </c:ser>
        <c:dLbls>
          <c:showLegendKey val="0"/>
          <c:showVal val="0"/>
          <c:showCatName val="0"/>
          <c:showSerName val="0"/>
          <c:showPercent val="0"/>
          <c:showBubbleSize val="0"/>
          <c:showLeaderLines val="1"/>
        </c:dLbls>
        <c:firstSliceAng val="27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effectLst/>
              </a:rPr>
              <a:t>Termination Reason Pareto Chart </a:t>
            </a:r>
            <a:endParaRPr lang="en-GB" b="1">
              <a:solidFill>
                <a:schemeClr val="accent1">
                  <a:lumMod val="50000"/>
                </a:schemeClr>
              </a:solidFill>
            </a:endParaRPr>
          </a:p>
        </c:rich>
      </c:tx>
      <c:layout>
        <c:manualLayout>
          <c:xMode val="edge"/>
          <c:yMode val="edge"/>
          <c:x val="0.25072629795995249"/>
          <c:y val="9.54105976369567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TermReason</c:v>
          </c:tx>
          <c:spPr>
            <a:solidFill>
              <a:schemeClr val="accent1"/>
            </a:solidFill>
            <a:ln>
              <a:noFill/>
            </a:ln>
            <a:effectLst/>
          </c:spPr>
          <c:invertIfNegative val="0"/>
          <c:cat>
            <c:strLit>
              <c:ptCount val="18"/>
              <c:pt idx="0">
                <c:v>N/A-StillEmployed</c:v>
              </c:pt>
              <c:pt idx="1">
                <c:v>Another position</c:v>
              </c:pt>
              <c:pt idx="2">
                <c:v>unhappy</c:v>
              </c:pt>
              <c:pt idx="3">
                <c:v>more money</c:v>
              </c:pt>
              <c:pt idx="4">
                <c:v>career change</c:v>
              </c:pt>
              <c:pt idx="5">
                <c:v>hours</c:v>
              </c:pt>
              <c:pt idx="6">
                <c:v>attendance</c:v>
              </c:pt>
              <c:pt idx="7">
                <c:v>relocation out of area</c:v>
              </c:pt>
              <c:pt idx="8">
                <c:v>return to school</c:v>
              </c:pt>
              <c:pt idx="9">
                <c:v>retiring</c:v>
              </c:pt>
              <c:pt idx="10">
                <c:v>performance</c:v>
              </c:pt>
              <c:pt idx="11">
                <c:v>no-call, no-show</c:v>
              </c:pt>
              <c:pt idx="12">
                <c:v>military</c:v>
              </c:pt>
              <c:pt idx="13">
                <c:v>maternity leave - did not return</c:v>
              </c:pt>
              <c:pt idx="14">
                <c:v>medical issues</c:v>
              </c:pt>
              <c:pt idx="15">
                <c:v>Learned that he is a gangster</c:v>
              </c:pt>
              <c:pt idx="16">
                <c:v>Fatal attraction</c:v>
              </c:pt>
              <c:pt idx="17">
                <c:v>gross misconduct</c:v>
              </c:pt>
            </c:strLit>
          </c:cat>
          <c:val>
            <c:numLit>
              <c:formatCode>General</c:formatCode>
              <c:ptCount val="18"/>
              <c:pt idx="0">
                <c:v>207</c:v>
              </c:pt>
              <c:pt idx="1">
                <c:v>20</c:v>
              </c:pt>
              <c:pt idx="2">
                <c:v>14</c:v>
              </c:pt>
              <c:pt idx="3">
                <c:v>11</c:v>
              </c:pt>
              <c:pt idx="4">
                <c:v>9</c:v>
              </c:pt>
              <c:pt idx="5">
                <c:v>8</c:v>
              </c:pt>
              <c:pt idx="6">
                <c:v>7</c:v>
              </c:pt>
              <c:pt idx="7">
                <c:v>5</c:v>
              </c:pt>
              <c:pt idx="8">
                <c:v>5</c:v>
              </c:pt>
              <c:pt idx="9">
                <c:v>4</c:v>
              </c:pt>
              <c:pt idx="10">
                <c:v>4</c:v>
              </c:pt>
              <c:pt idx="11">
                <c:v>4</c:v>
              </c:pt>
              <c:pt idx="12">
                <c:v>4</c:v>
              </c:pt>
              <c:pt idx="13">
                <c:v>3</c:v>
              </c:pt>
              <c:pt idx="14">
                <c:v>3</c:v>
              </c:pt>
              <c:pt idx="15">
                <c:v>1</c:v>
              </c:pt>
              <c:pt idx="16">
                <c:v>1</c:v>
              </c:pt>
              <c:pt idx="17">
                <c:v>1</c:v>
              </c:pt>
            </c:numLit>
          </c:val>
          <c:extLst>
            <c:ext xmlns:c16="http://schemas.microsoft.com/office/drawing/2014/chart" uri="{C3380CC4-5D6E-409C-BE32-E72D297353CC}">
              <c16:uniqueId val="{00000000-2784-4DF6-B005-A2BFDB3EED0F}"/>
            </c:ext>
          </c:extLst>
        </c:ser>
        <c:dLbls>
          <c:showLegendKey val="0"/>
          <c:showVal val="0"/>
          <c:showCatName val="0"/>
          <c:showSerName val="0"/>
          <c:showPercent val="0"/>
          <c:showBubbleSize val="0"/>
        </c:dLbls>
        <c:gapWidth val="219"/>
        <c:overlap val="-27"/>
        <c:axId val="2021341888"/>
        <c:axId val="2073056560"/>
      </c:barChart>
      <c:lineChart>
        <c:grouping val="standard"/>
        <c:varyColors val="0"/>
        <c:ser>
          <c:idx val="1"/>
          <c:order val="1"/>
          <c:tx>
            <c:v>Cumulative of TermReason</c:v>
          </c:tx>
          <c:spPr>
            <a:ln w="28575" cap="rnd">
              <a:solidFill>
                <a:schemeClr val="accent2"/>
              </a:solidFill>
              <a:round/>
            </a:ln>
            <a:effectLst/>
          </c:spPr>
          <c:marker>
            <c:symbol val="none"/>
          </c:marker>
          <c:cat>
            <c:strLit>
              <c:ptCount val="18"/>
              <c:pt idx="0">
                <c:v>N/A-StillEmployed</c:v>
              </c:pt>
              <c:pt idx="1">
                <c:v>Another position</c:v>
              </c:pt>
              <c:pt idx="2">
                <c:v>unhappy</c:v>
              </c:pt>
              <c:pt idx="3">
                <c:v>more money</c:v>
              </c:pt>
              <c:pt idx="4">
                <c:v>career change</c:v>
              </c:pt>
              <c:pt idx="5">
                <c:v>hours</c:v>
              </c:pt>
              <c:pt idx="6">
                <c:v>attendance</c:v>
              </c:pt>
              <c:pt idx="7">
                <c:v>relocation out of area</c:v>
              </c:pt>
              <c:pt idx="8">
                <c:v>return to school</c:v>
              </c:pt>
              <c:pt idx="9">
                <c:v>retiring</c:v>
              </c:pt>
              <c:pt idx="10">
                <c:v>performance</c:v>
              </c:pt>
              <c:pt idx="11">
                <c:v>no-call, no-show</c:v>
              </c:pt>
              <c:pt idx="12">
                <c:v>military</c:v>
              </c:pt>
              <c:pt idx="13">
                <c:v>maternity leave - did not return</c:v>
              </c:pt>
              <c:pt idx="14">
                <c:v>medical issues</c:v>
              </c:pt>
              <c:pt idx="15">
                <c:v>Learned that he is a gangster</c:v>
              </c:pt>
              <c:pt idx="16">
                <c:v>Fatal attraction</c:v>
              </c:pt>
              <c:pt idx="17">
                <c:v>gross misconduct</c:v>
              </c:pt>
            </c:strLit>
          </c:cat>
          <c:val>
            <c:numLit>
              <c:formatCode>General</c:formatCode>
              <c:ptCount val="18"/>
              <c:pt idx="0">
                <c:v>0.66559485530546625</c:v>
              </c:pt>
              <c:pt idx="1">
                <c:v>0.729903536977492</c:v>
              </c:pt>
              <c:pt idx="2">
                <c:v>0.77491961414791</c:v>
              </c:pt>
              <c:pt idx="3">
                <c:v>0.81028938906752412</c:v>
              </c:pt>
              <c:pt idx="4">
                <c:v>0.83922829581993574</c:v>
              </c:pt>
              <c:pt idx="5">
                <c:v>0.864951768488746</c:v>
              </c:pt>
              <c:pt idx="6">
                <c:v>0.887459807073955</c:v>
              </c:pt>
              <c:pt idx="7">
                <c:v>0.90353697749196138</c:v>
              </c:pt>
              <c:pt idx="8">
                <c:v>0.91961414790996787</c:v>
              </c:pt>
              <c:pt idx="9">
                <c:v>0.932475884244373</c:v>
              </c:pt>
              <c:pt idx="10">
                <c:v>0.94533762057877813</c:v>
              </c:pt>
              <c:pt idx="11">
                <c:v>0.95819935691318325</c:v>
              </c:pt>
              <c:pt idx="12">
                <c:v>0.97106109324758838</c:v>
              </c:pt>
              <c:pt idx="13">
                <c:v>0.98070739549839225</c:v>
              </c:pt>
              <c:pt idx="14">
                <c:v>0.99035369774919613</c:v>
              </c:pt>
              <c:pt idx="15">
                <c:v>0.99356913183279738</c:v>
              </c:pt>
              <c:pt idx="16">
                <c:v>0.99678456591639875</c:v>
              </c:pt>
              <c:pt idx="17">
                <c:v>1</c:v>
              </c:pt>
            </c:numLit>
          </c:val>
          <c:smooth val="0"/>
          <c:extLst>
            <c:ext xmlns:c16="http://schemas.microsoft.com/office/drawing/2014/chart" uri="{C3380CC4-5D6E-409C-BE32-E72D297353CC}">
              <c16:uniqueId val="{00000001-2784-4DF6-B005-A2BFDB3EED0F}"/>
            </c:ext>
          </c:extLst>
        </c:ser>
        <c:dLbls>
          <c:showLegendKey val="0"/>
          <c:showVal val="0"/>
          <c:showCatName val="0"/>
          <c:showSerName val="0"/>
          <c:showPercent val="0"/>
          <c:showBubbleSize val="0"/>
        </c:dLbls>
        <c:marker val="1"/>
        <c:smooth val="0"/>
        <c:axId val="2024005184"/>
        <c:axId val="2024004768"/>
      </c:lineChart>
      <c:catAx>
        <c:axId val="202134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accent1">
                        <a:lumMod val="50000"/>
                      </a:schemeClr>
                    </a:solidFill>
                  </a:rPr>
                  <a:t>TermReason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73056560"/>
        <c:crosses val="autoZero"/>
        <c:auto val="1"/>
        <c:lblAlgn val="ctr"/>
        <c:lblOffset val="100"/>
        <c:noMultiLvlLbl val="0"/>
      </c:catAx>
      <c:valAx>
        <c:axId val="2073056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accent1">
                        <a:lumMod val="50000"/>
                      </a:schemeClr>
                    </a:solidFill>
                  </a:rPr>
                  <a:t>count</a:t>
                </a:r>
                <a:r>
                  <a:rPr lang="en-GB" b="1" baseline="0">
                    <a:solidFill>
                      <a:schemeClr val="accent1">
                        <a:lumMod val="50000"/>
                      </a:schemeClr>
                    </a:solidFill>
                  </a:rPr>
                  <a:t> termreason</a:t>
                </a:r>
                <a:endParaRPr lang="en-GB"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341888"/>
        <c:crosses val="autoZero"/>
        <c:crossBetween val="between"/>
      </c:valAx>
      <c:valAx>
        <c:axId val="20240047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accent1">
                        <a:lumMod val="50000"/>
                      </a:schemeClr>
                    </a:solidFill>
                  </a:rPr>
                  <a:t>cumulative</a:t>
                </a:r>
                <a:r>
                  <a:rPr lang="en-GB" b="1" baseline="0">
                    <a:solidFill>
                      <a:schemeClr val="accent1">
                        <a:lumMod val="50000"/>
                      </a:schemeClr>
                    </a:solidFill>
                  </a:rPr>
                  <a:t> of termreason</a:t>
                </a:r>
                <a:endParaRPr lang="en-GB"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05184"/>
        <c:crosses val="max"/>
        <c:crossBetween val="between"/>
      </c:valAx>
      <c:catAx>
        <c:axId val="2024005184"/>
        <c:scaling>
          <c:orientation val="minMax"/>
        </c:scaling>
        <c:delete val="1"/>
        <c:axPos val="b"/>
        <c:numFmt formatCode="General" sourceLinked="1"/>
        <c:majorTickMark val="out"/>
        <c:minorTickMark val="none"/>
        <c:tickLblPos val="nextTo"/>
        <c:crossAx val="2024004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TermReason</c:v>
          </c:tx>
          <c:spPr>
            <a:solidFill>
              <a:schemeClr val="accent1"/>
            </a:solidFill>
            <a:ln>
              <a:noFill/>
            </a:ln>
            <a:effectLst/>
          </c:spPr>
          <c:invertIfNegative val="0"/>
          <c:cat>
            <c:strLit>
              <c:ptCount val="18"/>
              <c:pt idx="0">
                <c:v>N/A-StillEmployed</c:v>
              </c:pt>
              <c:pt idx="1">
                <c:v>Another position</c:v>
              </c:pt>
              <c:pt idx="2">
                <c:v>unhappy</c:v>
              </c:pt>
              <c:pt idx="3">
                <c:v>more money</c:v>
              </c:pt>
              <c:pt idx="4">
                <c:v>career change</c:v>
              </c:pt>
              <c:pt idx="5">
                <c:v>hours</c:v>
              </c:pt>
              <c:pt idx="6">
                <c:v>attendance</c:v>
              </c:pt>
              <c:pt idx="7">
                <c:v>relocation out of area</c:v>
              </c:pt>
              <c:pt idx="8">
                <c:v>return to school</c:v>
              </c:pt>
              <c:pt idx="9">
                <c:v>retiring</c:v>
              </c:pt>
              <c:pt idx="10">
                <c:v>performance</c:v>
              </c:pt>
              <c:pt idx="11">
                <c:v>no-call, no-show</c:v>
              </c:pt>
              <c:pt idx="12">
                <c:v>military</c:v>
              </c:pt>
              <c:pt idx="13">
                <c:v>maternity leave - did not return</c:v>
              </c:pt>
              <c:pt idx="14">
                <c:v>medical issues</c:v>
              </c:pt>
              <c:pt idx="15">
                <c:v>Learned that he is a gangster</c:v>
              </c:pt>
              <c:pt idx="16">
                <c:v>Fatal attraction</c:v>
              </c:pt>
              <c:pt idx="17">
                <c:v>gross misconduct</c:v>
              </c:pt>
            </c:strLit>
          </c:cat>
          <c:val>
            <c:numLit>
              <c:formatCode>General</c:formatCode>
              <c:ptCount val="18"/>
              <c:pt idx="0">
                <c:v>207</c:v>
              </c:pt>
              <c:pt idx="1">
                <c:v>20</c:v>
              </c:pt>
              <c:pt idx="2">
                <c:v>14</c:v>
              </c:pt>
              <c:pt idx="3">
                <c:v>11</c:v>
              </c:pt>
              <c:pt idx="4">
                <c:v>9</c:v>
              </c:pt>
              <c:pt idx="5">
                <c:v>8</c:v>
              </c:pt>
              <c:pt idx="6">
                <c:v>7</c:v>
              </c:pt>
              <c:pt idx="7">
                <c:v>5</c:v>
              </c:pt>
              <c:pt idx="8">
                <c:v>5</c:v>
              </c:pt>
              <c:pt idx="9">
                <c:v>4</c:v>
              </c:pt>
              <c:pt idx="10">
                <c:v>4</c:v>
              </c:pt>
              <c:pt idx="11">
                <c:v>4</c:v>
              </c:pt>
              <c:pt idx="12">
                <c:v>4</c:v>
              </c:pt>
              <c:pt idx="13">
                <c:v>3</c:v>
              </c:pt>
              <c:pt idx="14">
                <c:v>3</c:v>
              </c:pt>
              <c:pt idx="15">
                <c:v>1</c:v>
              </c:pt>
              <c:pt idx="16">
                <c:v>1</c:v>
              </c:pt>
              <c:pt idx="17">
                <c:v>1</c:v>
              </c:pt>
            </c:numLit>
          </c:val>
          <c:extLst>
            <c:ext xmlns:c16="http://schemas.microsoft.com/office/drawing/2014/chart" uri="{C3380CC4-5D6E-409C-BE32-E72D297353CC}">
              <c16:uniqueId val="{00000000-83E2-4C2A-BE5F-5D64DDD9DCD2}"/>
            </c:ext>
          </c:extLst>
        </c:ser>
        <c:dLbls>
          <c:showLegendKey val="0"/>
          <c:showVal val="0"/>
          <c:showCatName val="0"/>
          <c:showSerName val="0"/>
          <c:showPercent val="0"/>
          <c:showBubbleSize val="0"/>
        </c:dLbls>
        <c:gapWidth val="219"/>
        <c:overlap val="-27"/>
        <c:axId val="2021341888"/>
        <c:axId val="2073056560"/>
      </c:barChart>
      <c:lineChart>
        <c:grouping val="standard"/>
        <c:varyColors val="0"/>
        <c:ser>
          <c:idx val="1"/>
          <c:order val="1"/>
          <c:tx>
            <c:v>Cumulative of TermReason</c:v>
          </c:tx>
          <c:spPr>
            <a:ln w="28575" cap="rnd">
              <a:solidFill>
                <a:schemeClr val="accent2"/>
              </a:solidFill>
              <a:round/>
            </a:ln>
            <a:effectLst/>
          </c:spPr>
          <c:marker>
            <c:symbol val="none"/>
          </c:marker>
          <c:cat>
            <c:strLit>
              <c:ptCount val="18"/>
              <c:pt idx="0">
                <c:v>N/A-StillEmployed</c:v>
              </c:pt>
              <c:pt idx="1">
                <c:v>Another position</c:v>
              </c:pt>
              <c:pt idx="2">
                <c:v>unhappy</c:v>
              </c:pt>
              <c:pt idx="3">
                <c:v>more money</c:v>
              </c:pt>
              <c:pt idx="4">
                <c:v>career change</c:v>
              </c:pt>
              <c:pt idx="5">
                <c:v>hours</c:v>
              </c:pt>
              <c:pt idx="6">
                <c:v>attendance</c:v>
              </c:pt>
              <c:pt idx="7">
                <c:v>relocation out of area</c:v>
              </c:pt>
              <c:pt idx="8">
                <c:v>return to school</c:v>
              </c:pt>
              <c:pt idx="9">
                <c:v>retiring</c:v>
              </c:pt>
              <c:pt idx="10">
                <c:v>performance</c:v>
              </c:pt>
              <c:pt idx="11">
                <c:v>no-call, no-show</c:v>
              </c:pt>
              <c:pt idx="12">
                <c:v>military</c:v>
              </c:pt>
              <c:pt idx="13">
                <c:v>maternity leave - did not return</c:v>
              </c:pt>
              <c:pt idx="14">
                <c:v>medical issues</c:v>
              </c:pt>
              <c:pt idx="15">
                <c:v>Learned that he is a gangster</c:v>
              </c:pt>
              <c:pt idx="16">
                <c:v>Fatal attraction</c:v>
              </c:pt>
              <c:pt idx="17">
                <c:v>gross misconduct</c:v>
              </c:pt>
            </c:strLit>
          </c:cat>
          <c:val>
            <c:numLit>
              <c:formatCode>General</c:formatCode>
              <c:ptCount val="18"/>
              <c:pt idx="0">
                <c:v>0.66559485530546625</c:v>
              </c:pt>
              <c:pt idx="1">
                <c:v>0.729903536977492</c:v>
              </c:pt>
              <c:pt idx="2">
                <c:v>0.77491961414791</c:v>
              </c:pt>
              <c:pt idx="3">
                <c:v>0.81028938906752412</c:v>
              </c:pt>
              <c:pt idx="4">
                <c:v>0.83922829581993574</c:v>
              </c:pt>
              <c:pt idx="5">
                <c:v>0.864951768488746</c:v>
              </c:pt>
              <c:pt idx="6">
                <c:v>0.887459807073955</c:v>
              </c:pt>
              <c:pt idx="7">
                <c:v>0.90353697749196138</c:v>
              </c:pt>
              <c:pt idx="8">
                <c:v>0.91961414790996787</c:v>
              </c:pt>
              <c:pt idx="9">
                <c:v>0.932475884244373</c:v>
              </c:pt>
              <c:pt idx="10">
                <c:v>0.94533762057877813</c:v>
              </c:pt>
              <c:pt idx="11">
                <c:v>0.95819935691318325</c:v>
              </c:pt>
              <c:pt idx="12">
                <c:v>0.97106109324758838</c:v>
              </c:pt>
              <c:pt idx="13">
                <c:v>0.98070739549839225</c:v>
              </c:pt>
              <c:pt idx="14">
                <c:v>0.99035369774919613</c:v>
              </c:pt>
              <c:pt idx="15">
                <c:v>0.99356913183279738</c:v>
              </c:pt>
              <c:pt idx="16">
                <c:v>0.99678456591639875</c:v>
              </c:pt>
              <c:pt idx="17">
                <c:v>1</c:v>
              </c:pt>
            </c:numLit>
          </c:val>
          <c:smooth val="0"/>
          <c:extLst>
            <c:ext xmlns:c16="http://schemas.microsoft.com/office/drawing/2014/chart" uri="{C3380CC4-5D6E-409C-BE32-E72D297353CC}">
              <c16:uniqueId val="{00000001-83E2-4C2A-BE5F-5D64DDD9DCD2}"/>
            </c:ext>
          </c:extLst>
        </c:ser>
        <c:dLbls>
          <c:showLegendKey val="0"/>
          <c:showVal val="0"/>
          <c:showCatName val="0"/>
          <c:showSerName val="0"/>
          <c:showPercent val="0"/>
          <c:showBubbleSize val="0"/>
        </c:dLbls>
        <c:marker val="1"/>
        <c:smooth val="0"/>
        <c:axId val="2024005184"/>
        <c:axId val="2024004768"/>
      </c:lineChart>
      <c:catAx>
        <c:axId val="20213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056560"/>
        <c:crosses val="autoZero"/>
        <c:auto val="1"/>
        <c:lblAlgn val="ctr"/>
        <c:lblOffset val="100"/>
        <c:noMultiLvlLbl val="0"/>
      </c:catAx>
      <c:valAx>
        <c:axId val="207305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341888"/>
        <c:crosses val="autoZero"/>
        <c:crossBetween val="between"/>
      </c:valAx>
      <c:valAx>
        <c:axId val="20240047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05184"/>
        <c:crosses val="max"/>
        <c:crossBetween val="between"/>
      </c:valAx>
      <c:catAx>
        <c:axId val="2024005184"/>
        <c:scaling>
          <c:orientation val="minMax"/>
        </c:scaling>
        <c:delete val="1"/>
        <c:axPos val="b"/>
        <c:numFmt formatCode="General" sourceLinked="1"/>
        <c:majorTickMark val="out"/>
        <c:minorTickMark val="none"/>
        <c:tickLblPos val="nextTo"/>
        <c:crossAx val="2024004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boxWhisker" uniqueId="{5083C491-F3DB-46B0-88E0-2DF79A475164}">
          <cx:tx>
            <cx:txData>
              <cx:f>_xlchart.v1.0</cx:f>
              <cx:v>ACTIVE</cx:v>
            </cx:txData>
          </cx:tx>
          <cx:dataId val="0"/>
          <cx:layoutPr>
            <cx:visibility meanLine="0" meanMarker="1" nonoutliers="0" outliers="1"/>
            <cx:statistics quartileMethod="exclusive"/>
          </cx:layoutPr>
        </cx:series>
        <cx:series layoutId="boxWhisker" uniqueId="{9FA21E01-54CB-42BB-BE39-3A4C84D78985}">
          <cx:tx>
            <cx:txData>
              <cx:f>_xlchart.v1.2</cx:f>
              <cx:v>TERMINATED 2</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Talent Attrition Flow</cx:v>
        </cx:txData>
      </cx:tx>
      <cx:txPr>
        <a:bodyPr spcFirstLastPara="1" vertOverflow="ellipsis" horzOverflow="overflow" wrap="square" lIns="0" tIns="0" rIns="0" bIns="0" anchor="ctr" anchorCtr="1"/>
        <a:lstStyle/>
        <a:p>
          <a:pPr algn="ctr" rtl="0">
            <a:defRPr sz="1800" b="1">
              <a:solidFill>
                <a:schemeClr val="accent1">
                  <a:lumMod val="50000"/>
                </a:schemeClr>
              </a:solidFill>
              <a:latin typeface="Arial Narrow" panose="020B0606020202030204" pitchFamily="34" charset="0"/>
              <a:ea typeface="Arial Narrow" panose="020B0606020202030204" pitchFamily="34" charset="0"/>
              <a:cs typeface="Arial Narrow" panose="020B0606020202030204" pitchFamily="34" charset="0"/>
            </a:defRPr>
          </a:pPr>
          <a:r>
            <a:rPr lang="en-US" sz="1800" b="1" i="0" u="none" strike="noStrike" baseline="0">
              <a:solidFill>
                <a:schemeClr val="accent1">
                  <a:lumMod val="50000"/>
                </a:schemeClr>
              </a:solidFill>
              <a:latin typeface="Arial Narrow" panose="020B0606020202030204" pitchFamily="34" charset="0"/>
            </a:rPr>
            <a:t>Talent Attrition Flow</a:t>
          </a:r>
        </a:p>
      </cx:txPr>
    </cx:title>
    <cx:plotArea>
      <cx:plotAreaRegion>
        <cx:series layoutId="funnel" uniqueId="{34D84E40-5CC3-407E-A69E-E072AF4741BC}">
          <cx:tx>
            <cx:txData>
              <cx:f>_xlchart.v2.9</cx:f>
              <cx:v>VALUE</cx:v>
            </cx:txData>
          </cx:tx>
          <cx:spPr>
            <a:solidFill>
              <a:schemeClr val="accent1">
                <a:lumMod val="75000"/>
              </a:schemeClr>
            </a:solidFill>
          </cx:spPr>
          <cx:dataLabels>
            <cx:visibility seriesName="0" categoryName="0" value="1"/>
            <cx:dataLabel idx="0">
              <cx:txPr>
                <a:bodyPr spcFirstLastPara="1" vertOverflow="ellipsis" horzOverflow="overflow" wrap="square" lIns="0" tIns="0" rIns="0" bIns="0" anchor="ctr" anchorCtr="1"/>
                <a:lstStyle/>
                <a:p>
                  <a:pPr algn="ctr" rtl="0">
                    <a:defRPr sz="1000">
                      <a:solidFill>
                        <a:schemeClr val="bg1"/>
                      </a:solidFill>
                    </a:defRPr>
                  </a:pPr>
                  <a:r>
                    <a:rPr lang="en-US" sz="1000" b="0" i="0" u="none" strike="noStrike" baseline="0">
                      <a:solidFill>
                        <a:schemeClr val="bg1"/>
                      </a:solidFill>
                      <a:latin typeface="Franklin Gothic Book" panose="020B0503020102020204"/>
                    </a:rPr>
                    <a:t>312</a:t>
                  </a:r>
                </a:p>
              </cx:txPr>
            </cx:dataLabel>
            <cx:dataLabel idx="1">
              <cx:txPr>
                <a:bodyPr spcFirstLastPara="1" vertOverflow="ellipsis" horzOverflow="overflow" wrap="square" lIns="0" tIns="0" rIns="0" bIns="0" anchor="ctr" anchorCtr="1"/>
                <a:lstStyle/>
                <a:p>
                  <a:pPr algn="ctr" rtl="0">
                    <a:defRPr sz="1100">
                      <a:solidFill>
                        <a:schemeClr val="bg1"/>
                      </a:solidFill>
                    </a:defRPr>
                  </a:pPr>
                  <a:r>
                    <a:rPr lang="en-US" sz="1100" b="0" i="0" u="none" strike="noStrike" baseline="0">
                      <a:solidFill>
                        <a:schemeClr val="bg1"/>
                      </a:solidFill>
                      <a:latin typeface="Franklin Gothic Book" panose="020B0503020102020204"/>
                    </a:rPr>
                    <a:t>207</a:t>
                  </a:r>
                </a:p>
              </cx:txPr>
            </cx:dataLabel>
            <cx:dataLabel idx="2">
              <cx:txPr>
                <a:bodyPr spcFirstLastPara="1" vertOverflow="ellipsis" horzOverflow="overflow" wrap="square" lIns="0" tIns="0" rIns="0" bIns="0" anchor="ctr" anchorCtr="1"/>
                <a:lstStyle/>
                <a:p>
                  <a:pPr algn="ctr" rtl="0">
                    <a:defRPr sz="1050">
                      <a:solidFill>
                        <a:schemeClr val="bg1"/>
                      </a:solidFill>
                    </a:defRPr>
                  </a:pPr>
                  <a:r>
                    <a:rPr lang="en-US" sz="1050" b="0" i="0" u="none" strike="noStrike" baseline="0">
                      <a:solidFill>
                        <a:schemeClr val="bg1"/>
                      </a:solidFill>
                      <a:latin typeface="Franklin Gothic Book" panose="020B0503020102020204"/>
                    </a:rPr>
                    <a:t>150</a:t>
                  </a:r>
                </a:p>
              </cx:txPr>
            </cx:dataLabel>
            <cx:dataLabel idx="3">
              <cx:txPr>
                <a:bodyPr spcFirstLastPara="1" vertOverflow="ellipsis" horzOverflow="overflow" wrap="square" lIns="0" tIns="0" rIns="0" bIns="0" anchor="ctr" anchorCtr="1"/>
                <a:lstStyle/>
                <a:p>
                  <a:pPr algn="ctr" rtl="0">
                    <a:defRPr sz="1000">
                      <a:solidFill>
                        <a:schemeClr val="bg1"/>
                      </a:solidFill>
                    </a:defRPr>
                  </a:pPr>
                  <a:r>
                    <a:rPr lang="en-US" sz="1000" b="0" i="0" u="none" strike="noStrike" baseline="0">
                      <a:solidFill>
                        <a:schemeClr val="bg1"/>
                      </a:solidFill>
                      <a:latin typeface="Franklin Gothic Book" panose="020B0503020102020204"/>
                    </a:rPr>
                    <a:t>120</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900" b="1">
                <a:latin typeface="Arial Narrow" panose="020B0606020202030204" pitchFamily="34" charset="0"/>
                <a:ea typeface="Arial Narrow" panose="020B0606020202030204" pitchFamily="34" charset="0"/>
                <a:cs typeface="Arial Narrow" panose="020B0606020202030204" pitchFamily="34" charset="0"/>
              </a:defRPr>
            </a:pPr>
            <a:endParaRPr lang="en-US" sz="900" b="1" i="0" u="none" strike="noStrike" baseline="0">
              <a:solidFill>
                <a:sysClr val="windowText" lastClr="000000">
                  <a:lumMod val="65000"/>
                  <a:lumOff val="35000"/>
                </a:sysClr>
              </a:solidFill>
              <a:latin typeface="Arial Narrow" panose="020B0606020202030204" pitchFamily="34" charset="0"/>
            </a:endParaRPr>
          </a:p>
        </cx:txPr>
      </cx:axis>
    </cx:plotArea>
  </cx:chart>
  <cx:spPr>
    <a:solidFill>
      <a:schemeClr val="accent6">
        <a:lumMod val="20000"/>
        <a:lumOff val="8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GB" sz="1400" b="1" i="0" u="none" strike="noStrike" baseline="0">
                <a:solidFill>
                  <a:schemeClr val="accent1">
                    <a:lumMod val="50000"/>
                  </a:schemeClr>
                </a:solidFill>
                <a:effectLst/>
                <a:latin typeface="Franklin Gothic Book" panose="020B0503020102020204"/>
                <a:ea typeface="Calibri" panose="020F0502020204030204" pitchFamily="34" charset="0"/>
                <a:cs typeface="Calibri" panose="020F0502020204030204" pitchFamily="34" charset="0"/>
              </a:rPr>
              <a:t>Engagement vs Turnover Box Plot </a:t>
            </a:r>
            <a:endParaRPr lang="en-US" sz="1400" b="1" i="0" u="none" strike="noStrike" baseline="0">
              <a:solidFill>
                <a:schemeClr val="accent1">
                  <a:lumMod val="50000"/>
                </a:schemeClr>
              </a:solidFill>
              <a:latin typeface="Franklin Gothic Book" panose="020B0503020102020204"/>
            </a:endParaRPr>
          </a:p>
        </cx:rich>
      </cx:tx>
    </cx:title>
    <cx:plotArea>
      <cx:plotAreaRegion>
        <cx:series layoutId="boxWhisker" uniqueId="{5083C491-F3DB-46B0-88E0-2DF79A475164}">
          <cx:tx>
            <cx:txData>
              <cx:f>_xlchart.v1.4</cx:f>
              <cx:v>ACTIVE</cx:v>
            </cx:txData>
          </cx:tx>
          <cx:spPr>
            <a:solidFill>
              <a:schemeClr val="accent1"/>
            </a:solidFill>
          </cx:spPr>
          <cx:dataId val="0"/>
          <cx:layoutPr>
            <cx:visibility meanLine="0" meanMarker="1" nonoutliers="0" outliers="1"/>
            <cx:statistics quartileMethod="exclusive"/>
          </cx:layoutPr>
        </cx:series>
        <cx:series layoutId="boxWhisker" uniqueId="{9FA21E01-54CB-42BB-BE39-3A4C84D78985}">
          <cx:tx>
            <cx:txData>
              <cx:f>_xlchart.v1.6</cx:f>
              <cx:v>TERMINATED 2</cx:v>
            </cx:txData>
          </cx:tx>
          <cx:dataId val="1"/>
          <cx:layoutPr>
            <cx:visibility meanLine="0" meanMarker="1" nonoutliers="0" outliers="1"/>
            <cx:statistics quartileMethod="exclusive"/>
          </cx:layoutPr>
        </cx:series>
      </cx:plotAreaRegion>
      <cx:axis id="0">
        <cx:catScaling gapWidth="1.29999995"/>
        <cx:tickLabels/>
      </cx:axis>
      <cx:axis id="1">
        <cx:valScaling/>
        <cx:majorGridlines/>
        <cx:tickLabels/>
      </cx:axis>
    </cx:plotArea>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emf"/><Relationship Id="rId7" Type="http://schemas.openxmlformats.org/officeDocument/2006/relationships/image" Target="../media/image7.svg"/><Relationship Id="rId12"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emf"/><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sv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chart" Target="../charts/chart5.xml"/><Relationship Id="rId7" Type="http://schemas.openxmlformats.org/officeDocument/2006/relationships/image" Target="../media/image14.png"/><Relationship Id="rId2" Type="http://schemas.microsoft.com/office/2014/relationships/chartEx" Target="../charts/chartEx3.xml"/><Relationship Id="rId1" Type="http://schemas.microsoft.com/office/2014/relationships/chartEx" Target="../charts/chartEx2.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chart" Target="../charts/chart6.xml"/><Relationship Id="rId9"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61</xdr:col>
      <xdr:colOff>1014132</xdr:colOff>
      <xdr:row>68</xdr:row>
      <xdr:rowOff>6723</xdr:rowOff>
    </xdr:from>
    <xdr:to>
      <xdr:col>68</xdr:col>
      <xdr:colOff>16808</xdr:colOff>
      <xdr:row>80</xdr:row>
      <xdr:rowOff>82923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9129C1C-DA2B-4D14-AA93-8544FD9B30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218257" y="13608423"/>
              <a:ext cx="6089276" cy="2476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595312</xdr:colOff>
      <xdr:row>0</xdr:row>
      <xdr:rowOff>0</xdr:rowOff>
    </xdr:from>
    <xdr:to>
      <xdr:col>19</xdr:col>
      <xdr:colOff>273844</xdr:colOff>
      <xdr:row>3</xdr:row>
      <xdr:rowOff>36718</xdr:rowOff>
    </xdr:to>
    <xdr:sp macro="" textlink="">
      <xdr:nvSpPr>
        <xdr:cNvPr id="3" name="Rectangle: Rounded Corners 2">
          <a:extLst>
            <a:ext uri="{FF2B5EF4-FFF2-40B4-BE49-F238E27FC236}">
              <a16:creationId xmlns:a16="http://schemas.microsoft.com/office/drawing/2014/main" id="{DB2FFB48-578E-4737-BA81-033E7A2EBBCC}"/>
            </a:ext>
          </a:extLst>
        </xdr:cNvPr>
        <xdr:cNvSpPr/>
      </xdr:nvSpPr>
      <xdr:spPr>
        <a:xfrm>
          <a:off x="4405312" y="0"/>
          <a:ext cx="10346532" cy="632031"/>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600" b="1" i="0">
              <a:solidFill>
                <a:schemeClr val="lt1"/>
              </a:solidFill>
              <a:effectLst/>
              <a:latin typeface="+mn-lt"/>
              <a:ea typeface="+mn-ea"/>
              <a:cs typeface="+mn-cs"/>
            </a:rPr>
            <a:t>                             </a:t>
          </a:r>
          <a:r>
            <a:rPr lang="en-GB" sz="2800" b="1" i="0">
              <a:solidFill>
                <a:schemeClr val="bg1"/>
              </a:solidFill>
              <a:effectLst/>
              <a:latin typeface="+mn-lt"/>
              <a:ea typeface="+mn-ea"/>
              <a:cs typeface="+mn-cs"/>
            </a:rPr>
            <a:t>W</a:t>
          </a:r>
          <a:r>
            <a:rPr lang="en-GB" sz="2800" b="1">
              <a:solidFill>
                <a:schemeClr val="bg1"/>
              </a:solidFill>
              <a:effectLst/>
              <a:latin typeface="+mn-lt"/>
              <a:ea typeface="+mn-ea"/>
              <a:cs typeface="+mn-cs"/>
            </a:rPr>
            <a:t>orkforce Intelligence Dashboard</a:t>
          </a:r>
          <a:endParaRPr lang="en-GB" sz="1100" b="1">
            <a:solidFill>
              <a:schemeClr val="bg1"/>
            </a:solidFill>
            <a:effectLst/>
            <a:latin typeface="+mn-lt"/>
            <a:ea typeface="+mn-ea"/>
            <a:cs typeface="+mn-cs"/>
          </a:endParaRPr>
        </a:p>
        <a:p>
          <a:pPr marL="0" indent="0" algn="l"/>
          <a:endParaRPr lang="en-GB" sz="2600">
            <a:solidFill>
              <a:schemeClr val="lt1"/>
            </a:solidFill>
            <a:latin typeface="+mn-lt"/>
            <a:ea typeface="+mn-ea"/>
            <a:cs typeface="+mn-cs"/>
          </a:endParaRPr>
        </a:p>
      </xdr:txBody>
    </xdr:sp>
    <xdr:clientData/>
  </xdr:twoCellAnchor>
  <xdr:twoCellAnchor editAs="oneCell">
    <xdr:from>
      <xdr:col>0</xdr:col>
      <xdr:colOff>0</xdr:colOff>
      <xdr:row>4</xdr:row>
      <xdr:rowOff>190500</xdr:rowOff>
    </xdr:from>
    <xdr:to>
      <xdr:col>3</xdr:col>
      <xdr:colOff>0</xdr:colOff>
      <xdr:row>14</xdr:row>
      <xdr:rowOff>119063</xdr:rowOff>
    </xdr:to>
    <xdr:pic>
      <xdr:nvPicPr>
        <xdr:cNvPr id="6" name="Graphic 5" descr="Business Growth with solid fill">
          <a:extLst>
            <a:ext uri="{FF2B5EF4-FFF2-40B4-BE49-F238E27FC236}">
              <a16:creationId xmlns:a16="http://schemas.microsoft.com/office/drawing/2014/main" id="{24AC0F58-BF2C-43F9-87CF-43C7AEC49C31}"/>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988219"/>
          <a:ext cx="2286000" cy="2071688"/>
        </a:xfrm>
        <a:prstGeom prst="rect">
          <a:avLst/>
        </a:prstGeom>
      </xdr:spPr>
    </xdr:pic>
    <xdr:clientData/>
  </xdr:twoCellAnchor>
  <xdr:twoCellAnchor>
    <xdr:from>
      <xdr:col>3</xdr:col>
      <xdr:colOff>8689</xdr:colOff>
      <xdr:row>3</xdr:row>
      <xdr:rowOff>105313</xdr:rowOff>
    </xdr:from>
    <xdr:to>
      <xdr:col>6</xdr:col>
      <xdr:colOff>654843</xdr:colOff>
      <xdr:row>8</xdr:row>
      <xdr:rowOff>190500</xdr:rowOff>
    </xdr:to>
    <xdr:sp macro="" textlink="">
      <xdr:nvSpPr>
        <xdr:cNvPr id="2" name="Rectangle: Rounded Corners 1">
          <a:extLst>
            <a:ext uri="{FF2B5EF4-FFF2-40B4-BE49-F238E27FC236}">
              <a16:creationId xmlns:a16="http://schemas.microsoft.com/office/drawing/2014/main" id="{EF260A84-5F5C-4777-ADCF-6BE7AF85908B}"/>
            </a:ext>
          </a:extLst>
        </xdr:cNvPr>
        <xdr:cNvSpPr/>
      </xdr:nvSpPr>
      <xdr:spPr>
        <a:xfrm>
          <a:off x="2294689" y="700626"/>
          <a:ext cx="2932154" cy="109721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i="0">
              <a:solidFill>
                <a:schemeClr val="accent1">
                  <a:lumMod val="50000"/>
                </a:schemeClr>
              </a:solidFill>
              <a:effectLst/>
              <a:latin typeface="+mn-lt"/>
              <a:ea typeface="+mn-ea"/>
              <a:cs typeface="+mn-cs"/>
            </a:rPr>
            <a:t>Total </a:t>
          </a:r>
          <a:r>
            <a:rPr lang="en-GB" sz="2000" b="1" i="0">
              <a:solidFill>
                <a:schemeClr val="accent1">
                  <a:lumMod val="50000"/>
                </a:schemeClr>
              </a:solidFill>
              <a:effectLst/>
              <a:latin typeface="+mn-lt"/>
              <a:ea typeface="+mn-ea"/>
              <a:cs typeface="+mn-cs"/>
            </a:rPr>
            <a:t>Employees</a:t>
          </a:r>
          <a:endParaRPr lang="en-GB" sz="1800" b="1" i="0">
            <a:solidFill>
              <a:schemeClr val="accent1">
                <a:lumMod val="50000"/>
              </a:schemeClr>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2400" b="1" i="0" u="none" strike="noStrike" baseline="0">
              <a:solidFill>
                <a:schemeClr val="accent1">
                  <a:lumMod val="50000"/>
                </a:schemeClr>
              </a:solidFill>
              <a:effectLst/>
              <a:latin typeface="+mn-lt"/>
              <a:ea typeface="+mn-ea"/>
              <a:cs typeface="+mn-cs"/>
            </a:rPr>
            <a:t>     </a:t>
          </a:r>
          <a:r>
            <a:rPr lang="en-GB" sz="3200" b="1" i="0" u="none" strike="noStrike">
              <a:solidFill>
                <a:schemeClr val="accent1">
                  <a:lumMod val="50000"/>
                </a:schemeClr>
              </a:solidFill>
              <a:effectLst/>
              <a:latin typeface="+mn-lt"/>
              <a:ea typeface="+mn-ea"/>
              <a:cs typeface="+mn-cs"/>
            </a:rPr>
            <a:t>311</a:t>
          </a:r>
          <a:r>
            <a:rPr lang="en-GB" sz="3200">
              <a:solidFill>
                <a:schemeClr val="tx2">
                  <a:lumMod val="50000"/>
                </a:schemeClr>
              </a:solidFill>
            </a:rPr>
            <a:t> </a:t>
          </a:r>
          <a:endParaRPr lang="en-GB" sz="2400">
            <a:solidFill>
              <a:schemeClr val="tx2">
                <a:lumMod val="50000"/>
              </a:schemeClr>
            </a:solidFill>
          </a:endParaRPr>
        </a:p>
      </xdr:txBody>
    </xdr:sp>
    <xdr:clientData/>
  </xdr:twoCellAnchor>
  <xdr:twoCellAnchor>
    <xdr:from>
      <xdr:col>10</xdr:col>
      <xdr:colOff>416720</xdr:colOff>
      <xdr:row>3</xdr:row>
      <xdr:rowOff>143380</xdr:rowOff>
    </xdr:from>
    <xdr:to>
      <xdr:col>13</xdr:col>
      <xdr:colOff>666750</xdr:colOff>
      <xdr:row>9</xdr:row>
      <xdr:rowOff>23813</xdr:rowOff>
    </xdr:to>
    <xdr:sp macro="" textlink="">
      <xdr:nvSpPr>
        <xdr:cNvPr id="5" name="Rectangle: Rounded Corners 4">
          <a:extLst>
            <a:ext uri="{FF2B5EF4-FFF2-40B4-BE49-F238E27FC236}">
              <a16:creationId xmlns:a16="http://schemas.microsoft.com/office/drawing/2014/main" id="{3F28B3A7-5EED-4484-AAD2-B85346D31F6F}"/>
            </a:ext>
          </a:extLst>
        </xdr:cNvPr>
        <xdr:cNvSpPr/>
      </xdr:nvSpPr>
      <xdr:spPr>
        <a:xfrm>
          <a:off x="8036720" y="738693"/>
          <a:ext cx="2536030" cy="109487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i="0">
              <a:solidFill>
                <a:schemeClr val="accent1">
                  <a:lumMod val="50000"/>
                </a:schemeClr>
              </a:solidFill>
              <a:effectLst/>
              <a:latin typeface="+mn-lt"/>
              <a:ea typeface="+mn-ea"/>
              <a:cs typeface="+mn-cs"/>
            </a:rPr>
            <a:t> Turnover Rate </a:t>
          </a:r>
        </a:p>
        <a:p>
          <a:pPr marL="0" marR="0" lvl="0" indent="0" algn="l" defTabSz="914400" eaLnBrk="1" fontAlgn="auto" latinLnBrk="0" hangingPunct="1">
            <a:lnSpc>
              <a:spcPct val="100000"/>
            </a:lnSpc>
            <a:spcBef>
              <a:spcPts val="0"/>
            </a:spcBef>
            <a:spcAft>
              <a:spcPts val="0"/>
            </a:spcAft>
            <a:buClrTx/>
            <a:buSzTx/>
            <a:buFontTx/>
            <a:buNone/>
            <a:tabLst/>
            <a:defRPr/>
          </a:pPr>
          <a:r>
            <a:rPr lang="en-GB" sz="1600" b="1" i="0">
              <a:solidFill>
                <a:schemeClr val="accent1">
                  <a:lumMod val="50000"/>
                </a:schemeClr>
              </a:solidFill>
              <a:effectLst/>
              <a:latin typeface="+mn-lt"/>
              <a:ea typeface="+mn-ea"/>
              <a:cs typeface="+mn-cs"/>
            </a:rPr>
            <a:t>      </a:t>
          </a:r>
          <a:r>
            <a:rPr lang="en-GB" sz="2800" b="1" i="0">
              <a:solidFill>
                <a:schemeClr val="accent1">
                  <a:lumMod val="50000"/>
                </a:schemeClr>
              </a:solidFill>
              <a:effectLst/>
              <a:latin typeface="+mn-lt"/>
              <a:ea typeface="+mn-ea"/>
              <a:cs typeface="+mn-cs"/>
            </a:rPr>
            <a:t>33.32</a:t>
          </a:r>
        </a:p>
      </xdr:txBody>
    </xdr:sp>
    <xdr:clientData/>
  </xdr:twoCellAnchor>
  <xdr:twoCellAnchor>
    <xdr:from>
      <xdr:col>17</xdr:col>
      <xdr:colOff>515320</xdr:colOff>
      <xdr:row>3</xdr:row>
      <xdr:rowOff>124732</xdr:rowOff>
    </xdr:from>
    <xdr:to>
      <xdr:col>21</xdr:col>
      <xdr:colOff>107157</xdr:colOff>
      <xdr:row>9</xdr:row>
      <xdr:rowOff>0</xdr:rowOff>
    </xdr:to>
    <xdr:sp macro="" textlink="">
      <xdr:nvSpPr>
        <xdr:cNvPr id="7" name="Rectangle: Rounded Corners 6">
          <a:extLst>
            <a:ext uri="{FF2B5EF4-FFF2-40B4-BE49-F238E27FC236}">
              <a16:creationId xmlns:a16="http://schemas.microsoft.com/office/drawing/2014/main" id="{60BD51B7-40B5-48B3-B7E8-7C6E3D55A93A}"/>
            </a:ext>
          </a:extLst>
        </xdr:cNvPr>
        <xdr:cNvSpPr/>
      </xdr:nvSpPr>
      <xdr:spPr>
        <a:xfrm>
          <a:off x="13469320" y="720045"/>
          <a:ext cx="2639837" cy="108970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i="0">
              <a:solidFill>
                <a:schemeClr val="accent1">
                  <a:lumMod val="50000"/>
                </a:schemeClr>
              </a:solidFill>
              <a:effectLst/>
              <a:latin typeface="+mn-lt"/>
              <a:ea typeface="+mn-ea"/>
              <a:cs typeface="+mn-cs"/>
            </a:rPr>
            <a:t>Avg </a:t>
          </a:r>
          <a:r>
            <a:rPr lang="en-GB" sz="1600" b="1" i="0">
              <a:solidFill>
                <a:schemeClr val="accent1">
                  <a:lumMod val="50000"/>
                </a:schemeClr>
              </a:solidFill>
              <a:effectLst/>
              <a:latin typeface="+mn-lt"/>
              <a:ea typeface="+mn-ea"/>
              <a:cs typeface="+mn-cs"/>
            </a:rPr>
            <a:t>Performance</a:t>
          </a:r>
          <a:r>
            <a:rPr lang="en-GB" sz="2000" b="1" i="0">
              <a:solidFill>
                <a:schemeClr val="accent1">
                  <a:lumMod val="50000"/>
                </a:schemeClr>
              </a:solidFill>
              <a:effectLst/>
              <a:latin typeface="+mn-lt"/>
              <a:ea typeface="+mn-ea"/>
              <a:cs typeface="+mn-cs"/>
            </a:rPr>
            <a:t>  </a:t>
          </a:r>
          <a:endParaRPr lang="en-GB" sz="3600" b="0" i="0">
            <a:solidFill>
              <a:schemeClr val="accent1">
                <a:lumMod val="50000"/>
              </a:schemeClr>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2800" b="1" i="0">
              <a:solidFill>
                <a:schemeClr val="accent1">
                  <a:lumMod val="50000"/>
                </a:schemeClr>
              </a:solidFill>
              <a:effectLst/>
              <a:latin typeface="+mn-lt"/>
              <a:ea typeface="+mn-ea"/>
              <a:cs typeface="+mn-cs"/>
            </a:rPr>
            <a:t>   </a:t>
          </a:r>
          <a:r>
            <a:rPr lang="en-GB" sz="2400" b="1" i="0">
              <a:solidFill>
                <a:schemeClr val="accent1">
                  <a:lumMod val="50000"/>
                </a:schemeClr>
              </a:solidFill>
              <a:effectLst/>
              <a:latin typeface="+mn-lt"/>
              <a:ea typeface="+mn-ea"/>
              <a:cs typeface="+mn-cs"/>
            </a:rPr>
            <a:t>2.9776</a:t>
          </a:r>
          <a:endParaRPr lang="en-GB" sz="2800" b="1" i="0">
            <a:solidFill>
              <a:schemeClr val="accent1">
                <a:lumMod val="50000"/>
              </a:schemeClr>
            </a:solidFill>
            <a:effectLst/>
            <a:latin typeface="+mn-lt"/>
            <a:ea typeface="+mn-ea"/>
            <a:cs typeface="+mn-cs"/>
          </a:endParaRPr>
        </a:p>
      </xdr:txBody>
    </xdr:sp>
    <xdr:clientData/>
  </xdr:twoCellAnchor>
  <xdr:twoCellAnchor>
    <xdr:from>
      <xdr:col>13</xdr:col>
      <xdr:colOff>702468</xdr:colOff>
      <xdr:row>3</xdr:row>
      <xdr:rowOff>147978</xdr:rowOff>
    </xdr:from>
    <xdr:to>
      <xdr:col>17</xdr:col>
      <xdr:colOff>464343</xdr:colOff>
      <xdr:row>9</xdr:row>
      <xdr:rowOff>11907</xdr:rowOff>
    </xdr:to>
    <xdr:sp macro="" textlink="">
      <xdr:nvSpPr>
        <xdr:cNvPr id="8" name="Rectangle: Rounded Corners 7">
          <a:extLst>
            <a:ext uri="{FF2B5EF4-FFF2-40B4-BE49-F238E27FC236}">
              <a16:creationId xmlns:a16="http://schemas.microsoft.com/office/drawing/2014/main" id="{706BA33B-3F61-440C-A83D-0C90E5EBD69A}"/>
            </a:ext>
          </a:extLst>
        </xdr:cNvPr>
        <xdr:cNvSpPr/>
      </xdr:nvSpPr>
      <xdr:spPr>
        <a:xfrm>
          <a:off x="10608468" y="743291"/>
          <a:ext cx="2809875" cy="107836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GB" sz="2000" b="1" i="0">
              <a:solidFill>
                <a:schemeClr val="accent1">
                  <a:lumMod val="50000"/>
                </a:schemeClr>
              </a:solidFill>
              <a:effectLst/>
              <a:latin typeface="+mn-lt"/>
              <a:ea typeface="+mn-ea"/>
              <a:cs typeface="+mn-cs"/>
            </a:rPr>
            <a:t>Avg Engagemnet</a:t>
          </a:r>
        </a:p>
        <a:p>
          <a:pPr marL="0" marR="0" lvl="0" indent="0" algn="l" defTabSz="914400" rtl="0" eaLnBrk="1" fontAlgn="auto" latinLnBrk="0" hangingPunct="1">
            <a:lnSpc>
              <a:spcPct val="100000"/>
            </a:lnSpc>
            <a:spcBef>
              <a:spcPts val="0"/>
            </a:spcBef>
            <a:spcAft>
              <a:spcPts val="0"/>
            </a:spcAft>
            <a:buClrTx/>
            <a:buSzTx/>
            <a:buFontTx/>
            <a:buNone/>
            <a:tabLst/>
            <a:defRPr/>
          </a:pPr>
          <a:r>
            <a:rPr lang="en-GB" sz="2800" b="1" i="0">
              <a:solidFill>
                <a:schemeClr val="accent1">
                  <a:lumMod val="50000"/>
                </a:schemeClr>
              </a:solidFill>
              <a:effectLst/>
              <a:latin typeface="+mn-lt"/>
              <a:ea typeface="+mn-ea"/>
              <a:cs typeface="+mn-cs"/>
            </a:rPr>
            <a:t>   </a:t>
          </a:r>
          <a:r>
            <a:rPr lang="en-GB" sz="2800" b="1" i="0" baseline="0">
              <a:solidFill>
                <a:schemeClr val="accent1">
                  <a:lumMod val="50000"/>
                </a:schemeClr>
              </a:solidFill>
              <a:effectLst/>
              <a:latin typeface="+mn-lt"/>
              <a:ea typeface="+mn-ea"/>
              <a:cs typeface="+mn-cs"/>
            </a:rPr>
            <a:t> </a:t>
          </a:r>
          <a:r>
            <a:rPr lang="en-GB" sz="3200" b="1" i="0">
              <a:solidFill>
                <a:schemeClr val="accent1">
                  <a:lumMod val="50000"/>
                </a:schemeClr>
              </a:solidFill>
              <a:effectLst/>
              <a:latin typeface="+mn-lt"/>
              <a:ea typeface="+mn-ea"/>
              <a:cs typeface="+mn-cs"/>
            </a:rPr>
            <a:t>4.11</a:t>
          </a:r>
          <a:r>
            <a:rPr lang="en-GB" sz="2800" b="1" i="0">
              <a:solidFill>
                <a:schemeClr val="accent1">
                  <a:lumMod val="50000"/>
                </a:schemeClr>
              </a:solidFill>
              <a:effectLst/>
              <a:latin typeface="+mn-lt"/>
              <a:ea typeface="+mn-ea"/>
              <a:cs typeface="+mn-cs"/>
            </a:rPr>
            <a:t>  </a:t>
          </a:r>
          <a:endParaRPr lang="en-GB" sz="28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400" b="1" i="0">
              <a:solidFill>
                <a:schemeClr val="accent1">
                  <a:lumMod val="50000"/>
                </a:schemeClr>
              </a:solidFill>
              <a:effectLst/>
              <a:latin typeface="+mn-lt"/>
              <a:ea typeface="+mn-ea"/>
              <a:cs typeface="+mn-cs"/>
            </a:rPr>
            <a:t>   </a:t>
          </a:r>
        </a:p>
      </xdr:txBody>
    </xdr:sp>
    <xdr:clientData/>
  </xdr:twoCellAnchor>
  <xdr:twoCellAnchor>
    <xdr:from>
      <xdr:col>21</xdr:col>
      <xdr:colOff>142875</xdr:colOff>
      <xdr:row>3</xdr:row>
      <xdr:rowOff>118926</xdr:rowOff>
    </xdr:from>
    <xdr:to>
      <xdr:col>24</xdr:col>
      <xdr:colOff>408841</xdr:colOff>
      <xdr:row>9</xdr:row>
      <xdr:rowOff>3057</xdr:rowOff>
    </xdr:to>
    <xdr:sp macro="" textlink="">
      <xdr:nvSpPr>
        <xdr:cNvPr id="9" name="Rectangle: Rounded Corners 8">
          <a:extLst>
            <a:ext uri="{FF2B5EF4-FFF2-40B4-BE49-F238E27FC236}">
              <a16:creationId xmlns:a16="http://schemas.microsoft.com/office/drawing/2014/main" id="{58404B11-AA68-4D50-A2DD-713F30C35A8B}"/>
            </a:ext>
          </a:extLst>
        </xdr:cNvPr>
        <xdr:cNvSpPr/>
      </xdr:nvSpPr>
      <xdr:spPr>
        <a:xfrm>
          <a:off x="16144875" y="714239"/>
          <a:ext cx="2551966" cy="109856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000" b="1" i="0">
              <a:solidFill>
                <a:schemeClr val="accent1">
                  <a:lumMod val="50000"/>
                </a:schemeClr>
              </a:solidFill>
              <a:effectLst/>
              <a:latin typeface="+mn-lt"/>
              <a:ea typeface="+mn-ea"/>
              <a:cs typeface="+mn-cs"/>
            </a:rPr>
            <a:t>High Perfomance</a:t>
          </a:r>
        </a:p>
        <a:p>
          <a:pPr marL="0" marR="0" lvl="0" indent="0" algn="l" defTabSz="914400" eaLnBrk="1" fontAlgn="auto" latinLnBrk="0" hangingPunct="1">
            <a:lnSpc>
              <a:spcPct val="100000"/>
            </a:lnSpc>
            <a:spcBef>
              <a:spcPts val="0"/>
            </a:spcBef>
            <a:spcAft>
              <a:spcPts val="0"/>
            </a:spcAft>
            <a:buClrTx/>
            <a:buSzTx/>
            <a:buFontTx/>
            <a:buNone/>
            <a:tabLst/>
            <a:defRPr/>
          </a:pPr>
          <a:r>
            <a:rPr lang="en-GB" sz="2400" b="1" i="0">
              <a:solidFill>
                <a:schemeClr val="accent1">
                  <a:lumMod val="50000"/>
                </a:schemeClr>
              </a:solidFill>
              <a:effectLst/>
              <a:latin typeface="+mn-lt"/>
              <a:ea typeface="+mn-ea"/>
              <a:cs typeface="+mn-cs"/>
            </a:rPr>
            <a:t>    </a:t>
          </a:r>
          <a:r>
            <a:rPr lang="en-GB" sz="3600" b="1" i="0">
              <a:solidFill>
                <a:schemeClr val="accent1">
                  <a:lumMod val="50000"/>
                </a:schemeClr>
              </a:solidFill>
              <a:effectLst/>
              <a:latin typeface="+mn-lt"/>
              <a:ea typeface="+mn-ea"/>
              <a:cs typeface="+mn-cs"/>
            </a:rPr>
            <a:t>11.89</a:t>
          </a:r>
          <a:endParaRPr lang="en-GB" sz="2400" b="1" i="0">
            <a:solidFill>
              <a:schemeClr val="accent1">
                <a:lumMod val="50000"/>
              </a:schemeClr>
            </a:solidFill>
            <a:effectLst/>
            <a:latin typeface="+mn-lt"/>
            <a:ea typeface="+mn-ea"/>
            <a:cs typeface="+mn-cs"/>
          </a:endParaRPr>
        </a:p>
      </xdr:txBody>
    </xdr:sp>
    <xdr:clientData/>
  </xdr:twoCellAnchor>
  <xdr:twoCellAnchor>
    <xdr:from>
      <xdr:col>6</xdr:col>
      <xdr:colOff>750095</xdr:colOff>
      <xdr:row>3</xdr:row>
      <xdr:rowOff>133928</xdr:rowOff>
    </xdr:from>
    <xdr:to>
      <xdr:col>10</xdr:col>
      <xdr:colOff>369093</xdr:colOff>
      <xdr:row>9</xdr:row>
      <xdr:rowOff>11906</xdr:rowOff>
    </xdr:to>
    <xdr:sp macro="" textlink="">
      <xdr:nvSpPr>
        <xdr:cNvPr id="10" name="Rectangle: Rounded Corners 9">
          <a:extLst>
            <a:ext uri="{FF2B5EF4-FFF2-40B4-BE49-F238E27FC236}">
              <a16:creationId xmlns:a16="http://schemas.microsoft.com/office/drawing/2014/main" id="{896A4783-D9D4-4B80-B18F-CA951A9AC9A0}"/>
            </a:ext>
          </a:extLst>
        </xdr:cNvPr>
        <xdr:cNvSpPr/>
      </xdr:nvSpPr>
      <xdr:spPr>
        <a:xfrm>
          <a:off x="5322095" y="729241"/>
          <a:ext cx="2666998" cy="109241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i="0">
              <a:solidFill>
                <a:schemeClr val="accent1">
                  <a:lumMod val="50000"/>
                </a:schemeClr>
              </a:solidFill>
              <a:effectLst/>
              <a:latin typeface="+mn-lt"/>
              <a:ea typeface="+mn-ea"/>
              <a:cs typeface="+mn-cs"/>
            </a:rPr>
            <a:t> </a:t>
          </a:r>
          <a:r>
            <a:rPr lang="en-GB" sz="2400" b="1" i="0">
              <a:solidFill>
                <a:schemeClr val="accent1">
                  <a:lumMod val="50000"/>
                </a:schemeClr>
              </a:solidFill>
              <a:effectLst/>
              <a:latin typeface="+mn-lt"/>
              <a:ea typeface="+mn-ea"/>
              <a:cs typeface="+mn-cs"/>
            </a:rPr>
            <a:t>Avg </a:t>
          </a:r>
          <a:r>
            <a:rPr lang="en-GB" sz="2000" b="1" i="0">
              <a:solidFill>
                <a:schemeClr val="accent1">
                  <a:lumMod val="50000"/>
                </a:schemeClr>
              </a:solidFill>
              <a:effectLst/>
              <a:latin typeface="+mn-lt"/>
              <a:ea typeface="+mn-ea"/>
              <a:cs typeface="+mn-cs"/>
            </a:rPr>
            <a:t>Salary</a:t>
          </a:r>
          <a:r>
            <a:rPr lang="en-GB" sz="2400" b="1" i="0">
              <a:solidFill>
                <a:schemeClr val="accent1">
                  <a:lumMod val="50000"/>
                </a:schemeClr>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400" b="1" i="0">
              <a:solidFill>
                <a:schemeClr val="accent1">
                  <a:lumMod val="50000"/>
                </a:schemeClr>
              </a:solidFill>
              <a:effectLst/>
              <a:latin typeface="+mn-lt"/>
              <a:ea typeface="+mn-ea"/>
              <a:cs typeface="+mn-cs"/>
            </a:rPr>
            <a:t>  </a:t>
          </a:r>
          <a:r>
            <a:rPr lang="en-GB" sz="2800" b="1" i="0">
              <a:solidFill>
                <a:schemeClr val="accent1">
                  <a:lumMod val="50000"/>
                </a:schemeClr>
              </a:solidFill>
              <a:effectLst/>
              <a:latin typeface="+mn-lt"/>
              <a:ea typeface="+mn-ea"/>
              <a:cs typeface="+mn-cs"/>
            </a:rPr>
            <a:t>69020.7</a:t>
          </a:r>
          <a:endParaRPr lang="en-GB" sz="2400" b="1" i="0">
            <a:solidFill>
              <a:schemeClr val="accent1">
                <a:lumMod val="50000"/>
              </a:schemeClr>
            </a:solidFill>
            <a:effectLst/>
            <a:latin typeface="+mn-lt"/>
            <a:ea typeface="+mn-ea"/>
            <a:cs typeface="+mn-cs"/>
          </a:endParaRPr>
        </a:p>
      </xdr:txBody>
    </xdr:sp>
    <xdr:clientData/>
  </xdr:twoCellAnchor>
  <xdr:twoCellAnchor editAs="oneCell">
    <xdr:from>
      <xdr:col>5</xdr:col>
      <xdr:colOff>433302</xdr:colOff>
      <xdr:row>4</xdr:row>
      <xdr:rowOff>25215</xdr:rowOff>
    </xdr:from>
    <xdr:to>
      <xdr:col>6</xdr:col>
      <xdr:colOff>573844</xdr:colOff>
      <xdr:row>7</xdr:row>
      <xdr:rowOff>137099</xdr:rowOff>
    </xdr:to>
    <xdr:pic>
      <xdr:nvPicPr>
        <xdr:cNvPr id="11" name="Picture 10">
          <a:extLst>
            <a:ext uri="{FF2B5EF4-FFF2-40B4-BE49-F238E27FC236}">
              <a16:creationId xmlns:a16="http://schemas.microsoft.com/office/drawing/2014/main" id="{16BEB9AC-1298-4C89-AD12-A0C9D3AD0CFD}"/>
            </a:ext>
          </a:extLst>
        </xdr:cNvPr>
        <xdr:cNvPicPr>
          <a:picLocks noChangeAspect="1" noChangeArrowheads="1"/>
        </xdr:cNvPicPr>
      </xdr:nvPicPr>
      <xdr:blipFill>
        <a:blip xmlns:r="http://schemas.openxmlformats.org/officeDocument/2006/relationships" r:embed="rId3">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243302" y="822934"/>
          <a:ext cx="902542" cy="754821"/>
        </a:xfrm>
        <a:prstGeom prst="rect">
          <a:avLst/>
        </a:prstGeom>
        <a:noFill/>
        <a:effectLst>
          <a:reflection stA="99000" endPos="0" dist="50800" dir="5400000" sy="-100000" algn="bl" rotWithShape="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525126</xdr:colOff>
      <xdr:row>4</xdr:row>
      <xdr:rowOff>8606</xdr:rowOff>
    </xdr:from>
    <xdr:to>
      <xdr:col>13</xdr:col>
      <xdr:colOff>719849</xdr:colOff>
      <xdr:row>7</xdr:row>
      <xdr:rowOff>195375</xdr:rowOff>
    </xdr:to>
    <xdr:pic>
      <xdr:nvPicPr>
        <xdr:cNvPr id="12" name="Picture 11">
          <a:extLst>
            <a:ext uri="{FF2B5EF4-FFF2-40B4-BE49-F238E27FC236}">
              <a16:creationId xmlns:a16="http://schemas.microsoft.com/office/drawing/2014/main" id="{7D91A392-26A8-419A-9A35-D81DB448B8AC}"/>
            </a:ext>
          </a:extLst>
        </xdr:cNvPr>
        <xdr:cNvPicPr>
          <a:picLocks noChangeAspect="1" noChangeArrowheads="1"/>
        </xdr:cNvPicPr>
      </xdr:nvPicPr>
      <xdr:blipFill>
        <a:blip xmlns:r="http://schemas.openxmlformats.org/officeDocument/2006/relationships" r:embed="rId4">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669126" y="806325"/>
          <a:ext cx="956723" cy="829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179808</xdr:colOff>
      <xdr:row>3</xdr:row>
      <xdr:rowOff>195942</xdr:rowOff>
    </xdr:from>
    <xdr:to>
      <xdr:col>10</xdr:col>
      <xdr:colOff>633182</xdr:colOff>
      <xdr:row>7</xdr:row>
      <xdr:rowOff>213009</xdr:rowOff>
    </xdr:to>
    <xdr:pic>
      <xdr:nvPicPr>
        <xdr:cNvPr id="13" name="Picture 12">
          <a:extLst>
            <a:ext uri="{FF2B5EF4-FFF2-40B4-BE49-F238E27FC236}">
              <a16:creationId xmlns:a16="http://schemas.microsoft.com/office/drawing/2014/main" id="{41B24601-DCAC-472D-84D8-379BB5B0CB5B}"/>
            </a:ext>
          </a:extLst>
        </xdr:cNvPr>
        <xdr:cNvPicPr>
          <a:picLocks noChangeAspect="1" noChangeArrowheads="1"/>
        </xdr:cNvPicPr>
      </xdr:nvPicPr>
      <xdr:blipFill>
        <a:blip xmlns:r="http://schemas.openxmlformats.org/officeDocument/2006/relationships" r:embed="rId5">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037808" y="791255"/>
          <a:ext cx="1215374" cy="874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90175</xdr:colOff>
      <xdr:row>4</xdr:row>
      <xdr:rowOff>105785</xdr:rowOff>
    </xdr:from>
    <xdr:to>
      <xdr:col>17</xdr:col>
      <xdr:colOff>223857</xdr:colOff>
      <xdr:row>9</xdr:row>
      <xdr:rowOff>75857</xdr:rowOff>
    </xdr:to>
    <xdr:pic>
      <xdr:nvPicPr>
        <xdr:cNvPr id="18" name="Graphic 17" descr="Handshake with solid fill">
          <a:extLst>
            <a:ext uri="{FF2B5EF4-FFF2-40B4-BE49-F238E27FC236}">
              <a16:creationId xmlns:a16="http://schemas.microsoft.com/office/drawing/2014/main" id="{7FC1609C-41EB-402B-AB98-600C65E14146}"/>
            </a:ext>
          </a:extLst>
        </xdr:cNvPr>
        <xdr:cNvPicPr>
          <a:picLocks noChangeAspect="1"/>
        </xdr:cNvPicPr>
      </xdr:nvPicPr>
      <xdr:blipFill>
        <a:blip xmlns:r="http://schemas.openxmlformats.org/officeDocument/2006/relationships" r:embed="rId6">
          <a:duotone>
            <a:schemeClr val="accent1">
              <a:shade val="45000"/>
              <a:satMod val="135000"/>
            </a:schemeClr>
            <a:prstClr val="white"/>
          </a:duotone>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282175" y="903504"/>
          <a:ext cx="895682" cy="1041634"/>
        </a:xfrm>
        <a:prstGeom prst="rect">
          <a:avLst/>
        </a:prstGeom>
      </xdr:spPr>
    </xdr:pic>
    <xdr:clientData/>
  </xdr:twoCellAnchor>
  <xdr:twoCellAnchor editAs="oneCell">
    <xdr:from>
      <xdr:col>19</xdr:col>
      <xdr:colOff>556238</xdr:colOff>
      <xdr:row>4</xdr:row>
      <xdr:rowOff>96144</xdr:rowOff>
    </xdr:from>
    <xdr:to>
      <xdr:col>20</xdr:col>
      <xdr:colOff>704035</xdr:colOff>
      <xdr:row>8</xdr:row>
      <xdr:rowOff>64714</xdr:rowOff>
    </xdr:to>
    <xdr:pic>
      <xdr:nvPicPr>
        <xdr:cNvPr id="28" name="Graphic 27" descr="Upward trend with solid fill">
          <a:extLst>
            <a:ext uri="{FF2B5EF4-FFF2-40B4-BE49-F238E27FC236}">
              <a16:creationId xmlns:a16="http://schemas.microsoft.com/office/drawing/2014/main" id="{C985B681-D87D-45E1-AEE6-591A1B588714}"/>
            </a:ext>
          </a:extLst>
        </xdr:cNvPr>
        <xdr:cNvPicPr>
          <a:picLocks noChangeAspect="1"/>
        </xdr:cNvPicPr>
      </xdr:nvPicPr>
      <xdr:blipFill>
        <a:blip xmlns:r="http://schemas.openxmlformats.org/officeDocument/2006/relationships" r:embed="rId8">
          <a:duotone>
            <a:schemeClr val="accent6">
              <a:shade val="45000"/>
              <a:satMod val="135000"/>
            </a:schemeClr>
            <a:prstClr val="white"/>
          </a:duotone>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034238" y="893863"/>
          <a:ext cx="909797" cy="825820"/>
        </a:xfrm>
        <a:prstGeom prst="rect">
          <a:avLst/>
        </a:prstGeom>
      </xdr:spPr>
    </xdr:pic>
    <xdr:clientData/>
  </xdr:twoCellAnchor>
  <xdr:twoCellAnchor editAs="oneCell">
    <xdr:from>
      <xdr:col>23</xdr:col>
      <xdr:colOff>574726</xdr:colOff>
      <xdr:row>4</xdr:row>
      <xdr:rowOff>117088</xdr:rowOff>
    </xdr:from>
    <xdr:to>
      <xdr:col>24</xdr:col>
      <xdr:colOff>377478</xdr:colOff>
      <xdr:row>8</xdr:row>
      <xdr:rowOff>59530</xdr:rowOff>
    </xdr:to>
    <xdr:pic>
      <xdr:nvPicPr>
        <xdr:cNvPr id="30" name="Graphic 29" descr="Trophy with solid fill">
          <a:extLst>
            <a:ext uri="{FF2B5EF4-FFF2-40B4-BE49-F238E27FC236}">
              <a16:creationId xmlns:a16="http://schemas.microsoft.com/office/drawing/2014/main" id="{6CC7B5CD-6296-4A21-AE7B-45B207476708}"/>
            </a:ext>
          </a:extLst>
        </xdr:cNvPr>
        <xdr:cNvPicPr>
          <a:picLocks noChangeAspect="1"/>
        </xdr:cNvPicPr>
      </xdr:nvPicPr>
      <xdr:blipFill>
        <a:blip xmlns:r="http://schemas.openxmlformats.org/officeDocument/2006/relationships" r:embed="rId10">
          <a:duotone>
            <a:schemeClr val="accent4">
              <a:shade val="45000"/>
              <a:satMod val="135000"/>
            </a:schemeClr>
            <a:prstClr val="white"/>
          </a:duotone>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8100726" y="914807"/>
          <a:ext cx="564752" cy="799692"/>
        </a:xfrm>
        <a:prstGeom prst="rect">
          <a:avLst/>
        </a:prstGeom>
      </xdr:spPr>
    </xdr:pic>
    <xdr:clientData/>
  </xdr:twoCellAnchor>
  <xdr:twoCellAnchor>
    <xdr:from>
      <xdr:col>11</xdr:col>
      <xdr:colOff>666751</xdr:colOff>
      <xdr:row>9</xdr:row>
      <xdr:rowOff>59531</xdr:rowOff>
    </xdr:from>
    <xdr:to>
      <xdr:col>18</xdr:col>
      <xdr:colOff>142875</xdr:colOff>
      <xdr:row>35</xdr:row>
      <xdr:rowOff>59531</xdr:rowOff>
    </xdr:to>
    <xdr:graphicFrame macro="">
      <xdr:nvGraphicFramePr>
        <xdr:cNvPr id="17" name="Chart 16">
          <a:extLst>
            <a:ext uri="{FF2B5EF4-FFF2-40B4-BE49-F238E27FC236}">
              <a16:creationId xmlns:a16="http://schemas.microsoft.com/office/drawing/2014/main" id="{4D99A488-8AF2-42CC-A1E2-E0DC2BE76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202406</xdr:colOff>
      <xdr:row>9</xdr:row>
      <xdr:rowOff>59531</xdr:rowOff>
    </xdr:from>
    <xdr:to>
      <xdr:col>24</xdr:col>
      <xdr:colOff>452437</xdr:colOff>
      <xdr:row>35</xdr:row>
      <xdr:rowOff>83343</xdr:rowOff>
    </xdr:to>
    <xdr:graphicFrame macro="">
      <xdr:nvGraphicFramePr>
        <xdr:cNvPr id="19" name="Chart 18">
          <a:extLst>
            <a:ext uri="{FF2B5EF4-FFF2-40B4-BE49-F238E27FC236}">
              <a16:creationId xmlns:a16="http://schemas.microsoft.com/office/drawing/2014/main" id="{6457D20E-EFED-4E3C-BB8C-51EB532FB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747311</xdr:colOff>
      <xdr:row>9</xdr:row>
      <xdr:rowOff>41388</xdr:rowOff>
    </xdr:from>
    <xdr:to>
      <xdr:col>11</xdr:col>
      <xdr:colOff>631031</xdr:colOff>
      <xdr:row>21</xdr:row>
      <xdr:rowOff>47625</xdr:rowOff>
    </xdr:to>
    <xdr:graphicFrame macro="">
      <xdr:nvGraphicFramePr>
        <xdr:cNvPr id="20" name="Chart 19">
          <a:extLst>
            <a:ext uri="{FF2B5EF4-FFF2-40B4-BE49-F238E27FC236}">
              <a16:creationId xmlns:a16="http://schemas.microsoft.com/office/drawing/2014/main" id="{1165295B-ABF6-4CB2-914A-8AF85BCD7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0</xdr:col>
      <xdr:colOff>11907</xdr:colOff>
      <xdr:row>0</xdr:row>
      <xdr:rowOff>0</xdr:rowOff>
    </xdr:from>
    <xdr:ext cx="2190750" cy="1083469"/>
    <xdr:sp macro="" textlink="">
      <xdr:nvSpPr>
        <xdr:cNvPr id="4" name="TextBox 3">
          <a:extLst>
            <a:ext uri="{FF2B5EF4-FFF2-40B4-BE49-F238E27FC236}">
              <a16:creationId xmlns:a16="http://schemas.microsoft.com/office/drawing/2014/main" id="{606554E0-27B7-430B-AF84-2BD941FAFB40}"/>
            </a:ext>
          </a:extLst>
        </xdr:cNvPr>
        <xdr:cNvSpPr txBox="1"/>
      </xdr:nvSpPr>
      <xdr:spPr>
        <a:xfrm>
          <a:off x="11907" y="0"/>
          <a:ext cx="2190750" cy="1083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8000">
              <a:solidFill>
                <a:schemeClr val="accent1">
                  <a:lumMod val="50000"/>
                </a:schemeClr>
              </a:solidFill>
            </a:rPr>
            <a:t>H</a:t>
          </a:r>
          <a:r>
            <a:rPr lang="en-GB" sz="8000">
              <a:solidFill>
                <a:schemeClr val="accent2"/>
              </a:solidFill>
            </a:rPr>
            <a:t>R</a:t>
          </a:r>
          <a:r>
            <a:rPr lang="en-GB" sz="8000">
              <a:solidFill>
                <a:schemeClr val="accent1">
                  <a:lumMod val="50000"/>
                </a:schemeClr>
              </a:solidFill>
            </a:rPr>
            <a:t>C</a:t>
          </a:r>
        </a:p>
      </xdr:txBody>
    </xdr:sp>
    <xdr:clientData/>
  </xdr:oneCellAnchor>
  <xdr:oneCellAnchor>
    <xdr:from>
      <xdr:col>0</xdr:col>
      <xdr:colOff>0</xdr:colOff>
      <xdr:row>5</xdr:row>
      <xdr:rowOff>35720</xdr:rowOff>
    </xdr:from>
    <xdr:ext cx="2403929" cy="250030"/>
    <xdr:sp macro="" textlink="">
      <xdr:nvSpPr>
        <xdr:cNvPr id="14" name="TextBox 13">
          <a:extLst>
            <a:ext uri="{FF2B5EF4-FFF2-40B4-BE49-F238E27FC236}">
              <a16:creationId xmlns:a16="http://schemas.microsoft.com/office/drawing/2014/main" id="{58051CFC-3927-4131-9601-79D8DC3C9E27}"/>
            </a:ext>
          </a:extLst>
        </xdr:cNvPr>
        <xdr:cNvSpPr txBox="1"/>
      </xdr:nvSpPr>
      <xdr:spPr>
        <a:xfrm>
          <a:off x="0" y="1035845"/>
          <a:ext cx="2403929" cy="250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accent1">
                  <a:lumMod val="50000"/>
                </a:schemeClr>
              </a:solidFill>
              <a:effectLst/>
              <a:latin typeface="Arial Narrow" panose="020B0606020202030204" pitchFamily="34" charset="0"/>
              <a:ea typeface="+mn-ea"/>
              <a:cs typeface="+mn-cs"/>
            </a:rPr>
            <a:t>   </a:t>
          </a:r>
          <a:r>
            <a:rPr lang="en-GB" sz="1200" b="1">
              <a:solidFill>
                <a:schemeClr val="accent1">
                  <a:lumMod val="50000"/>
                </a:schemeClr>
              </a:solidFill>
              <a:effectLst/>
              <a:latin typeface="Arial Narrow" panose="020B0606020202030204" pitchFamily="34" charset="0"/>
              <a:ea typeface="+mn-ea"/>
              <a:cs typeface="+mn-cs"/>
            </a:rPr>
            <a:t>HUMAN</a:t>
          </a:r>
          <a:r>
            <a:rPr lang="en-GB" sz="1200" b="1" baseline="0">
              <a:solidFill>
                <a:schemeClr val="accent1">
                  <a:lumMod val="50000"/>
                </a:schemeClr>
              </a:solidFill>
              <a:effectLst/>
              <a:latin typeface="Arial Narrow" panose="020B0606020202030204" pitchFamily="34" charset="0"/>
              <a:ea typeface="+mn-ea"/>
              <a:cs typeface="+mn-cs"/>
            </a:rPr>
            <a:t> RESOURCES COMPANY</a:t>
          </a:r>
          <a:endParaRPr lang="en-GB" sz="1200">
            <a:solidFill>
              <a:schemeClr val="accent1">
                <a:lumMod val="50000"/>
              </a:schemeClr>
            </a:solidFill>
            <a:effectLst/>
            <a:latin typeface="Arial Narrow" panose="020B0606020202030204" pitchFamily="34" charset="0"/>
          </a:endParaRPr>
        </a:p>
        <a:p>
          <a:endParaRPr lang="en-GB" sz="1100"/>
        </a:p>
      </xdr:txBody>
    </xdr:sp>
    <xdr:clientData/>
  </xdr:oneCellAnchor>
  <xdr:twoCellAnchor>
    <xdr:from>
      <xdr:col>0</xdr:col>
      <xdr:colOff>68037</xdr:colOff>
      <xdr:row>13</xdr:row>
      <xdr:rowOff>154781</xdr:rowOff>
    </xdr:from>
    <xdr:to>
      <xdr:col>2</xdr:col>
      <xdr:colOff>702469</xdr:colOff>
      <xdr:row>35</xdr:row>
      <xdr:rowOff>59531</xdr:rowOff>
    </xdr:to>
    <xdr:sp macro="" textlink="">
      <xdr:nvSpPr>
        <xdr:cNvPr id="15" name="Rectangle 14">
          <a:extLst>
            <a:ext uri="{FF2B5EF4-FFF2-40B4-BE49-F238E27FC236}">
              <a16:creationId xmlns:a16="http://schemas.microsoft.com/office/drawing/2014/main" id="{FEDA3380-B204-4B10-931C-5A3E1D7BCCE7}"/>
            </a:ext>
          </a:extLst>
        </xdr:cNvPr>
        <xdr:cNvSpPr/>
      </xdr:nvSpPr>
      <xdr:spPr>
        <a:xfrm>
          <a:off x="68037" y="2774156"/>
          <a:ext cx="2158432" cy="4357688"/>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0</xdr:col>
      <xdr:colOff>78240</xdr:colOff>
      <xdr:row>13</xdr:row>
      <xdr:rowOff>193902</xdr:rowOff>
    </xdr:from>
    <xdr:to>
      <xdr:col>2</xdr:col>
      <xdr:colOff>679222</xdr:colOff>
      <xdr:row>15</xdr:row>
      <xdr:rowOff>159881</xdr:rowOff>
    </xdr:to>
    <xdr:sp macro="" textlink="">
      <xdr:nvSpPr>
        <xdr:cNvPr id="24" name="Rectangle 23">
          <a:extLst>
            <a:ext uri="{FF2B5EF4-FFF2-40B4-BE49-F238E27FC236}">
              <a16:creationId xmlns:a16="http://schemas.microsoft.com/office/drawing/2014/main" id="{349B40B6-41D9-44E3-954A-C4DEA4E17DA8}"/>
            </a:ext>
          </a:extLst>
        </xdr:cNvPr>
        <xdr:cNvSpPr/>
      </xdr:nvSpPr>
      <xdr:spPr>
        <a:xfrm>
          <a:off x="78240" y="2813277"/>
          <a:ext cx="2124982" cy="3707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tx1">
                  <a:lumMod val="95000"/>
                  <a:lumOff val="5000"/>
                </a:schemeClr>
              </a:solidFill>
              <a:latin typeface="Arial Narrow" panose="020B0606020202030204" pitchFamily="34" charset="0"/>
            </a:rPr>
            <a:t>           FILTER PANE </a:t>
          </a:r>
          <a:r>
            <a:rPr lang="en-GB" sz="1100">
              <a:latin typeface="Arial Narrow" panose="020B0606020202030204" pitchFamily="34" charset="0"/>
            </a:rPr>
            <a:t>	</a:t>
          </a:r>
        </a:p>
      </xdr:txBody>
    </xdr:sp>
    <xdr:clientData/>
  </xdr:twoCellAnchor>
  <xdr:twoCellAnchor>
    <xdr:from>
      <xdr:col>2</xdr:col>
      <xdr:colOff>761999</xdr:colOff>
      <xdr:row>21</xdr:row>
      <xdr:rowOff>107156</xdr:rowOff>
    </xdr:from>
    <xdr:to>
      <xdr:col>11</xdr:col>
      <xdr:colOff>619124</xdr:colOff>
      <xdr:row>35</xdr:row>
      <xdr:rowOff>47624</xdr:rowOff>
    </xdr:to>
    <xdr:graphicFrame macro="">
      <xdr:nvGraphicFramePr>
        <xdr:cNvPr id="31" name="Chart 30">
          <a:extLst>
            <a:ext uri="{FF2B5EF4-FFF2-40B4-BE49-F238E27FC236}">
              <a16:creationId xmlns:a16="http://schemas.microsoft.com/office/drawing/2014/main" id="{056B0027-4461-4F2D-BE62-B6C84CB3C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142875</xdr:colOff>
      <xdr:row>15</xdr:row>
      <xdr:rowOff>35719</xdr:rowOff>
    </xdr:from>
    <xdr:to>
      <xdr:col>2</xdr:col>
      <xdr:colOff>619125</xdr:colOff>
      <xdr:row>19</xdr:row>
      <xdr:rowOff>4903</xdr:rowOff>
    </xdr:to>
    <mc:AlternateContent xmlns:mc="http://schemas.openxmlformats.org/markup-compatibility/2006" xmlns:sle15="http://schemas.microsoft.com/office/drawing/2012/slicer">
      <mc:Choice Requires="sle15">
        <xdr:graphicFrame macro="">
          <xdr:nvGraphicFramePr>
            <xdr:cNvPr id="29" name="PerfScoreID 1">
              <a:extLst>
                <a:ext uri="{FF2B5EF4-FFF2-40B4-BE49-F238E27FC236}">
                  <a16:creationId xmlns:a16="http://schemas.microsoft.com/office/drawing/2014/main" id="{972EE612-F1F5-46F0-A3ED-E1186B1142AF}"/>
                </a:ext>
              </a:extLst>
            </xdr:cNvPr>
            <xdr:cNvGraphicFramePr/>
          </xdr:nvGraphicFramePr>
          <xdr:xfrm>
            <a:off x="0" y="0"/>
            <a:ext cx="0" cy="0"/>
          </xdr:xfrm>
          <a:graphic>
            <a:graphicData uri="http://schemas.microsoft.com/office/drawing/2010/slicer">
              <sle:slicer xmlns:sle="http://schemas.microsoft.com/office/drawing/2010/slicer" name="PerfScoreID 1"/>
            </a:graphicData>
          </a:graphic>
        </xdr:graphicFrame>
      </mc:Choice>
      <mc:Fallback xmlns="">
        <xdr:sp macro="" textlink="">
          <xdr:nvSpPr>
            <xdr:cNvPr id="0" name=""/>
            <xdr:cNvSpPr>
              <a:spLocks noTextEdit="1"/>
            </xdr:cNvSpPr>
          </xdr:nvSpPr>
          <xdr:spPr>
            <a:xfrm>
              <a:off x="142875" y="3226594"/>
              <a:ext cx="2000250" cy="8264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154781</xdr:colOff>
      <xdr:row>20</xdr:row>
      <xdr:rowOff>59532</xdr:rowOff>
    </xdr:from>
    <xdr:to>
      <xdr:col>2</xdr:col>
      <xdr:colOff>619125</xdr:colOff>
      <xdr:row>24</xdr:row>
      <xdr:rowOff>59532</xdr:rowOff>
    </xdr:to>
    <mc:AlternateContent xmlns:mc="http://schemas.openxmlformats.org/markup-compatibility/2006" xmlns:a14="http://schemas.microsoft.com/office/drawing/2010/main">
      <mc:Choice Requires="a14">
        <xdr:graphicFrame macro="">
          <xdr:nvGraphicFramePr>
            <xdr:cNvPr id="33" name="Hire_Year">
              <a:extLst>
                <a:ext uri="{FF2B5EF4-FFF2-40B4-BE49-F238E27FC236}">
                  <a16:creationId xmlns:a16="http://schemas.microsoft.com/office/drawing/2014/main" id="{63B681B3-48EC-4FCF-BA6D-C12148C72F71}"/>
                </a:ext>
              </a:extLst>
            </xdr:cNvPr>
            <xdr:cNvGraphicFramePr/>
          </xdr:nvGraphicFramePr>
          <xdr:xfrm>
            <a:off x="0" y="0"/>
            <a:ext cx="0" cy="0"/>
          </xdr:xfrm>
          <a:graphic>
            <a:graphicData uri="http://schemas.microsoft.com/office/drawing/2010/slicer">
              <sle:slicer xmlns:sle="http://schemas.microsoft.com/office/drawing/2010/slicer" name="Hire_Year"/>
            </a:graphicData>
          </a:graphic>
        </xdr:graphicFrame>
      </mc:Choice>
      <mc:Fallback xmlns="">
        <xdr:sp macro="" textlink="">
          <xdr:nvSpPr>
            <xdr:cNvPr id="0" name=""/>
            <xdr:cNvSpPr>
              <a:spLocks noTextEdit="1"/>
            </xdr:cNvSpPr>
          </xdr:nvSpPr>
          <xdr:spPr>
            <a:xfrm>
              <a:off x="154781" y="4321970"/>
              <a:ext cx="1988344" cy="857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163287</xdr:colOff>
      <xdr:row>24</xdr:row>
      <xdr:rowOff>190500</xdr:rowOff>
    </xdr:from>
    <xdr:to>
      <xdr:col>2</xdr:col>
      <xdr:colOff>607219</xdr:colOff>
      <xdr:row>28</xdr:row>
      <xdr:rowOff>76200</xdr:rowOff>
    </xdr:to>
    <mc:AlternateContent xmlns:mc="http://schemas.openxmlformats.org/markup-compatibility/2006" xmlns:a14="http://schemas.microsoft.com/office/drawing/2010/main">
      <mc:Choice Requires="a14">
        <xdr:graphicFrame macro="">
          <xdr:nvGraphicFramePr>
            <xdr:cNvPr id="35" name="Salary">
              <a:extLst>
                <a:ext uri="{FF2B5EF4-FFF2-40B4-BE49-F238E27FC236}">
                  <a16:creationId xmlns:a16="http://schemas.microsoft.com/office/drawing/2014/main" id="{457C2589-7E3F-4712-8890-FBB5789D6457}"/>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163287" y="5310188"/>
              <a:ext cx="1967932" cy="742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175194</xdr:colOff>
      <xdr:row>29</xdr:row>
      <xdr:rowOff>11905</xdr:rowOff>
    </xdr:from>
    <xdr:to>
      <xdr:col>2</xdr:col>
      <xdr:colOff>595312</xdr:colOff>
      <xdr:row>32</xdr:row>
      <xdr:rowOff>178593</xdr:rowOff>
    </xdr:to>
    <mc:AlternateContent xmlns:mc="http://schemas.openxmlformats.org/markup-compatibility/2006" xmlns:a14="http://schemas.microsoft.com/office/drawing/2010/main">
      <mc:Choice Requires="a14">
        <xdr:graphicFrame macro="">
          <xdr:nvGraphicFramePr>
            <xdr:cNvPr id="37" name="Department 1">
              <a:extLst>
                <a:ext uri="{FF2B5EF4-FFF2-40B4-BE49-F238E27FC236}">
                  <a16:creationId xmlns:a16="http://schemas.microsoft.com/office/drawing/2014/main" id="{4CBED8DE-CFD4-47D4-949D-402A779D59F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5194" y="6203155"/>
              <a:ext cx="1944118" cy="809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38100</xdr:rowOff>
    </xdr:from>
    <xdr:to>
      <xdr:col>2</xdr:col>
      <xdr:colOff>514350</xdr:colOff>
      <xdr:row>5</xdr:row>
      <xdr:rowOff>161925</xdr:rowOff>
    </xdr:to>
    <xdr:sp macro="" textlink="">
      <xdr:nvSpPr>
        <xdr:cNvPr id="2" name="Rectangle: Rounded Corners 1">
          <a:extLst>
            <a:ext uri="{FF2B5EF4-FFF2-40B4-BE49-F238E27FC236}">
              <a16:creationId xmlns:a16="http://schemas.microsoft.com/office/drawing/2014/main" id="{34EFC2CE-0670-4B93-BB87-E3B19AA74877}"/>
            </a:ext>
          </a:extLst>
        </xdr:cNvPr>
        <xdr:cNvSpPr/>
      </xdr:nvSpPr>
      <xdr:spPr>
        <a:xfrm>
          <a:off x="0" y="38100"/>
          <a:ext cx="2038350" cy="9525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600" b="1" i="0">
              <a:solidFill>
                <a:schemeClr val="accent1">
                  <a:lumMod val="50000"/>
                </a:schemeClr>
              </a:solidFill>
              <a:effectLst/>
              <a:latin typeface="+mn-lt"/>
              <a:ea typeface="+mn-ea"/>
              <a:cs typeface="+mn-cs"/>
            </a:rPr>
            <a:t>Total </a:t>
          </a:r>
          <a:r>
            <a:rPr lang="en-GB" sz="1400" b="1">
              <a:solidFill>
                <a:schemeClr val="accent1">
                  <a:lumMod val="50000"/>
                </a:schemeClr>
              </a:solidFill>
              <a:effectLst/>
              <a:latin typeface="+mn-lt"/>
              <a:ea typeface="+mn-ea"/>
              <a:cs typeface="+mn-cs"/>
            </a:rPr>
            <a:t>Terminations</a:t>
          </a:r>
          <a:endParaRPr lang="en-GB" sz="2800" b="1" i="0">
            <a:solidFill>
              <a:schemeClr val="accent1">
                <a:lumMod val="50000"/>
              </a:schemeClr>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2400" b="1" i="0" u="none" strike="noStrike" baseline="0">
              <a:solidFill>
                <a:schemeClr val="accent1">
                  <a:lumMod val="50000"/>
                </a:schemeClr>
              </a:solidFill>
              <a:effectLst/>
              <a:latin typeface="+mn-lt"/>
              <a:ea typeface="+mn-ea"/>
              <a:cs typeface="+mn-cs"/>
            </a:rPr>
            <a:t>   104</a:t>
          </a:r>
          <a:endParaRPr lang="en-GB" sz="2400">
            <a:solidFill>
              <a:schemeClr val="tx2">
                <a:lumMod val="50000"/>
              </a:schemeClr>
            </a:solidFill>
          </a:endParaRPr>
        </a:p>
      </xdr:txBody>
    </xdr:sp>
    <xdr:clientData/>
  </xdr:twoCellAnchor>
  <xdr:twoCellAnchor>
    <xdr:from>
      <xdr:col>0</xdr:col>
      <xdr:colOff>0</xdr:colOff>
      <xdr:row>5</xdr:row>
      <xdr:rowOff>180974</xdr:rowOff>
    </xdr:from>
    <xdr:to>
      <xdr:col>2</xdr:col>
      <xdr:colOff>542923</xdr:colOff>
      <xdr:row>10</xdr:row>
      <xdr:rowOff>123824</xdr:rowOff>
    </xdr:to>
    <xdr:sp macro="" textlink="">
      <xdr:nvSpPr>
        <xdr:cNvPr id="3" name="Rectangle: Rounded Corners 2">
          <a:extLst>
            <a:ext uri="{FF2B5EF4-FFF2-40B4-BE49-F238E27FC236}">
              <a16:creationId xmlns:a16="http://schemas.microsoft.com/office/drawing/2014/main" id="{7FA2BEDD-CD3D-43B5-8BF3-E9D3F152BCFA}"/>
            </a:ext>
          </a:extLst>
        </xdr:cNvPr>
        <xdr:cNvSpPr/>
      </xdr:nvSpPr>
      <xdr:spPr>
        <a:xfrm>
          <a:off x="0" y="1009649"/>
          <a:ext cx="2066923" cy="9429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800" b="1">
              <a:solidFill>
                <a:schemeClr val="accent1">
                  <a:lumMod val="50000"/>
                </a:schemeClr>
              </a:solidFill>
              <a:effectLst/>
              <a:latin typeface="+mn-lt"/>
              <a:ea typeface="+mn-ea"/>
              <a:cs typeface="+mn-cs"/>
            </a:rPr>
            <a:t>Retention Rate</a:t>
          </a:r>
        </a:p>
        <a:p>
          <a:pPr marL="0" marR="0" lvl="0" indent="0" algn="l" defTabSz="914400" eaLnBrk="1" fontAlgn="auto" latinLnBrk="0" hangingPunct="1">
            <a:lnSpc>
              <a:spcPct val="100000"/>
            </a:lnSpc>
            <a:spcBef>
              <a:spcPts val="0"/>
            </a:spcBef>
            <a:spcAft>
              <a:spcPts val="0"/>
            </a:spcAft>
            <a:buClrTx/>
            <a:buSzTx/>
            <a:buFontTx/>
            <a:buNone/>
            <a:tabLst/>
            <a:defRPr/>
          </a:pPr>
          <a:r>
            <a:rPr lang="en-GB" sz="1600" b="1" i="0" u="none" strike="noStrike" baseline="0">
              <a:solidFill>
                <a:schemeClr val="accent1">
                  <a:lumMod val="50000"/>
                </a:schemeClr>
              </a:solidFill>
              <a:effectLst/>
              <a:latin typeface="+mn-lt"/>
              <a:ea typeface="+mn-ea"/>
              <a:cs typeface="+mn-cs"/>
            </a:rPr>
            <a:t>  </a:t>
          </a:r>
          <a:r>
            <a:rPr lang="en-GB" sz="2000" b="1" i="0" u="none" strike="noStrike">
              <a:solidFill>
                <a:schemeClr val="accent1">
                  <a:lumMod val="50000"/>
                </a:schemeClr>
              </a:solidFill>
              <a:effectLst/>
              <a:latin typeface="+mn-lt"/>
              <a:ea typeface="+mn-ea"/>
              <a:cs typeface="+mn-cs"/>
            </a:rPr>
            <a:t>32.32</a:t>
          </a:r>
          <a:endParaRPr lang="en-GB" sz="3600" b="1">
            <a:solidFill>
              <a:schemeClr val="accent1">
                <a:lumMod val="50000"/>
              </a:schemeClr>
            </a:solidFill>
          </a:endParaRPr>
        </a:p>
      </xdr:txBody>
    </xdr:sp>
    <xdr:clientData/>
  </xdr:twoCellAnchor>
  <xdr:twoCellAnchor>
    <xdr:from>
      <xdr:col>0</xdr:col>
      <xdr:colOff>0</xdr:colOff>
      <xdr:row>10</xdr:row>
      <xdr:rowOff>161922</xdr:rowOff>
    </xdr:from>
    <xdr:to>
      <xdr:col>2</xdr:col>
      <xdr:colOff>533400</xdr:colOff>
      <xdr:row>15</xdr:row>
      <xdr:rowOff>104775</xdr:rowOff>
    </xdr:to>
    <xdr:sp macro="" textlink="">
      <xdr:nvSpPr>
        <xdr:cNvPr id="4" name="Rectangle: Rounded Corners 3">
          <a:extLst>
            <a:ext uri="{FF2B5EF4-FFF2-40B4-BE49-F238E27FC236}">
              <a16:creationId xmlns:a16="http://schemas.microsoft.com/office/drawing/2014/main" id="{F8D18521-5075-44B0-A46B-158CDD70B226}"/>
            </a:ext>
          </a:extLst>
        </xdr:cNvPr>
        <xdr:cNvSpPr/>
      </xdr:nvSpPr>
      <xdr:spPr>
        <a:xfrm>
          <a:off x="0" y="1990722"/>
          <a:ext cx="2057400" cy="95250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GB" sz="1400" b="1">
              <a:solidFill>
                <a:schemeClr val="accent1">
                  <a:lumMod val="50000"/>
                </a:schemeClr>
              </a:solidFill>
              <a:effectLst/>
              <a:latin typeface="+mn-lt"/>
              <a:ea typeface="+mn-ea"/>
              <a:cs typeface="+mn-cs"/>
            </a:rPr>
            <a:t>High Risk Employees</a:t>
          </a:r>
          <a:endParaRPr lang="en-GB" sz="1400">
            <a:solidFill>
              <a:schemeClr val="accent1">
                <a:lumMod val="50000"/>
              </a:schemeClr>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3600" b="1" i="0" u="none" strike="noStrike" baseline="0">
              <a:solidFill>
                <a:schemeClr val="accent1">
                  <a:lumMod val="50000"/>
                </a:schemeClr>
              </a:solidFill>
              <a:effectLst/>
              <a:latin typeface="+mn-lt"/>
              <a:ea typeface="+mn-ea"/>
              <a:cs typeface="+mn-cs"/>
            </a:rPr>
            <a:t>  </a:t>
          </a:r>
          <a:r>
            <a:rPr lang="en-GB" sz="2400" b="1" i="0" u="none" strike="noStrike">
              <a:solidFill>
                <a:schemeClr val="accent1">
                  <a:lumMod val="50000"/>
                </a:schemeClr>
              </a:solidFill>
              <a:effectLst/>
              <a:latin typeface="+mn-lt"/>
              <a:ea typeface="+mn-ea"/>
              <a:cs typeface="+mn-cs"/>
            </a:rPr>
            <a:t>31</a:t>
          </a:r>
          <a:endParaRPr lang="en-GB" sz="2400">
            <a:solidFill>
              <a:schemeClr val="tx2">
                <a:lumMod val="50000"/>
              </a:schemeClr>
            </a:solidFill>
          </a:endParaRPr>
        </a:p>
      </xdr:txBody>
    </xdr:sp>
    <xdr:clientData/>
  </xdr:twoCellAnchor>
  <xdr:twoCellAnchor>
    <xdr:from>
      <xdr:col>12</xdr:col>
      <xdr:colOff>371475</xdr:colOff>
      <xdr:row>4</xdr:row>
      <xdr:rowOff>0</xdr:rowOff>
    </xdr:from>
    <xdr:to>
      <xdr:col>17</xdr:col>
      <xdr:colOff>752475</xdr:colOff>
      <xdr:row>27</xdr:row>
      <xdr:rowOff>28575</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456D79B-5C20-45EA-8D11-44C80193A1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725150" y="628650"/>
              <a:ext cx="4191000" cy="46386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47624</xdr:colOff>
      <xdr:row>13</xdr:row>
      <xdr:rowOff>47625</xdr:rowOff>
    </xdr:from>
    <xdr:to>
      <xdr:col>12</xdr:col>
      <xdr:colOff>323849</xdr:colOff>
      <xdr:row>27</xdr:row>
      <xdr:rowOff>19050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B2C670BD-3F8E-4861-8F68-85EFC43CDB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91299" y="2486025"/>
              <a:ext cx="4086225" cy="27717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619125</xdr:colOff>
      <xdr:row>0</xdr:row>
      <xdr:rowOff>9525</xdr:rowOff>
    </xdr:from>
    <xdr:to>
      <xdr:col>12</xdr:col>
      <xdr:colOff>57150</xdr:colOff>
      <xdr:row>3</xdr:row>
      <xdr:rowOff>19050</xdr:rowOff>
    </xdr:to>
    <xdr:sp macro="" textlink="">
      <xdr:nvSpPr>
        <xdr:cNvPr id="11" name="Rectangle: Rounded Corners 10">
          <a:extLst>
            <a:ext uri="{FF2B5EF4-FFF2-40B4-BE49-F238E27FC236}">
              <a16:creationId xmlns:a16="http://schemas.microsoft.com/office/drawing/2014/main" id="{1E522FCF-B639-48FC-BDB6-0C6A3ABE0921}"/>
            </a:ext>
          </a:extLst>
        </xdr:cNvPr>
        <xdr:cNvSpPr/>
      </xdr:nvSpPr>
      <xdr:spPr>
        <a:xfrm>
          <a:off x="4162425" y="9525"/>
          <a:ext cx="6248400" cy="58102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bg1"/>
              </a:solidFill>
              <a:effectLst/>
              <a:latin typeface="+mn-lt"/>
              <a:ea typeface="+mn-ea"/>
              <a:cs typeface="+mn-cs"/>
            </a:rPr>
            <a:t>                    </a:t>
          </a:r>
          <a:r>
            <a:rPr lang="en-GB" sz="2400" b="1">
              <a:solidFill>
                <a:schemeClr val="bg1"/>
              </a:solidFill>
              <a:effectLst/>
              <a:latin typeface="+mn-lt"/>
              <a:ea typeface="+mn-ea"/>
              <a:cs typeface="+mn-cs"/>
            </a:rPr>
            <a:t>Attrition &amp; Risk Intelligence</a:t>
          </a:r>
          <a:endParaRPr lang="en-GB" sz="1100" b="1">
            <a:solidFill>
              <a:schemeClr val="bg1"/>
            </a:solidFill>
            <a:effectLst/>
            <a:latin typeface="+mn-lt"/>
            <a:ea typeface="+mn-ea"/>
            <a:cs typeface="+mn-cs"/>
          </a:endParaRPr>
        </a:p>
        <a:p>
          <a:pPr algn="l"/>
          <a:endParaRPr lang="en-GB" sz="1100">
            <a:solidFill>
              <a:schemeClr val="bg1"/>
            </a:solidFill>
          </a:endParaRPr>
        </a:p>
      </xdr:txBody>
    </xdr:sp>
    <xdr:clientData/>
  </xdr:twoCellAnchor>
  <xdr:twoCellAnchor>
    <xdr:from>
      <xdr:col>7</xdr:col>
      <xdr:colOff>57150</xdr:colOff>
      <xdr:row>3</xdr:row>
      <xdr:rowOff>47625</xdr:rowOff>
    </xdr:from>
    <xdr:to>
      <xdr:col>12</xdr:col>
      <xdr:colOff>323849</xdr:colOff>
      <xdr:row>13</xdr:row>
      <xdr:rowOff>19050</xdr:rowOff>
    </xdr:to>
    <xdr:graphicFrame macro="">
      <xdr:nvGraphicFramePr>
        <xdr:cNvPr id="14" name="Chart 13">
          <a:extLst>
            <a:ext uri="{FF2B5EF4-FFF2-40B4-BE49-F238E27FC236}">
              <a16:creationId xmlns:a16="http://schemas.microsoft.com/office/drawing/2014/main" id="{DF821B0A-9E43-4B75-917D-4CC503F85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13</xdr:row>
      <xdr:rowOff>47626</xdr:rowOff>
    </xdr:from>
    <xdr:to>
      <xdr:col>7</xdr:col>
      <xdr:colOff>9524</xdr:colOff>
      <xdr:row>27</xdr:row>
      <xdr:rowOff>28576</xdr:rowOff>
    </xdr:to>
    <xdr:graphicFrame macro="">
      <xdr:nvGraphicFramePr>
        <xdr:cNvPr id="15" name="Chart 14">
          <a:extLst>
            <a:ext uri="{FF2B5EF4-FFF2-40B4-BE49-F238E27FC236}">
              <a16:creationId xmlns:a16="http://schemas.microsoft.com/office/drawing/2014/main" id="{732EEFAB-48DF-4BD2-84BC-7ED8FA2F3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20</xdr:row>
      <xdr:rowOff>142875</xdr:rowOff>
    </xdr:from>
    <xdr:to>
      <xdr:col>2</xdr:col>
      <xdr:colOff>495300</xdr:colOff>
      <xdr:row>23</xdr:row>
      <xdr:rowOff>152399</xdr:rowOff>
    </xdr:to>
    <mc:AlternateContent xmlns:mc="http://schemas.openxmlformats.org/markup-compatibility/2006">
      <mc:Choice xmlns:sle15="http://schemas.microsoft.com/office/drawing/2012/slicer" Requires="sle15">
        <xdr:graphicFrame macro="">
          <xdr:nvGraphicFramePr>
            <xdr:cNvPr id="12" name="TermReason">
              <a:extLst>
                <a:ext uri="{FF2B5EF4-FFF2-40B4-BE49-F238E27FC236}">
                  <a16:creationId xmlns:a16="http://schemas.microsoft.com/office/drawing/2014/main" id="{8B28F54E-044D-4F07-BDA8-EA3963AE5BFD}"/>
                </a:ext>
              </a:extLst>
            </xdr:cNvPr>
            <xdr:cNvGraphicFramePr/>
          </xdr:nvGraphicFramePr>
          <xdr:xfrm>
            <a:off x="0" y="0"/>
            <a:ext cx="0" cy="0"/>
          </xdr:xfrm>
          <a:graphic>
            <a:graphicData uri="http://schemas.microsoft.com/office/drawing/2010/slicer">
              <sle:slicer xmlns:sle="http://schemas.microsoft.com/office/drawing/2010/slicer" name="TermReason"/>
            </a:graphicData>
          </a:graphic>
        </xdr:graphicFrame>
      </mc:Choice>
      <mc:Fallback>
        <xdr:sp macro="" textlink="">
          <xdr:nvSpPr>
            <xdr:cNvPr id="0" name=""/>
            <xdr:cNvSpPr>
              <a:spLocks noTextEdit="1"/>
            </xdr:cNvSpPr>
          </xdr:nvSpPr>
          <xdr:spPr>
            <a:xfrm>
              <a:off x="0" y="3981450"/>
              <a:ext cx="2019300" cy="6095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23</xdr:row>
      <xdr:rowOff>161925</xdr:rowOff>
    </xdr:from>
    <xdr:to>
      <xdr:col>2</xdr:col>
      <xdr:colOff>476250</xdr:colOff>
      <xdr:row>26</xdr:row>
      <xdr:rowOff>190500</xdr:rowOff>
    </xdr:to>
    <mc:AlternateContent xmlns:mc="http://schemas.openxmlformats.org/markup-compatibility/2006">
      <mc:Choice xmlns:a14="http://schemas.microsoft.com/office/drawing/2010/main" Requires="a14">
        <xdr:graphicFrame macro="">
          <xdr:nvGraphicFramePr>
            <xdr:cNvPr id="7" name="Department 2">
              <a:extLst>
                <a:ext uri="{FF2B5EF4-FFF2-40B4-BE49-F238E27FC236}">
                  <a16:creationId xmlns:a16="http://schemas.microsoft.com/office/drawing/2014/main" id="{CAE40A64-28EC-425C-B5B5-C4D974918AC8}"/>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0" y="4600575"/>
              <a:ext cx="2000250" cy="628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123825</xdr:rowOff>
    </xdr:from>
    <xdr:to>
      <xdr:col>2</xdr:col>
      <xdr:colOff>542924</xdr:colOff>
      <xdr:row>20</xdr:row>
      <xdr:rowOff>133350</xdr:rowOff>
    </xdr:to>
    <xdr:sp macro="" textlink="">
      <xdr:nvSpPr>
        <xdr:cNvPr id="8" name="Rectangle: Rounded Corners 7">
          <a:extLst>
            <a:ext uri="{FF2B5EF4-FFF2-40B4-BE49-F238E27FC236}">
              <a16:creationId xmlns:a16="http://schemas.microsoft.com/office/drawing/2014/main" id="{362B5A65-014B-46C8-B47B-91278D026E33}"/>
            </a:ext>
          </a:extLst>
        </xdr:cNvPr>
        <xdr:cNvSpPr/>
      </xdr:nvSpPr>
      <xdr:spPr>
        <a:xfrm>
          <a:off x="0" y="2962275"/>
          <a:ext cx="2066924" cy="10096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400" b="1">
              <a:solidFill>
                <a:schemeClr val="accent1">
                  <a:lumMod val="50000"/>
                </a:schemeClr>
              </a:solidFill>
            </a:rPr>
            <a:t>Year</a:t>
          </a:r>
          <a:r>
            <a:rPr lang="en-GB" sz="1400" b="1" baseline="0">
              <a:solidFill>
                <a:schemeClr val="accent1">
                  <a:lumMod val="50000"/>
                </a:schemeClr>
              </a:solidFill>
            </a:rPr>
            <a:t> Retention Rate   </a:t>
          </a:r>
          <a:br>
            <a:rPr lang="en-GB" sz="1100" baseline="0">
              <a:solidFill>
                <a:schemeClr val="accent1">
                  <a:lumMod val="50000"/>
                </a:schemeClr>
              </a:solidFill>
            </a:rPr>
          </a:br>
          <a:r>
            <a:rPr lang="en-GB" sz="1100" baseline="0">
              <a:solidFill>
                <a:schemeClr val="accent1">
                  <a:lumMod val="50000"/>
                </a:schemeClr>
              </a:solidFill>
            </a:rPr>
            <a:t>       </a:t>
          </a:r>
        </a:p>
        <a:p>
          <a:pPr algn="l"/>
          <a:r>
            <a:rPr lang="en-GB" sz="1400" baseline="0">
              <a:solidFill>
                <a:schemeClr val="accent1">
                  <a:lumMod val="50000"/>
                </a:schemeClr>
              </a:solidFill>
            </a:rPr>
            <a:t>  </a:t>
          </a:r>
          <a:r>
            <a:rPr lang="en-GB" sz="2400" b="1" baseline="0">
              <a:solidFill>
                <a:schemeClr val="accent1">
                  <a:lumMod val="50000"/>
                </a:schemeClr>
              </a:solidFill>
            </a:rPr>
            <a:t>0.6438</a:t>
          </a:r>
          <a:endParaRPr lang="en-GB" sz="1400" b="1">
            <a:solidFill>
              <a:schemeClr val="accent1">
                <a:lumMod val="50000"/>
              </a:schemeClr>
            </a:solidFill>
          </a:endParaRPr>
        </a:p>
      </xdr:txBody>
    </xdr:sp>
    <xdr:clientData/>
  </xdr:twoCellAnchor>
  <xdr:twoCellAnchor editAs="oneCell">
    <xdr:from>
      <xdr:col>1</xdr:col>
      <xdr:colOff>504824</xdr:colOff>
      <xdr:row>2</xdr:row>
      <xdr:rowOff>38101</xdr:rowOff>
    </xdr:from>
    <xdr:to>
      <xdr:col>2</xdr:col>
      <xdr:colOff>390525</xdr:colOff>
      <xdr:row>5</xdr:row>
      <xdr:rowOff>66675</xdr:rowOff>
    </xdr:to>
    <xdr:pic>
      <xdr:nvPicPr>
        <xdr:cNvPr id="16" name="Picture 15">
          <a:extLst>
            <a:ext uri="{FF2B5EF4-FFF2-40B4-BE49-F238E27FC236}">
              <a16:creationId xmlns:a16="http://schemas.microsoft.com/office/drawing/2014/main" id="{B8A25B50-2787-41E7-934B-CB256795254E}"/>
            </a:ext>
          </a:extLst>
        </xdr:cNvPr>
        <xdr:cNvPicPr/>
      </xdr:nvPicPr>
      <xdr:blipFill>
        <a:blip xmlns:r="http://schemas.openxmlformats.org/officeDocument/2006/relationships" r:embed="rId5"/>
        <a:stretch>
          <a:fillRect/>
        </a:stretch>
      </xdr:blipFill>
      <xdr:spPr>
        <a:xfrm>
          <a:off x="1266824" y="438151"/>
          <a:ext cx="647701" cy="457199"/>
        </a:xfrm>
        <a:prstGeom prst="rect">
          <a:avLst/>
        </a:prstGeom>
      </xdr:spPr>
    </xdr:pic>
    <xdr:clientData/>
  </xdr:twoCellAnchor>
  <xdr:twoCellAnchor editAs="oneCell">
    <xdr:from>
      <xdr:col>1</xdr:col>
      <xdr:colOff>457200</xdr:colOff>
      <xdr:row>7</xdr:row>
      <xdr:rowOff>133349</xdr:rowOff>
    </xdr:from>
    <xdr:to>
      <xdr:col>2</xdr:col>
      <xdr:colOff>371475</xdr:colOff>
      <xdr:row>10</xdr:row>
      <xdr:rowOff>9525</xdr:rowOff>
    </xdr:to>
    <xdr:pic>
      <xdr:nvPicPr>
        <xdr:cNvPr id="17" name="Picture 16">
          <a:extLst>
            <a:ext uri="{FF2B5EF4-FFF2-40B4-BE49-F238E27FC236}">
              <a16:creationId xmlns:a16="http://schemas.microsoft.com/office/drawing/2014/main" id="{89EF0CF5-5B3A-47D1-868A-A95E3521FA1C}"/>
            </a:ext>
          </a:extLst>
        </xdr:cNvPr>
        <xdr:cNvPicPr/>
      </xdr:nvPicPr>
      <xdr:blipFill>
        <a:blip xmlns:r="http://schemas.openxmlformats.org/officeDocument/2006/relationships" r:embed="rId6"/>
        <a:stretch>
          <a:fillRect/>
        </a:stretch>
      </xdr:blipFill>
      <xdr:spPr>
        <a:xfrm>
          <a:off x="1219200" y="1362074"/>
          <a:ext cx="676275" cy="476251"/>
        </a:xfrm>
        <a:prstGeom prst="rect">
          <a:avLst/>
        </a:prstGeom>
      </xdr:spPr>
    </xdr:pic>
    <xdr:clientData/>
  </xdr:twoCellAnchor>
  <xdr:twoCellAnchor editAs="oneCell">
    <xdr:from>
      <xdr:col>1</xdr:col>
      <xdr:colOff>447674</xdr:colOff>
      <xdr:row>11</xdr:row>
      <xdr:rowOff>142875</xdr:rowOff>
    </xdr:from>
    <xdr:to>
      <xdr:col>2</xdr:col>
      <xdr:colOff>314325</xdr:colOff>
      <xdr:row>15</xdr:row>
      <xdr:rowOff>38100</xdr:rowOff>
    </xdr:to>
    <xdr:pic>
      <xdr:nvPicPr>
        <xdr:cNvPr id="13" name="Picture 12">
          <a:extLst>
            <a:ext uri="{FF2B5EF4-FFF2-40B4-BE49-F238E27FC236}">
              <a16:creationId xmlns:a16="http://schemas.microsoft.com/office/drawing/2014/main" id="{7494E07B-9C8D-42E3-8DD7-14C343074A97}"/>
            </a:ext>
          </a:extLst>
        </xdr:cNvPr>
        <xdr:cNvPicPr>
          <a:picLocks noChangeAspect="1"/>
        </xdr:cNvPicPr>
      </xdr:nvPicPr>
      <xdr:blipFill>
        <a:blip xmlns:r="http://schemas.openxmlformats.org/officeDocument/2006/relationships" r:embed="rId7"/>
        <a:stretch>
          <a:fillRect/>
        </a:stretch>
      </xdr:blipFill>
      <xdr:spPr>
        <a:xfrm>
          <a:off x="1209674" y="2181225"/>
          <a:ext cx="628651" cy="695325"/>
        </a:xfrm>
        <a:prstGeom prst="rect">
          <a:avLst/>
        </a:prstGeom>
      </xdr:spPr>
    </xdr:pic>
    <xdr:clientData/>
  </xdr:twoCellAnchor>
  <xdr:twoCellAnchor editAs="oneCell">
    <xdr:from>
      <xdr:col>1</xdr:col>
      <xdr:colOff>533400</xdr:colOff>
      <xdr:row>17</xdr:row>
      <xdr:rowOff>38100</xdr:rowOff>
    </xdr:from>
    <xdr:to>
      <xdr:col>2</xdr:col>
      <xdr:colOff>342900</xdr:colOff>
      <xdr:row>19</xdr:row>
      <xdr:rowOff>171450</xdr:rowOff>
    </xdr:to>
    <xdr:pic>
      <xdr:nvPicPr>
        <xdr:cNvPr id="18" name="Picture 17">
          <a:extLst>
            <a:ext uri="{FF2B5EF4-FFF2-40B4-BE49-F238E27FC236}">
              <a16:creationId xmlns:a16="http://schemas.microsoft.com/office/drawing/2014/main" id="{4291DF6C-D600-442C-938C-78A99599E471}"/>
            </a:ext>
          </a:extLst>
        </xdr:cNvPr>
        <xdr:cNvPicPr>
          <a:picLocks noChangeAspect="1"/>
        </xdr:cNvPicPr>
      </xdr:nvPicPr>
      <xdr:blipFill>
        <a:blip xmlns:r="http://schemas.openxmlformats.org/officeDocument/2006/relationships" r:embed="rId8"/>
        <a:stretch>
          <a:fillRect/>
        </a:stretch>
      </xdr:blipFill>
      <xdr:spPr>
        <a:xfrm>
          <a:off x="1295400" y="3276600"/>
          <a:ext cx="571500" cy="533400"/>
        </a:xfrm>
        <a:prstGeom prst="rect">
          <a:avLst/>
        </a:prstGeom>
      </xdr:spPr>
    </xdr:pic>
    <xdr:clientData/>
  </xdr:twoCellAnchor>
  <xdr:twoCellAnchor editAs="oneCell">
    <xdr:from>
      <xdr:col>9</xdr:col>
      <xdr:colOff>600075</xdr:colOff>
      <xdr:row>0</xdr:row>
      <xdr:rowOff>0</xdr:rowOff>
    </xdr:from>
    <xdr:to>
      <xdr:col>11</xdr:col>
      <xdr:colOff>47625</xdr:colOff>
      <xdr:row>3</xdr:row>
      <xdr:rowOff>28575</xdr:rowOff>
    </xdr:to>
    <xdr:pic>
      <xdr:nvPicPr>
        <xdr:cNvPr id="20" name="Picture 19">
          <a:extLst>
            <a:ext uri="{FF2B5EF4-FFF2-40B4-BE49-F238E27FC236}">
              <a16:creationId xmlns:a16="http://schemas.microsoft.com/office/drawing/2014/main" id="{99FA2417-F744-4666-B56B-B57E3F021516}"/>
            </a:ext>
          </a:extLst>
        </xdr:cNvPr>
        <xdr:cNvPicPr>
          <a:picLocks noChangeAspect="1"/>
        </xdr:cNvPicPr>
      </xdr:nvPicPr>
      <xdr:blipFill>
        <a:blip xmlns:r="http://schemas.openxmlformats.org/officeDocument/2006/relationships" r:embed="rId9"/>
        <a:stretch>
          <a:fillRect/>
        </a:stretch>
      </xdr:blipFill>
      <xdr:spPr>
        <a:xfrm>
          <a:off x="8667750" y="0"/>
          <a:ext cx="971550"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647700</xdr:colOff>
      <xdr:row>45</xdr:row>
      <xdr:rowOff>19051</xdr:rowOff>
    </xdr:from>
    <xdr:to>
      <xdr:col>8</xdr:col>
      <xdr:colOff>38100</xdr:colOff>
      <xdr:row>47</xdr:row>
      <xdr:rowOff>171451</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D41E0303-8529-406B-BC7A-80E55DE0EC0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19900" y="9020176"/>
              <a:ext cx="1828800" cy="552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1000125</xdr:colOff>
      <xdr:row>79</xdr:row>
      <xdr:rowOff>19050</xdr:rowOff>
    </xdr:from>
    <xdr:to>
      <xdr:col>14</xdr:col>
      <xdr:colOff>123825</xdr:colOff>
      <xdr:row>93</xdr:row>
      <xdr:rowOff>104775</xdr:rowOff>
    </xdr:to>
    <xdr:graphicFrame macro="">
      <xdr:nvGraphicFramePr>
        <xdr:cNvPr id="13" name="Chart 12">
          <a:extLst>
            <a:ext uri="{FF2B5EF4-FFF2-40B4-BE49-F238E27FC236}">
              <a16:creationId xmlns:a16="http://schemas.microsoft.com/office/drawing/2014/main" id="{AF7A6EA3-B338-40EE-B5A4-7A151B989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9.857024074074" createdVersion="7" refreshedVersion="7" minRefreshableVersion="3" recordCount="311" xr:uid="{D1C0DDA2-9DBB-4266-9BE6-2C58D786BB4D}">
  <cacheSource type="worksheet">
    <worksheetSource name="HRDataset_v14[[Employee_Name]:[dept hires count ]]"/>
  </cacheSource>
  <cacheFields count="52">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0">
      <sharedItems containsSemiMixedTypes="0" containsNonDate="0" containsDate="1" containsString="0" minDate="1951-01-02T00:00:00" maxDate="1992-08-18T00:00:00"/>
    </cacheField>
    <cacheField name="Sex" numFmtId="0">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acheField>
    <cacheField name="EmploymentStatus" numFmtId="0">
      <sharedItems/>
    </cacheField>
    <cacheField name="Department" numFmtId="0">
      <sharedItems count="7">
        <s v="Production       +"/>
        <s v="IT/IS"/>
        <s v="Production       "/>
        <s v="Software Engineering"/>
        <s v="Admin Offices"/>
        <s v="Sales"/>
        <s v="Executive Office"/>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acheField>
    <cacheField name="PerformanceScore" numFmtId="0">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0">
      <sharedItems/>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salary outlier (high)" numFmtId="0">
      <sharedItems/>
    </cacheField>
    <cacheField name="Salary outlier (low)" numFmtId="0">
      <sharedItems/>
    </cacheField>
    <cacheField name="Age Calculation_x000a_" numFmtId="0">
      <sharedItems containsSemiMixedTypes="0" containsString="0" containsNumber="1" containsInteger="1" minValue="33" maxValue="75"/>
    </cacheField>
    <cacheField name="Tenure in Years_x000a_" numFmtId="0">
      <sharedItems containsSemiMixedTypes="0" containsString="0" containsNumber="1" containsInteger="1" minValue="7" maxValue="20"/>
    </cacheField>
    <cacheField name="Terminated Employees" numFmtId="0">
      <sharedItems containsSemiMixedTypes="0" containsString="0" containsNumber="1" containsInteger="1" minValue="0" maxValue="20"/>
    </cacheField>
    <cacheField name="Tenure Category" numFmtId="0">
      <sharedItems/>
    </cacheField>
    <cacheField name="age group" numFmtId="0">
      <sharedItems/>
    </cacheField>
    <cacheField name="Salary Band" numFmtId="0">
      <sharedItems/>
    </cacheField>
    <cacheField name="Is_Active Flag" numFmtId="0">
      <sharedItems containsSemiMixedTypes="0" containsString="0" containsNumber="1" containsInteger="1" minValue="0" maxValue="1"/>
    </cacheField>
    <cacheField name="Hire_Year" numFmtId="0">
      <sharedItems containsSemiMixedTypes="0" containsString="0" containsNumber="1" containsInteger="1" minValue="2006" maxValue="2018" count="13">
        <n v="2011"/>
        <n v="2015"/>
        <n v="2008"/>
        <n v="2012"/>
        <n v="2014"/>
        <n v="2013"/>
        <n v="2009"/>
        <n v="2016"/>
        <n v="2010"/>
        <n v="2018"/>
        <n v="2017"/>
        <n v="2007"/>
        <n v="2006"/>
      </sharedItems>
    </cacheField>
    <cacheField name="Hire_Month:" numFmtId="0">
      <sharedItems containsSemiMixedTypes="0" containsString="0" containsNumber="1" containsInteger="1" minValue="1" maxValue="12"/>
    </cacheField>
    <cacheField name="Hire_Quarter" numFmtId="0">
      <sharedItems/>
    </cacheField>
    <cacheField name="Month_Name" numFmtId="0">
      <sharedItems/>
    </cacheField>
    <cacheField name="Year_Month" numFmtId="0">
      <sharedItems/>
    </cacheField>
    <cacheField name="Termination Year" numFmtId="0">
      <sharedItems containsMixedTypes="1" containsNumber="1" containsInteger="1" minValue="2010" maxValue="2018"/>
    </cacheField>
    <cacheField name="dept hires count " numFmtId="0">
      <sharedItems/>
    </cacheField>
  </cacheFields>
  <extLst>
    <ext xmlns:x14="http://schemas.microsoft.com/office/spreadsheetml/2009/9/main" uri="{725AE2AE-9491-48be-B2B4-4EB974FC3084}">
      <x14:pivotCacheDefinition pivotCacheId="18084777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5.006714814815" createdVersion="7" refreshedVersion="7" minRefreshableVersion="3" recordCount="311" xr:uid="{2D56CE55-DC66-4259-9EA7-74E253DD7FD9}">
  <cacheSource type="worksheet">
    <worksheetSource name="HRDataset_v14[[Employee_Name]:[RISK CATEGORY ]]"/>
  </cacheSource>
  <cacheFields count="57">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ount="308">
        <n v="62506"/>
        <n v="104437"/>
        <n v="64955"/>
        <n v="64991"/>
        <n v="50825"/>
        <n v="57568"/>
        <n v="95660"/>
        <n v="59365"/>
        <n v="47837"/>
        <n v="50178"/>
        <n v="54670"/>
        <n v="47211"/>
        <n v="92328"/>
        <n v="58709"/>
        <n v="52505"/>
        <n v="57834"/>
        <n v="70131"/>
        <n v="59026"/>
        <n v="110000"/>
        <n v="53250"/>
        <n v="51044"/>
        <n v="64919"/>
        <n v="62910"/>
        <n v="66441"/>
        <n v="57815"/>
        <n v="103613"/>
        <n v="106367"/>
        <n v="74312"/>
        <n v="53492"/>
        <n v="63000"/>
        <n v="65288"/>
        <n v="64375"/>
        <n v="74326"/>
        <n v="63763"/>
        <n v="62162"/>
        <n v="77692"/>
        <n v="72640"/>
        <n v="93396"/>
        <n v="52846"/>
        <n v="100031"/>
        <n v="71860"/>
        <n v="61656"/>
        <n v="110929"/>
        <n v="54237"/>
        <n v="60380"/>
        <n v="66808"/>
        <n v="64786"/>
        <n v="64816"/>
        <n v="68678"/>
        <n v="64066"/>
        <n v="59369"/>
        <n v="50373"/>
        <n v="63108"/>
        <n v="59144"/>
        <n v="68051"/>
        <n v="170500"/>
        <n v="63381"/>
        <n v="83552"/>
        <n v="56149"/>
        <n v="92329"/>
        <n v="65729"/>
        <n v="85028"/>
        <n v="57583"/>
        <n v="56294"/>
        <n v="56991"/>
        <n v="55722"/>
        <n v="101199"/>
        <n v="61568"/>
        <n v="58275"/>
        <n v="53189"/>
        <n v="96820"/>
        <n v="51259"/>
        <n v="59231"/>
        <n v="61584"/>
        <n v="46335"/>
        <n v="70621"/>
        <n v="138888"/>
        <n v="74241"/>
        <n v="75188"/>
        <n v="62514"/>
        <n v="60070"/>
        <n v="48888"/>
        <n v="54285"/>
        <n v="56847"/>
        <n v="60340"/>
        <n v="59124"/>
        <n v="99280"/>
        <n v="71776"/>
        <n v="65902"/>
        <n v="57748"/>
        <n v="64057"/>
        <n v="53366"/>
        <n v="58530"/>
        <n v="72609"/>
        <n v="55965"/>
        <n v="70187"/>
        <n v="178000"/>
        <n v="99351"/>
        <n v="67251"/>
        <n v="65707"/>
        <n v="52249"/>
        <n v="53171"/>
        <n v="51337"/>
        <n v="51505"/>
        <n v="59370"/>
        <n v="54933"/>
        <n v="61555"/>
        <n v="114800"/>
        <n v="74679"/>
        <n v="53018"/>
        <n v="59892"/>
        <n v="68898"/>
        <n v="61242"/>
        <n v="66825"/>
        <n v="48285"/>
        <n v="66149"/>
        <n v="49256"/>
        <n v="62957"/>
        <n v="63813"/>
        <n v="99020"/>
        <n v="71707"/>
        <n v="54828"/>
        <n v="64246"/>
        <n v="52177"/>
        <n v="62065"/>
        <n v="46998"/>
        <n v="68099"/>
        <n v="70545"/>
        <n v="63478"/>
        <n v="97999"/>
        <n v="180000"/>
        <n v="49920"/>
        <n v="55425"/>
        <n v="69340"/>
        <n v="64995"/>
        <n v="68182"/>
        <n v="83082"/>
        <n v="51908"/>
        <n v="45069"/>
        <n v="60724"/>
        <n v="60436"/>
        <n v="46837"/>
        <n v="105700"/>
        <n v="63322"/>
        <n v="61154"/>
        <n v="68999"/>
        <n v="50482"/>
        <n v="65310"/>
        <n v="250000"/>
        <n v="54005"/>
        <n v="45433"/>
        <n v="46654"/>
        <n v="63973"/>
        <n v="71339"/>
        <n v="93206"/>
        <n v="82758"/>
        <n v="66074"/>
        <n v="46120"/>
        <n v="64520"/>
        <n v="61962"/>
        <n v="81584"/>
        <n v="63676"/>
        <n v="93046"/>
        <n v="64738"/>
        <n v="70468"/>
        <n v="77915"/>
        <n v="52624"/>
        <n v="63450"/>
        <n v="51777"/>
        <n v="67237"/>
        <n v="73330"/>
        <n v="52057"/>
        <n v="47434"/>
        <n v="52788"/>
        <n v="45395"/>
        <n v="62385"/>
        <n v="68407"/>
        <n v="61349"/>
        <n v="105688"/>
        <n v="54132"/>
        <n v="55315"/>
        <n v="62810"/>
        <n v="63291"/>
        <n v="62659"/>
        <n v="55688"/>
        <n v="83667"/>
        <n v="55800"/>
        <n v="58207"/>
        <n v="157000"/>
        <n v="72460"/>
        <n v="72106"/>
        <n v="52599"/>
        <n v="63430"/>
        <n v="74417"/>
        <n v="57575"/>
        <n v="87921"/>
        <n v="50470"/>
        <n v="46664"/>
        <n v="48495"/>
        <n v="52984"/>
        <n v="63695"/>
        <n v="62061"/>
        <n v="66738"/>
        <n v="52674"/>
        <n v="71966"/>
        <n v="63051"/>
        <n v="47414"/>
        <n v="53060"/>
        <n v="68829"/>
        <n v="63515"/>
        <n v="108987"/>
        <n v="93093"/>
        <n v="53564"/>
        <n v="60270"/>
        <n v="45998"/>
        <n v="57954"/>
        <n v="74669"/>
        <n v="74226"/>
        <n v="93554"/>
        <n v="64724"/>
        <n v="47001"/>
        <n v="61844"/>
        <n v="46799"/>
        <n v="59472"/>
        <n v="46430"/>
        <n v="83363"/>
        <n v="95920"/>
        <n v="61729"/>
        <n v="61809"/>
        <n v="45115"/>
        <n v="46738"/>
        <n v="64971"/>
        <n v="55578"/>
        <n v="50428"/>
        <n v="61422"/>
        <n v="63353"/>
        <n v="89883"/>
        <n v="120000"/>
        <n v="150290"/>
        <n v="60627"/>
        <n v="53180"/>
        <n v="140920"/>
        <n v="148999"/>
        <n v="86214"/>
        <n v="47750"/>
        <n v="46428"/>
        <n v="57975"/>
        <n v="88527"/>
        <n v="56147"/>
        <n v="50923"/>
        <n v="50750"/>
        <n v="52087"/>
        <n v="87826"/>
        <n v="51920"/>
        <n v="63878"/>
        <n v="60656"/>
        <n v="72992"/>
        <n v="55000"/>
        <n v="58939"/>
        <n v="66593"/>
        <n v="87565"/>
        <n v="64021"/>
        <n v="65714"/>
        <n v="62425"/>
        <n v="47961"/>
        <n v="58273"/>
        <n v="63003"/>
        <n v="61355"/>
        <n v="60120"/>
        <n v="63682"/>
        <n v="63025"/>
        <n v="59238"/>
        <n v="92989"/>
        <n v="90100"/>
        <n v="60754"/>
        <n v="72202"/>
        <n v="58370"/>
        <n v="48413"/>
        <n v="67176"/>
        <n v="56339"/>
        <n v="64397"/>
        <n v="75281"/>
        <n v="100416"/>
        <n v="74813"/>
        <n v="76029"/>
        <n v="57859"/>
        <n v="58523"/>
        <n v="88976"/>
        <n v="55875"/>
        <n v="113999"/>
        <n v="49773"/>
        <n v="62068"/>
        <n v="66541"/>
        <n v="80512"/>
        <n v="50274"/>
        <n v="84903"/>
        <n v="107226"/>
        <n v="58371"/>
        <n v="55140"/>
        <n v="58062"/>
        <n v="59728"/>
        <n v="70507"/>
        <n v="60446"/>
        <n v="65893"/>
        <n v="48513"/>
        <n v="220450"/>
        <n v="89292"/>
        <n v="45046"/>
      </sharedItems>
      <fieldGroup base="9">
        <rangePr autoStart="0" autoEnd="0" startNum="30000" endNum="120000" groupInterval="10000"/>
        <groupItems count="11">
          <s v="&lt;30000"/>
          <s v="30000-39999"/>
          <s v="40000-49999"/>
          <s v="50000-59999"/>
          <s v="60000-69999"/>
          <s v="70000-79999"/>
          <s v="80000-89999"/>
          <s v="90000-99999"/>
          <s v="100000-109999"/>
          <s v="110000-120000"/>
          <s v="&gt;120000"/>
        </groupItems>
      </fieldGroup>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0">
      <sharedItems containsSemiMixedTypes="0" containsNonDate="0" containsDate="1" containsString="0" minDate="1951-01-02T00:00:00" maxDate="1992-08-18T00:00:00"/>
    </cacheField>
    <cacheField name="Sex" numFmtId="0">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acheField>
    <cacheField name="EmploymentStatus" numFmtId="0">
      <sharedItems/>
    </cacheField>
    <cacheField name="Department" numFmtId="0">
      <sharedItems count="6">
        <s v="Production       "/>
        <s v="IT/IS"/>
        <s v="Software Engineering"/>
        <s v="Admin Offices"/>
        <s v="Sales"/>
        <s v="Executive Office"/>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acheField>
    <cacheField name="PerformanceScore" numFmtId="0">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0">
      <sharedItems/>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salary outlier (high)" numFmtId="0">
      <sharedItems/>
    </cacheField>
    <cacheField name="Salary outlier (low)" numFmtId="0">
      <sharedItems/>
    </cacheField>
    <cacheField name="Age Calculation_x000a_" numFmtId="0">
      <sharedItems containsSemiMixedTypes="0" containsString="0" containsNumber="1" containsInteger="1" minValue="33" maxValue="75"/>
    </cacheField>
    <cacheField name="Tenure in Years_x000a_" numFmtId="0">
      <sharedItems containsSemiMixedTypes="0" containsString="0" containsNumber="1" containsInteger="1" minValue="7" maxValue="20" count="13">
        <n v="14"/>
        <n v="10"/>
        <n v="18"/>
        <n v="11"/>
        <n v="12"/>
        <n v="16"/>
        <n v="15"/>
        <n v="13"/>
        <n v="9"/>
        <n v="17"/>
        <n v="7"/>
        <n v="8"/>
        <n v="20"/>
      </sharedItems>
    </cacheField>
    <cacheField name="Terminated Employees" numFmtId="0">
      <sharedItems containsSemiMixedTypes="0" containsString="0" containsNumber="1" containsInteger="1" minValue="0" maxValue="20"/>
    </cacheField>
    <cacheField name="Tenure Category" numFmtId="0">
      <sharedItems count="2">
        <s v="10+ Years"/>
        <s v="5-10 Years"/>
      </sharedItems>
    </cacheField>
    <cacheField name="age group" numFmtId="0">
      <sharedItems/>
    </cacheField>
    <cacheField name="Salary Band" numFmtId="0">
      <sharedItems/>
    </cacheField>
    <cacheField name="Is_Active Flag" numFmtId="0">
      <sharedItems containsSemiMixedTypes="0" containsString="0" containsNumber="1" containsInteger="1" minValue="0" maxValue="1"/>
    </cacheField>
    <cacheField name="Hire_Year" numFmtId="0">
      <sharedItems containsSemiMixedTypes="0" containsString="0" containsNumber="1" containsInteger="1" minValue="2006" maxValue="2018"/>
    </cacheField>
    <cacheField name="Hire_Month:" numFmtId="0">
      <sharedItems containsSemiMixedTypes="0" containsString="0" containsNumber="1" containsInteger="1" minValue="1" maxValue="12"/>
    </cacheField>
    <cacheField name="Hire_Quarter" numFmtId="0">
      <sharedItems/>
    </cacheField>
    <cacheField name="Month_Name" numFmtId="0">
      <sharedItems/>
    </cacheField>
    <cacheField name="Year_Month" numFmtId="0">
      <sharedItems/>
    </cacheField>
    <cacheField name="Termination Year" numFmtId="0">
      <sharedItems containsMixedTypes="1" containsNumber="1" containsInteger="1" minValue="2010" maxValue="2018"/>
    </cacheField>
    <cacheField name="dept hires count " numFmtId="0">
      <sharedItems/>
    </cacheField>
    <cacheField name="turn over by manager" numFmtId="0">
      <sharedItems containsSemiMixedTypes="0" containsString="0" containsNumber="1" minValue="0" maxValue="100"/>
    </cacheField>
    <cacheField name="REASON COUNTS" numFmtId="0">
      <sharedItems containsSemiMixedTypes="0" containsString="0" containsNumber="1" containsInteger="1" minValue="0" maxValue="20"/>
    </cacheField>
    <cacheField name="RISK CATEGORY " numFmtId="0">
      <sharedItems/>
    </cacheField>
    <cacheField name="Trunover" numFmtId="0" formula="Termd/EmpID" databaseField="0"/>
    <cacheField name="TURNOVER" numFmtId="0" formula="Termd/EmpID*100" databaseField="0"/>
  </cacheFields>
  <extLst>
    <ext xmlns:x14="http://schemas.microsoft.com/office/spreadsheetml/2009/9/main" uri="{725AE2AE-9491-48be-B2B4-4EB974FC3084}">
      <x14:pivotCacheDefinition pivotCacheId="140889282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0.687988425925" createdVersion="7" refreshedVersion="7" minRefreshableVersion="3" recordCount="311" xr:uid="{15FCBB64-A017-4DB3-A102-69E24725CC27}">
  <cacheSource type="worksheet">
    <worksheetSource name="HRDataset_v14"/>
  </cacheSource>
  <cacheFields count="58">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0">
      <sharedItems containsSemiMixedTypes="0" containsNonDate="0" containsDate="1" containsString="0" minDate="1951-01-02T00:00:00" maxDate="1992-08-18T00:00:00"/>
    </cacheField>
    <cacheField name="Sex" numFmtId="0">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ount="18">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haredItems>
    </cacheField>
    <cacheField name="EmploymentStatus" numFmtId="0">
      <sharedItems/>
    </cacheField>
    <cacheField name="Department" numFmtId="0">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acheField>
    <cacheField name="PerformanceScore" numFmtId="0">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0">
      <sharedItems/>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salary outlier (high)" numFmtId="0">
      <sharedItems/>
    </cacheField>
    <cacheField name="Salary outlier (low)" numFmtId="0">
      <sharedItems/>
    </cacheField>
    <cacheField name="Age Calculation_x000a_" numFmtId="0">
      <sharedItems containsSemiMixedTypes="0" containsString="0" containsNumber="1" containsInteger="1" minValue="33" maxValue="75"/>
    </cacheField>
    <cacheField name="Tenure in Years_x000a_" numFmtId="0">
      <sharedItems containsSemiMixedTypes="0" containsString="0" containsNumber="1" containsInteger="1" minValue="7" maxValue="20"/>
    </cacheField>
    <cacheField name="Terminated Employees" numFmtId="0">
      <sharedItems containsSemiMixedTypes="0" containsString="0" containsNumber="1" containsInteger="1" minValue="0" maxValue="20"/>
    </cacheField>
    <cacheField name="Tenure Category" numFmtId="0">
      <sharedItems/>
    </cacheField>
    <cacheField name="age group" numFmtId="0">
      <sharedItems/>
    </cacheField>
    <cacheField name="Salary Band" numFmtId="0">
      <sharedItems/>
    </cacheField>
    <cacheField name="Is_Active Flag" numFmtId="0">
      <sharedItems containsSemiMixedTypes="0" containsString="0" containsNumber="1" containsInteger="1" minValue="0" maxValue="1"/>
    </cacheField>
    <cacheField name="Hire_Year" numFmtId="0">
      <sharedItems containsSemiMixedTypes="0" containsString="0" containsNumber="1" containsInteger="1" minValue="2006" maxValue="2018"/>
    </cacheField>
    <cacheField name="Hire_Month:" numFmtId="0">
      <sharedItems containsSemiMixedTypes="0" containsString="0" containsNumber="1" containsInteger="1" minValue="1" maxValue="12"/>
    </cacheField>
    <cacheField name="Hire_Quarter" numFmtId="0">
      <sharedItems/>
    </cacheField>
    <cacheField name="Month_Name" numFmtId="0">
      <sharedItems/>
    </cacheField>
    <cacheField name="Year_Month" numFmtId="0">
      <sharedItems/>
    </cacheField>
    <cacheField name="Termination Year" numFmtId="0">
      <sharedItems containsMixedTypes="1" containsNumber="1" containsInteger="1" minValue="2010" maxValue="2018"/>
    </cacheField>
    <cacheField name="dept hires count " numFmtId="0">
      <sharedItems/>
    </cacheField>
    <cacheField name="turn over by manager" numFmtId="0">
      <sharedItems containsSemiMixedTypes="0" containsString="0" containsNumber="1" minValue="0" maxValue="100"/>
    </cacheField>
    <cacheField name="REASON COUNTS" numFmtId="0">
      <sharedItems containsSemiMixedTypes="0" containsString="0" containsNumber="1" containsInteger="1" minValue="0" maxValue="20"/>
    </cacheField>
    <cacheField name="RISK CATEGORY " numFmtId="0">
      <sharedItems/>
    </cacheField>
    <cacheField name="ACTIVE" numFmtId="0">
      <sharedItems containsMixedTypes="1" containsNumber="1" minValue="1.1200000000000001" maxValue="5"/>
    </cacheField>
    <cacheField name="TERMINATED 2" numFmtId="0">
      <sharedItems containsMixedTypes="1" containsNumber="1" minValue="2" maxValue="5"/>
    </cacheField>
    <cacheField name="Column2" numFmtId="0">
      <sharedItems containsBlank="1" containsMixedTypes="1" containsNumber="1" minValue="0" maxValue="70629.39999999999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3.683387152778" createdVersion="7" refreshedVersion="7" minRefreshableVersion="3" recordCount="312" xr:uid="{6AA7D2E1-1A7B-46E6-A31E-1EDB110A43C3}">
  <cacheSource type="worksheet">
    <worksheetSource ref="A1:BC1048576" sheet="HRDataset_v14"/>
  </cacheSource>
  <cacheFields count="55">
    <cacheField name="Employee_Name" numFmtId="0">
      <sharedItems containsBlank="1"/>
    </cacheField>
    <cacheField name="EmpID" numFmtId="0">
      <sharedItems containsString="0" containsBlank="1" containsNumber="1" containsInteger="1" minValue="10001" maxValue="10311"/>
    </cacheField>
    <cacheField name="MarriedID" numFmtId="0">
      <sharedItems containsString="0" containsBlank="1" containsNumber="1" containsInteger="1" minValue="0" maxValue="1"/>
    </cacheField>
    <cacheField name="MaritalStatusID" numFmtId="0">
      <sharedItems containsString="0" containsBlank="1" containsNumber="1" containsInteger="1" minValue="0" maxValue="4"/>
    </cacheField>
    <cacheField name="GenderID" numFmtId="0">
      <sharedItems containsString="0" containsBlank="1" containsNumber="1" containsInteger="1" minValue="0" maxValue="1"/>
    </cacheField>
    <cacheField name="EmpStatusID" numFmtId="0">
      <sharedItems containsString="0" containsBlank="1" containsNumber="1" containsInteger="1" minValue="1" maxValue="5"/>
    </cacheField>
    <cacheField name="DeptID" numFmtId="0">
      <sharedItems containsString="0" containsBlank="1" containsNumber="1" containsInteger="1" minValue="1" maxValue="6"/>
    </cacheField>
    <cacheField name="PerfScoreID" numFmtId="0">
      <sharedItems containsString="0" containsBlank="1" containsNumber="1" containsInteger="1" minValue="1" maxValue="4" count="5">
        <n v="4"/>
        <n v="3"/>
        <n v="2"/>
        <n v="1"/>
        <m/>
      </sharedItems>
    </cacheField>
    <cacheField name="FromDiversityJobFairID" numFmtId="0">
      <sharedItems containsString="0" containsBlank="1" containsNumber="1" containsInteger="1" minValue="0" maxValue="1"/>
    </cacheField>
    <cacheField name="Salary" numFmtId="0">
      <sharedItems containsString="0" containsBlank="1" containsNumber="1" containsInteger="1" minValue="45046" maxValue="250000" count="309">
        <n v="62506"/>
        <n v="104437"/>
        <n v="64955"/>
        <n v="64991"/>
        <n v="50825"/>
        <n v="57568"/>
        <n v="95660"/>
        <n v="59365"/>
        <n v="47837"/>
        <n v="50178"/>
        <n v="54670"/>
        <n v="47211"/>
        <n v="92328"/>
        <n v="58709"/>
        <n v="52505"/>
        <n v="57834"/>
        <n v="70131"/>
        <n v="59026"/>
        <n v="110000"/>
        <n v="53250"/>
        <n v="51044"/>
        <n v="64919"/>
        <n v="62910"/>
        <n v="66441"/>
        <n v="57815"/>
        <n v="103613"/>
        <n v="106367"/>
        <n v="74312"/>
        <n v="53492"/>
        <n v="63000"/>
        <n v="65288"/>
        <n v="64375"/>
        <n v="74326"/>
        <n v="63763"/>
        <n v="62162"/>
        <n v="77692"/>
        <n v="72640"/>
        <n v="93396"/>
        <n v="52846"/>
        <n v="100031"/>
        <n v="71860"/>
        <n v="61656"/>
        <n v="110929"/>
        <n v="54237"/>
        <n v="60380"/>
        <n v="66808"/>
        <n v="64786"/>
        <n v="64816"/>
        <n v="68678"/>
        <n v="64066"/>
        <n v="59369"/>
        <n v="50373"/>
        <n v="63108"/>
        <n v="59144"/>
        <n v="68051"/>
        <n v="170500"/>
        <n v="63381"/>
        <n v="83552"/>
        <n v="56149"/>
        <n v="92329"/>
        <n v="65729"/>
        <n v="85028"/>
        <n v="57583"/>
        <n v="56294"/>
        <n v="56991"/>
        <n v="55722"/>
        <n v="101199"/>
        <n v="61568"/>
        <n v="58275"/>
        <n v="53189"/>
        <n v="96820"/>
        <n v="51259"/>
        <n v="59231"/>
        <n v="61584"/>
        <n v="46335"/>
        <n v="70621"/>
        <n v="138888"/>
        <n v="74241"/>
        <n v="75188"/>
        <n v="62514"/>
        <n v="60070"/>
        <n v="48888"/>
        <n v="54285"/>
        <n v="56847"/>
        <n v="60340"/>
        <n v="59124"/>
        <n v="99280"/>
        <n v="71776"/>
        <n v="65902"/>
        <n v="57748"/>
        <n v="64057"/>
        <n v="53366"/>
        <n v="58530"/>
        <n v="72609"/>
        <n v="55965"/>
        <n v="70187"/>
        <n v="178000"/>
        <n v="99351"/>
        <n v="67251"/>
        <n v="65707"/>
        <n v="52249"/>
        <n v="53171"/>
        <n v="51337"/>
        <n v="51505"/>
        <n v="59370"/>
        <n v="54933"/>
        <n v="61555"/>
        <n v="114800"/>
        <n v="74679"/>
        <n v="53018"/>
        <n v="59892"/>
        <n v="68898"/>
        <n v="61242"/>
        <n v="66825"/>
        <n v="48285"/>
        <n v="66149"/>
        <n v="49256"/>
        <n v="62957"/>
        <n v="63813"/>
        <n v="99020"/>
        <n v="71707"/>
        <n v="54828"/>
        <n v="64246"/>
        <n v="52177"/>
        <n v="62065"/>
        <n v="46998"/>
        <n v="68099"/>
        <n v="70545"/>
        <n v="63478"/>
        <n v="97999"/>
        <n v="180000"/>
        <n v="49920"/>
        <n v="55425"/>
        <n v="69340"/>
        <n v="64995"/>
        <n v="68182"/>
        <n v="83082"/>
        <n v="51908"/>
        <n v="45069"/>
        <n v="60724"/>
        <n v="60436"/>
        <n v="46837"/>
        <n v="105700"/>
        <n v="63322"/>
        <n v="61154"/>
        <n v="68999"/>
        <n v="50482"/>
        <n v="65310"/>
        <n v="250000"/>
        <n v="54005"/>
        <n v="45433"/>
        <n v="46654"/>
        <n v="63973"/>
        <n v="71339"/>
        <n v="93206"/>
        <n v="82758"/>
        <n v="66074"/>
        <n v="46120"/>
        <n v="64520"/>
        <n v="61962"/>
        <n v="81584"/>
        <n v="63676"/>
        <n v="93046"/>
        <n v="64738"/>
        <n v="70468"/>
        <n v="77915"/>
        <n v="52624"/>
        <n v="63450"/>
        <n v="51777"/>
        <n v="67237"/>
        <n v="73330"/>
        <n v="52057"/>
        <n v="47434"/>
        <n v="52788"/>
        <n v="45395"/>
        <n v="62385"/>
        <n v="68407"/>
        <n v="61349"/>
        <n v="105688"/>
        <n v="54132"/>
        <n v="55315"/>
        <n v="62810"/>
        <n v="63291"/>
        <n v="62659"/>
        <n v="55688"/>
        <n v="83667"/>
        <n v="55800"/>
        <n v="58207"/>
        <n v="157000"/>
        <n v="72460"/>
        <n v="72106"/>
        <n v="52599"/>
        <n v="63430"/>
        <n v="74417"/>
        <n v="57575"/>
        <n v="87921"/>
        <n v="50470"/>
        <n v="46664"/>
        <n v="48495"/>
        <n v="52984"/>
        <n v="63695"/>
        <n v="62061"/>
        <n v="66738"/>
        <n v="52674"/>
        <n v="71966"/>
        <n v="63051"/>
        <n v="47414"/>
        <n v="53060"/>
        <n v="68829"/>
        <n v="63515"/>
        <n v="108987"/>
        <n v="93093"/>
        <n v="53564"/>
        <n v="60270"/>
        <n v="45998"/>
        <n v="57954"/>
        <n v="74669"/>
        <n v="74226"/>
        <n v="93554"/>
        <n v="64724"/>
        <n v="47001"/>
        <n v="61844"/>
        <n v="46799"/>
        <n v="59472"/>
        <n v="46430"/>
        <n v="83363"/>
        <n v="95920"/>
        <n v="61729"/>
        <n v="61809"/>
        <n v="45115"/>
        <n v="46738"/>
        <n v="64971"/>
        <n v="55578"/>
        <n v="50428"/>
        <n v="61422"/>
        <n v="63353"/>
        <n v="89883"/>
        <n v="120000"/>
        <n v="150290"/>
        <n v="60627"/>
        <n v="53180"/>
        <n v="140920"/>
        <n v="148999"/>
        <n v="86214"/>
        <n v="47750"/>
        <n v="46428"/>
        <n v="57975"/>
        <n v="88527"/>
        <n v="56147"/>
        <n v="50923"/>
        <n v="50750"/>
        <n v="52087"/>
        <n v="87826"/>
        <n v="51920"/>
        <n v="63878"/>
        <n v="60656"/>
        <n v="72992"/>
        <n v="55000"/>
        <n v="58939"/>
        <n v="66593"/>
        <n v="87565"/>
        <n v="64021"/>
        <n v="65714"/>
        <n v="62425"/>
        <n v="47961"/>
        <n v="58273"/>
        <n v="63003"/>
        <n v="61355"/>
        <n v="60120"/>
        <n v="63682"/>
        <n v="63025"/>
        <n v="59238"/>
        <n v="92989"/>
        <n v="90100"/>
        <n v="60754"/>
        <n v="72202"/>
        <n v="58370"/>
        <n v="48413"/>
        <n v="67176"/>
        <n v="56339"/>
        <n v="64397"/>
        <n v="75281"/>
        <n v="100416"/>
        <n v="74813"/>
        <n v="76029"/>
        <n v="57859"/>
        <n v="58523"/>
        <n v="88976"/>
        <n v="55875"/>
        <n v="113999"/>
        <n v="49773"/>
        <n v="62068"/>
        <n v="66541"/>
        <n v="80512"/>
        <n v="50274"/>
        <n v="84903"/>
        <n v="107226"/>
        <n v="58371"/>
        <n v="55140"/>
        <n v="58062"/>
        <n v="59728"/>
        <n v="70507"/>
        <n v="60446"/>
        <n v="65893"/>
        <n v="48513"/>
        <n v="220450"/>
        <n v="89292"/>
        <n v="45046"/>
        <m/>
      </sharedItems>
    </cacheField>
    <cacheField name="Termd" numFmtId="0">
      <sharedItems containsString="0" containsBlank="1" containsNumber="1" containsInteger="1" minValue="0" maxValue="1"/>
    </cacheField>
    <cacheField name="PositionID" numFmtId="0">
      <sharedItems containsString="0" containsBlank="1" containsNumber="1" containsInteger="1" minValue="1" maxValue="30"/>
    </cacheField>
    <cacheField name="Position" numFmtId="0">
      <sharedItems containsBlank="1"/>
    </cacheField>
    <cacheField name="State" numFmtId="0">
      <sharedItems containsBlank="1"/>
    </cacheField>
    <cacheField name="Zip" numFmtId="0">
      <sharedItems containsString="0" containsBlank="1" containsNumber="1" containsInteger="1" minValue="1013" maxValue="98052"/>
    </cacheField>
    <cacheField name="DOB" numFmtId="0">
      <sharedItems containsNonDate="0" containsDate="1" containsString="0" containsBlank="1" minDate="1951-01-02T00:00:00" maxDate="1992-08-18T00:00:00"/>
    </cacheField>
    <cacheField name="Sex" numFmtId="0">
      <sharedItems containsBlank="1"/>
    </cacheField>
    <cacheField name="MaritalDesc" numFmtId="0">
      <sharedItems containsBlank="1"/>
    </cacheField>
    <cacheField name="CitizenDesc" numFmtId="0">
      <sharedItems containsBlank="1"/>
    </cacheField>
    <cacheField name="HispanicLatino" numFmtId="0">
      <sharedItems containsBlank="1"/>
    </cacheField>
    <cacheField name="RaceDesc" numFmtId="0">
      <sharedItems containsBlank="1"/>
    </cacheField>
    <cacheField name="DateofHire" numFmtId="0">
      <sharedItems containsNonDate="0" containsDate="1" containsString="0" containsBlank="1"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ontainsBlank="1"/>
    </cacheField>
    <cacheField name="EmploymentStatus" numFmtId="0">
      <sharedItems containsBlank="1"/>
    </cacheField>
    <cacheField name="Department" numFmtId="0">
      <sharedItems containsBlank="1" count="7">
        <s v="Production       "/>
        <s v="IT/IS"/>
        <s v="Software Engineering"/>
        <s v="Admin Offices"/>
        <s v="Sales"/>
        <s v="Executive Office"/>
        <m/>
      </sharedItems>
    </cacheField>
    <cacheField name="ManagerName" numFmtId="0">
      <sharedItems containsBlank="1"/>
    </cacheField>
    <cacheField name="ManagerID" numFmtId="0">
      <sharedItems containsString="0" containsBlank="1" containsNumber="1" containsInteger="1" minValue="1" maxValue="39"/>
    </cacheField>
    <cacheField name="RecruitmentSource" numFmtId="0">
      <sharedItems containsBlank="1"/>
    </cacheField>
    <cacheField name="PerformanceScore" numFmtId="0">
      <sharedItems containsBlank="1" count="5">
        <s v="Exceeds"/>
        <s v="Fully Meets"/>
        <s v="Needs Improvement"/>
        <s v="PIP"/>
        <m/>
      </sharedItems>
    </cacheField>
    <cacheField name="EngagementSurvey" numFmtId="0">
      <sharedItems containsString="0" containsBlank="1" containsNumber="1" minValue="1.1200000000000001" maxValue="5" count="120">
        <n v="4.5999999999999996"/>
        <n v="4.96"/>
        <n v="3.02"/>
        <n v="4.84"/>
        <n v="5"/>
        <n v="3.04"/>
        <n v="4.46"/>
        <n v="4.2"/>
        <n v="4.28"/>
        <n v="4.4000000000000004"/>
        <n v="4.5"/>
        <n v="2"/>
        <n v="4.8"/>
        <n v="3.5"/>
        <n v="3.39"/>
        <n v="3.35"/>
        <n v="3.19"/>
        <n v="3.14"/>
        <n v="4.51"/>
        <n v="3.25"/>
        <n v="3.84"/>
        <n v="4.43"/>
        <n v="3.3"/>
        <n v="3.8"/>
        <n v="3"/>
        <n v="4.3"/>
        <n v="3.58"/>
        <n v="4.7"/>
        <n v="4.0999999999999996"/>
        <n v="4.13"/>
        <n v="3.7"/>
        <n v="4.7300000000000004"/>
        <n v="4.12"/>
        <n v="4.62"/>
        <n v="3.1"/>
        <n v="3.96"/>
        <n v="3.79"/>
        <n v="1.93"/>
        <n v="1.1200000000000001"/>
        <n v="3.01"/>
        <n v="2.2999999999999998"/>
        <n v="3.88"/>
        <n v="3.4"/>
        <n v="4.1100000000000003"/>
        <n v="4.7699999999999996"/>
        <n v="4.5199999999999996"/>
        <n v="2.9"/>
        <n v="2.1"/>
        <n v="4"/>
        <n v="3.13"/>
        <n v="1.56"/>
        <n v="1.2"/>
        <n v="4.76"/>
        <n v="3.66"/>
        <n v="3.73"/>
        <n v="4.24"/>
        <n v="3.97"/>
        <n v="3.9"/>
        <n v="4.6100000000000003"/>
        <n v="4.63"/>
        <n v="4.6399999999999997"/>
        <n v="4.17"/>
        <n v="3.6"/>
        <n v="3.03"/>
        <n v="4.4800000000000004"/>
        <n v="3.24"/>
        <n v="3.72"/>
        <n v="2.34"/>
        <n v="3.99"/>
        <n v="3.75"/>
        <n v="3.07"/>
        <n v="4.83"/>
        <n v="3.49"/>
        <n v="3.38"/>
        <n v="3.65"/>
        <n v="4.78"/>
        <n v="4.9000000000000004"/>
        <n v="4.88"/>
        <n v="4.53"/>
        <n v="3.18"/>
        <n v="4.6500000000000004"/>
        <n v="3.08"/>
        <n v="3.93"/>
        <n v="4.18"/>
        <n v="4.37"/>
        <n v="2.39"/>
        <n v="3.81"/>
        <n v="4.29"/>
        <n v="2.33"/>
        <n v="4.25"/>
        <n v="3.89"/>
        <n v="3.54"/>
        <n v="2.4"/>
        <n v="3.45"/>
        <n v="4.16"/>
        <n v="3.17"/>
        <n v="4.1500000000000004"/>
        <n v="3.98"/>
        <n v="4.3600000000000003"/>
        <n v="3.69"/>
        <n v="4.9400000000000004"/>
        <n v="2.6"/>
        <n v="3.51"/>
        <n v="3.31"/>
        <n v="4.8099999999999996"/>
        <n v="3.32"/>
        <n v="4.68"/>
        <n v="3.27"/>
        <n v="1.81"/>
        <n v="4.21"/>
        <n v="2.44"/>
        <n v="2.81"/>
        <n v="4.33"/>
        <n v="3.21"/>
        <n v="3.11"/>
        <n v="2.5"/>
        <n v="3.42"/>
        <n v="4.07"/>
        <n v="3.2"/>
        <m/>
      </sharedItems>
    </cacheField>
    <cacheField name="EmpSatisfaction" numFmtId="0">
      <sharedItems containsString="0" containsBlank="1" containsNumber="1" containsInteger="1" minValue="1" maxValue="5"/>
    </cacheField>
    <cacheField name="SpecialProjectsCount" numFmtId="0">
      <sharedItems containsString="0" containsBlank="1" containsNumber="1" containsInteger="1" minValue="0" maxValue="8"/>
    </cacheField>
    <cacheField name="LastPerformanceReview_Date" numFmtId="0">
      <sharedItems containsBlank="1"/>
    </cacheField>
    <cacheField name="DaysLateLast30" numFmtId="0">
      <sharedItems containsString="0" containsBlank="1" containsNumber="1" containsInteger="1" minValue="0" maxValue="6"/>
    </cacheField>
    <cacheField name="Absences" numFmtId="0">
      <sharedItems containsString="0" containsBlank="1" containsNumber="1" containsInteger="1" minValue="1" maxValue="20"/>
    </cacheField>
    <cacheField name="salary outlier (high)" numFmtId="0">
      <sharedItems containsBlank="1"/>
    </cacheField>
    <cacheField name="Salary outlier (low)" numFmtId="0">
      <sharedItems containsBlank="1"/>
    </cacheField>
    <cacheField name="Age Calculation_x000a_" numFmtId="0">
      <sharedItems containsString="0" containsBlank="1" containsNumber="1" containsInteger="1" minValue="33" maxValue="75"/>
    </cacheField>
    <cacheField name="Tenure in Years_x000a_" numFmtId="0">
      <sharedItems containsString="0" containsBlank="1" containsNumber="1" containsInteger="1" minValue="7" maxValue="20"/>
    </cacheField>
    <cacheField name="Terminated Employees" numFmtId="0">
      <sharedItems containsString="0" containsBlank="1" containsNumber="1" containsInteger="1" minValue="0" maxValue="20"/>
    </cacheField>
    <cacheField name="Tenure Category" numFmtId="0">
      <sharedItems containsBlank="1"/>
    </cacheField>
    <cacheField name="age group" numFmtId="0">
      <sharedItems containsBlank="1"/>
    </cacheField>
    <cacheField name="Salary Band" numFmtId="0">
      <sharedItems containsBlank="1"/>
    </cacheField>
    <cacheField name="Is_Active Flag" numFmtId="0">
      <sharedItems containsString="0" containsBlank="1" containsNumber="1" containsInteger="1" minValue="0" maxValue="1"/>
    </cacheField>
    <cacheField name="Hire_Year" numFmtId="0">
      <sharedItems containsString="0" containsBlank="1" containsNumber="1" containsInteger="1" minValue="2006" maxValue="2018" count="14">
        <n v="2011"/>
        <n v="2015"/>
        <n v="2008"/>
        <n v="2012"/>
        <n v="2014"/>
        <n v="2013"/>
        <n v="2009"/>
        <n v="2016"/>
        <n v="2010"/>
        <n v="2018"/>
        <n v="2017"/>
        <n v="2007"/>
        <n v="2006"/>
        <m/>
      </sharedItems>
    </cacheField>
    <cacheField name="Hire_Month:" numFmtId="0">
      <sharedItems containsString="0" containsBlank="1" containsNumber="1" containsInteger="1" minValue="1" maxValue="12"/>
    </cacheField>
    <cacheField name="Hire_Quarter" numFmtId="0">
      <sharedItems containsBlank="1"/>
    </cacheField>
    <cacheField name="Month_Name" numFmtId="0">
      <sharedItems containsBlank="1"/>
    </cacheField>
    <cacheField name="Year_Month" numFmtId="0">
      <sharedItems containsBlank="1"/>
    </cacheField>
    <cacheField name="Termination Year" numFmtId="0">
      <sharedItems containsBlank="1" containsMixedTypes="1" containsNumber="1" containsInteger="1" minValue="2010" maxValue="2018"/>
    </cacheField>
    <cacheField name="dept hires count " numFmtId="0">
      <sharedItems containsBlank="1"/>
    </cacheField>
    <cacheField name="turn over by manager" numFmtId="0">
      <sharedItems containsString="0" containsBlank="1" containsNumber="1" minValue="0" maxValue="100"/>
    </cacheField>
    <cacheField name="REASON COUNTS" numFmtId="0">
      <sharedItems containsString="0" containsBlank="1" containsNumber="1" containsInteger="1" minValue="0" maxValue="20"/>
    </cacheField>
    <cacheField name="RISK CATEGORY " numFmtId="0">
      <sharedItems containsBlank="1"/>
    </cacheField>
  </cacheFields>
  <extLst>
    <ext xmlns:x14="http://schemas.microsoft.com/office/spreadsheetml/2009/9/main" uri="{725AE2AE-9491-48be-B2B4-4EB974FC3084}">
      <x14:pivotCacheDefinition pivotCacheId="1665167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s v="Production Technician I"/>
    <s v="MA"/>
    <n v="1960"/>
    <d v="1983-07-10T00:00:00"/>
    <s v="M "/>
    <s v="Single"/>
    <s v="US Citizen"/>
    <s v="No"/>
    <s v="White"/>
    <d v="2011-07-05T00:00:00"/>
    <m/>
    <s v="N/A-StillEmployed"/>
    <s v="Active"/>
    <x v="0"/>
    <s v="Michael Albert"/>
    <n v="22"/>
    <s v="LinkedIn"/>
    <s v="Exceeds"/>
    <n v="4.5999999999999996"/>
    <n v="5"/>
    <n v="0"/>
    <s v="1/17/2019"/>
    <n v="0"/>
    <n v="1"/>
    <s v="Normal"/>
    <s v="low Outlier"/>
    <n v="42"/>
    <n v="14"/>
    <n v="14"/>
    <s v="10+ Years"/>
    <s v="36-45"/>
    <s v="Mid (40-70K)"/>
    <n v="1"/>
    <x v="0"/>
    <n v="5"/>
    <s v="Q3"/>
    <s v="Jul"/>
    <s v="2011-07"/>
    <s v="N/A"/>
    <s v="Production       "/>
  </r>
  <r>
    <s v="Ait Sidi, Karthikeyan   "/>
    <n v="10084"/>
    <n v="1"/>
    <n v="1"/>
    <n v="1"/>
    <n v="5"/>
    <n v="3"/>
    <n v="3"/>
    <n v="0"/>
    <n v="104437"/>
    <n v="1"/>
    <n v="27"/>
    <s v="Sr. DBA"/>
    <s v="MA"/>
    <n v="2148"/>
    <d v="1975-05-05T00:00:00"/>
    <s v="M "/>
    <s v="Married"/>
    <s v="US Citizen"/>
    <s v="No"/>
    <s v="White"/>
    <d v="2015-03-30T00:00:00"/>
    <d v="2016-06-16T00:00:00"/>
    <s v="career change"/>
    <s v="Voluntarily Terminated"/>
    <x v="1"/>
    <s v="Simon Roup"/>
    <n v="4"/>
    <s v="Indeed"/>
    <s v="Fully Meets"/>
    <n v="4.96"/>
    <n v="3"/>
    <n v="6"/>
    <s v="2/24/2016"/>
    <n v="0"/>
    <n v="17"/>
    <s v="Normal"/>
    <s v="low Outlier"/>
    <n v="50"/>
    <n v="10"/>
    <n v="1"/>
    <s v="10+ Years"/>
    <s v="46-55"/>
    <s v="Executive (100K+)"/>
    <n v="0"/>
    <x v="1"/>
    <n v="3"/>
    <s v="Q1"/>
    <s v="Mar"/>
    <s v="2015-03"/>
    <n v="2016"/>
    <s v="Production       "/>
  </r>
  <r>
    <s v="Akinkuolie, Sarah"/>
    <n v="10196"/>
    <n v="1"/>
    <n v="1"/>
    <n v="0"/>
    <n v="5"/>
    <n v="5"/>
    <n v="3"/>
    <n v="0"/>
    <n v="64955"/>
    <n v="1"/>
    <n v="20"/>
    <s v="Production Technician II"/>
    <s v="MA"/>
    <n v="1810"/>
    <d v="1988-09-22T00:00:00"/>
    <s v="F"/>
    <s v="Married"/>
    <s v="US Citizen"/>
    <s v="No"/>
    <s v="White"/>
    <d v="2011-07-05T00:00:00"/>
    <d v="2012-09-24T00:00:00"/>
    <s v="hours"/>
    <s v="Voluntarily Terminated"/>
    <x v="2"/>
    <s v="Kissy Sullivan"/>
    <n v="20"/>
    <s v="LinkedIn"/>
    <s v="Fully Meets"/>
    <n v="3.02"/>
    <n v="3"/>
    <n v="0"/>
    <s v="5/15/2012"/>
    <n v="0"/>
    <n v="3"/>
    <s v="Normal"/>
    <s v="low Outlier"/>
    <n v="37"/>
    <n v="14"/>
    <n v="1"/>
    <s v="10+ Years"/>
    <s v="36-45"/>
    <s v="Mid (40-70K)"/>
    <n v="0"/>
    <x v="0"/>
    <n v="7"/>
    <s v="Q3"/>
    <s v="Jul"/>
    <s v="2011-07"/>
    <n v="2012"/>
    <s v="Production       "/>
  </r>
  <r>
    <s v="Alagbe,Trina"/>
    <n v="10088"/>
    <n v="1"/>
    <n v="1"/>
    <n v="0"/>
    <n v="1"/>
    <n v="5"/>
    <n v="3"/>
    <n v="0"/>
    <n v="64991"/>
    <n v="0"/>
    <n v="19"/>
    <s v="Production Technician I"/>
    <s v="MA"/>
    <n v="1886"/>
    <d v="1988-09-07T00:00:00"/>
    <s v="F"/>
    <s v="Married"/>
    <s v="US Citizen"/>
    <s v="No"/>
    <s v="White"/>
    <d v="2008-01-07T00:00:00"/>
    <m/>
    <s v="N/A-StillEmployed"/>
    <s v="Active"/>
    <x v="2"/>
    <s v="Elijiah Gray"/>
    <n v="16"/>
    <s v="Indeed"/>
    <s v="Fully Meets"/>
    <n v="4.84"/>
    <n v="5"/>
    <n v="0"/>
    <s v="1/3/2019"/>
    <n v="0"/>
    <n v="15"/>
    <s v="Normal"/>
    <s v="low Outlier"/>
    <n v="37"/>
    <n v="18"/>
    <n v="18"/>
    <s v="10+ Years"/>
    <s v="36-45"/>
    <s v="Mid (40-70K)"/>
    <n v="1"/>
    <x v="2"/>
    <n v="1"/>
    <s v="Q1"/>
    <s v="Jan"/>
    <s v="2008-01"/>
    <s v="N/A"/>
    <s v="Production       "/>
  </r>
  <r>
    <s v="Anderson, Carol "/>
    <n v="10069"/>
    <n v="0"/>
    <n v="2"/>
    <n v="0"/>
    <n v="5"/>
    <n v="5"/>
    <n v="3"/>
    <n v="0"/>
    <n v="50825"/>
    <n v="1"/>
    <n v="19"/>
    <s v="Production Technician I"/>
    <s v="MA"/>
    <n v="2169"/>
    <d v="1989-09-08T00:00:00"/>
    <s v="F"/>
    <s v="Divorced"/>
    <s v="US Citizen"/>
    <s v="No"/>
    <s v="White"/>
    <d v="2011-07-11T00:00:00"/>
    <d v="2016-09-06T00:00:00"/>
    <s v="return to school"/>
    <s v="Voluntarily Terminated"/>
    <x v="2"/>
    <s v="Webster Butler"/>
    <n v="39"/>
    <s v="Google Search"/>
    <s v="Fully Meets"/>
    <n v="5"/>
    <n v="4"/>
    <n v="0"/>
    <s v="2/1/2016"/>
    <n v="0"/>
    <n v="2"/>
    <s v="Normal"/>
    <s v="low Outlier"/>
    <n v="36"/>
    <n v="14"/>
    <n v="5"/>
    <s v="10+ Years"/>
    <s v="36-45"/>
    <s v="Mid (40-70K)"/>
    <n v="0"/>
    <x v="0"/>
    <n v="7"/>
    <s v="Q3"/>
    <s v="Jul"/>
    <s v="2011-07"/>
    <n v="2016"/>
    <s v="Production       "/>
  </r>
  <r>
    <s v="Anderson, Linda  "/>
    <n v="10002"/>
    <n v="0"/>
    <n v="0"/>
    <n v="0"/>
    <n v="1"/>
    <n v="5"/>
    <n v="4"/>
    <n v="0"/>
    <n v="57568"/>
    <n v="0"/>
    <n v="19"/>
    <s v="Production Technician I"/>
    <s v="MA"/>
    <n v="1844"/>
    <d v="1977-05-22T00:00:00"/>
    <s v="F"/>
    <s v="Single"/>
    <s v="US Citizen"/>
    <s v="No"/>
    <s v="White"/>
    <d v="2012-01-09T00:00:00"/>
    <m/>
    <s v="N/A-StillEmployed"/>
    <s v="Active"/>
    <x v="2"/>
    <s v="Amy Dunn"/>
    <n v="11"/>
    <s v="LinkedIn"/>
    <s v="Exceeds"/>
    <n v="5"/>
    <n v="5"/>
    <n v="0"/>
    <s v="1/7/2019"/>
    <n v="0"/>
    <n v="15"/>
    <s v="Normal"/>
    <s v="low Outlier"/>
    <n v="48"/>
    <n v="14"/>
    <n v="14"/>
    <s v="10+ Years"/>
    <s v="46-55"/>
    <s v="Mid (40-70K)"/>
    <n v="1"/>
    <x v="3"/>
    <n v="1"/>
    <s v="Q1"/>
    <s v="Jan"/>
    <s v="2012-01"/>
    <s v="N/A"/>
    <s v="Production       "/>
  </r>
  <r>
    <s v="Andreola, Colby"/>
    <n v="10194"/>
    <n v="0"/>
    <n v="0"/>
    <n v="0"/>
    <n v="1"/>
    <n v="4"/>
    <n v="3"/>
    <n v="0"/>
    <n v="95660"/>
    <n v="0"/>
    <n v="24"/>
    <s v="Software Engineer"/>
    <s v="MA"/>
    <n v="2110"/>
    <d v="1979-05-24T00:00:00"/>
    <s v="F"/>
    <s v="Single"/>
    <s v="US Citizen"/>
    <s v="No"/>
    <s v="White"/>
    <d v="2014-11-10T00:00:00"/>
    <m/>
    <s v="N/A-StillEmployed"/>
    <s v="Active"/>
    <x v="3"/>
    <s v="Alex Sweetwater"/>
    <n v="10"/>
    <s v="LinkedIn"/>
    <s v="Fully Meets"/>
    <n v="3.04"/>
    <n v="3"/>
    <n v="4"/>
    <s v="1/2/2019"/>
    <n v="0"/>
    <n v="19"/>
    <s v="Normal"/>
    <s v="low Outlier"/>
    <n v="46"/>
    <n v="11"/>
    <n v="11"/>
    <s v="10+ Years"/>
    <s v="46-55"/>
    <s v="Senior (70-100K)"/>
    <n v="1"/>
    <x v="4"/>
    <n v="11"/>
    <s v="Q4"/>
    <s v="Nov"/>
    <s v="2014-11"/>
    <s v="N/A"/>
    <s v="Production       "/>
  </r>
  <r>
    <s v="Athwal, Sam"/>
    <n v="10062"/>
    <n v="0"/>
    <n v="4"/>
    <n v="1"/>
    <n v="1"/>
    <n v="5"/>
    <n v="3"/>
    <n v="0"/>
    <n v="59365"/>
    <n v="0"/>
    <n v="19"/>
    <s v="Production Technician I"/>
    <s v="MA"/>
    <n v="2199"/>
    <d v="1983-02-18T00:00:00"/>
    <s v="M "/>
    <s v="Widowed"/>
    <s v="US Citizen"/>
    <s v="No"/>
    <s v="White"/>
    <d v="2013-09-30T00:00:00"/>
    <m/>
    <s v="N/A-StillEmployed"/>
    <s v="Active"/>
    <x v="2"/>
    <s v="Ketsia Liebig"/>
    <n v="19"/>
    <s v="Employee Referral"/>
    <s v="Fully Meets"/>
    <n v="5"/>
    <n v="4"/>
    <n v="0"/>
    <s v="2/25/2019"/>
    <n v="0"/>
    <n v="19"/>
    <s v="Normal"/>
    <s v="low Outlier"/>
    <n v="42"/>
    <n v="12"/>
    <n v="12"/>
    <s v="10+ Years"/>
    <s v="36-45"/>
    <s v="Mid (40-70K)"/>
    <n v="1"/>
    <x v="5"/>
    <n v="9"/>
    <s v="Q3"/>
    <s v="Sep"/>
    <s v="2013-09"/>
    <s v="N/A"/>
    <s v="Production       "/>
  </r>
  <r>
    <s v="Bachiochi, Linda"/>
    <n v="10114"/>
    <n v="0"/>
    <n v="0"/>
    <n v="0"/>
    <n v="3"/>
    <n v="5"/>
    <n v="3"/>
    <n v="1"/>
    <n v="47837"/>
    <n v="0"/>
    <n v="19"/>
    <s v="Production Technician I"/>
    <s v="MA"/>
    <n v="1902"/>
    <d v="1970-02-11T00:00:00"/>
    <s v="F"/>
    <s v="Single"/>
    <s v="US Citizen"/>
    <s v="No"/>
    <s v="Black or African American"/>
    <d v="2009-07-06T00:00:00"/>
    <m/>
    <s v="N/A-StillEmployed"/>
    <s v="Active"/>
    <x v="2"/>
    <s v="Brannon Miller"/>
    <n v="12"/>
    <s v="Diversity Job Fair"/>
    <s v="Fully Meets"/>
    <n v="4.46"/>
    <n v="3"/>
    <n v="0"/>
    <s v="1/25/2019"/>
    <n v="0"/>
    <n v="4"/>
    <s v="Normal"/>
    <s v="low Outlier"/>
    <n v="56"/>
    <n v="16"/>
    <n v="16"/>
    <s v="10+ Years"/>
    <s v="55+"/>
    <s v="Mid (40-70K)"/>
    <n v="1"/>
    <x v="6"/>
    <n v="7"/>
    <s v="Q3"/>
    <s v="Jul"/>
    <s v="2009-07"/>
    <s v="N/A"/>
    <s v="Production       "/>
  </r>
  <r>
    <s v="Bacong, Alejandro "/>
    <n v="10250"/>
    <n v="0"/>
    <n v="2"/>
    <n v="1"/>
    <n v="1"/>
    <n v="3"/>
    <n v="3"/>
    <n v="0"/>
    <n v="50178"/>
    <n v="0"/>
    <n v="14"/>
    <s v="IT Support"/>
    <s v="MA"/>
    <n v="1886"/>
    <d v="1988-01-07T00:00:00"/>
    <s v="M "/>
    <s v="Divorced"/>
    <s v="US Citizen"/>
    <s v="No"/>
    <s v="White"/>
    <d v="2015-01-05T00:00:00"/>
    <m/>
    <s v="N/A-StillEmployed"/>
    <s v="Active"/>
    <x v="1"/>
    <s v="Peter Monroe"/>
    <n v="7"/>
    <s v="Indeed"/>
    <s v="Fully Meets"/>
    <n v="5"/>
    <n v="5"/>
    <n v="6"/>
    <s v="2/18/2019"/>
    <n v="0"/>
    <n v="16"/>
    <s v="Normal"/>
    <s v="low Outlier"/>
    <n v="38"/>
    <n v="11"/>
    <n v="11"/>
    <s v="10+ Years"/>
    <s v="36-45"/>
    <s v="Mid (40-70K)"/>
    <n v="1"/>
    <x v="1"/>
    <n v="1"/>
    <s v="Q1"/>
    <s v="Jan"/>
    <s v="2015-01"/>
    <s v="N/A"/>
    <s v="Production       "/>
  </r>
  <r>
    <s v="Baczenski, Rachael  "/>
    <n v="10252"/>
    <n v="1"/>
    <n v="1"/>
    <n v="0"/>
    <n v="5"/>
    <n v="5"/>
    <n v="3"/>
    <n v="1"/>
    <n v="54670"/>
    <n v="1"/>
    <n v="19"/>
    <s v="Production Technician I"/>
    <s v="MA"/>
    <n v="1902"/>
    <d v="1974-01-12T00:00:00"/>
    <s v="F"/>
    <s v="Married"/>
    <s v="US Citizen"/>
    <s v="Yes"/>
    <s v="Black or African American"/>
    <d v="2011-01-10T00:00:00"/>
    <d v="2017-01-12T00:00:00"/>
    <s v="Another position"/>
    <s v="Voluntarily Terminated"/>
    <x v="2"/>
    <s v="David Stanley"/>
    <n v="14"/>
    <s v="Diversity Job Fair"/>
    <s v="Fully Meets"/>
    <n v="4.2"/>
    <n v="4"/>
    <n v="0"/>
    <s v="1/30/2016"/>
    <n v="0"/>
    <n v="12"/>
    <s v="Normal"/>
    <s v="low Outlier"/>
    <n v="52"/>
    <n v="15"/>
    <n v="6"/>
    <s v="10+ Years"/>
    <s v="46-55"/>
    <s v="Mid (40-70K)"/>
    <n v="0"/>
    <x v="0"/>
    <n v="1"/>
    <s v="Q1"/>
    <s v="Jan"/>
    <s v="2011-01"/>
    <n v="2017"/>
    <s v="Production       "/>
  </r>
  <r>
    <s v="Barbara, Thomas"/>
    <n v="10242"/>
    <n v="1"/>
    <n v="1"/>
    <n v="1"/>
    <n v="5"/>
    <n v="5"/>
    <n v="3"/>
    <n v="1"/>
    <n v="47211"/>
    <n v="1"/>
    <n v="19"/>
    <s v="Production Technician I"/>
    <s v="MA"/>
    <n v="2062"/>
    <d v="1974-02-21T00:00:00"/>
    <s v="M "/>
    <s v="Married"/>
    <s v="US Citizen"/>
    <s v="Yes"/>
    <s v="Black or African American"/>
    <d v="2012-04-02T00:00:00"/>
    <d v="2016-09-19T00:00:00"/>
    <s v="unhappy"/>
    <s v="Voluntarily Terminated"/>
    <x v="2"/>
    <s v="Kissy Sullivan"/>
    <n v="20"/>
    <s v="Diversity Job Fair"/>
    <s v="Fully Meets"/>
    <n v="4.2"/>
    <n v="3"/>
    <n v="0"/>
    <s v="5/6/2016"/>
    <n v="0"/>
    <n v="15"/>
    <s v="Normal"/>
    <s v="low Outlier"/>
    <n v="51"/>
    <n v="13"/>
    <n v="4"/>
    <s v="10+ Years"/>
    <s v="46-55"/>
    <s v="Mid (40-70K)"/>
    <n v="0"/>
    <x v="3"/>
    <n v="4"/>
    <s v="Q2"/>
    <s v="Apr"/>
    <s v="2012-04"/>
    <n v="2016"/>
    <s v="Production       "/>
  </r>
  <r>
    <s v="Barbossa, Hector"/>
    <n v="10012"/>
    <n v="0"/>
    <n v="2"/>
    <n v="1"/>
    <n v="1"/>
    <n v="3"/>
    <n v="4"/>
    <n v="1"/>
    <n v="92328"/>
    <n v="0"/>
    <n v="9"/>
    <s v="Data Analyst"/>
    <s v="TX"/>
    <n v="78230"/>
    <d v="1988-07-04T00:00:00"/>
    <s v="M "/>
    <s v="Divorced"/>
    <s v="US Citizen"/>
    <s v="No"/>
    <s v="Black or African American"/>
    <d v="2014-11-10T00:00:00"/>
    <m/>
    <s v="N/A-StillEmployed"/>
    <s v="Active"/>
    <x v="1"/>
    <s v="Simon Roup"/>
    <n v="4"/>
    <s v="Diversity Job Fair"/>
    <s v="Exceeds"/>
    <n v="4.28"/>
    <n v="4"/>
    <n v="5"/>
    <s v="2/25/2019"/>
    <n v="0"/>
    <n v="9"/>
    <s v="Normal"/>
    <s v="low Outlier"/>
    <n v="37"/>
    <n v="11"/>
    <n v="11"/>
    <s v="10+ Years"/>
    <s v="36-45"/>
    <s v="Senior (70-100K)"/>
    <n v="1"/>
    <x v="4"/>
    <n v="11"/>
    <s v="Q4"/>
    <s v="Nov"/>
    <s v="2014-11"/>
    <s v="N/A"/>
    <s v="Production       "/>
  </r>
  <r>
    <s v="Barone, Francesco  A"/>
    <n v="10265"/>
    <n v="0"/>
    <n v="0"/>
    <n v="1"/>
    <n v="1"/>
    <n v="5"/>
    <n v="3"/>
    <n v="0"/>
    <n v="58709"/>
    <n v="0"/>
    <n v="19"/>
    <s v="Production Technician I"/>
    <s v="MA"/>
    <n v="1810"/>
    <d v="1983-07-20T00:00:00"/>
    <s v="M "/>
    <s v="Single"/>
    <s v="US Citizen"/>
    <s v="No"/>
    <s v="Two or more races"/>
    <d v="2012-02-20T00:00:00"/>
    <m/>
    <s v="N/A-StillEmployed"/>
    <s v="Active"/>
    <x v="2"/>
    <s v="Kelley Spirea"/>
    <n v="18"/>
    <s v="Google Search"/>
    <s v="Fully Meets"/>
    <n v="4.5999999999999996"/>
    <n v="4"/>
    <n v="0"/>
    <s v="2/14/2019"/>
    <n v="0"/>
    <n v="7"/>
    <s v="Normal"/>
    <s v="low Outlier"/>
    <n v="42"/>
    <n v="13"/>
    <n v="13"/>
    <s v="10+ Years"/>
    <s v="36-45"/>
    <s v="Mid (40-70K)"/>
    <n v="1"/>
    <x v="3"/>
    <n v="2"/>
    <s v="Q1"/>
    <s v="Feb"/>
    <s v="2012-02"/>
    <s v="N/A"/>
    <s v="Production       "/>
  </r>
  <r>
    <s v="Barton, Nader"/>
    <n v="10066"/>
    <n v="0"/>
    <n v="2"/>
    <n v="1"/>
    <n v="5"/>
    <n v="5"/>
    <n v="3"/>
    <n v="0"/>
    <n v="52505"/>
    <n v="1"/>
    <n v="19"/>
    <s v="Production Technician I"/>
    <s v="MA"/>
    <n v="2747"/>
    <d v="1977-07-15T00:00:00"/>
    <s v="M "/>
    <s v="Divorced"/>
    <s v="US Citizen"/>
    <s v="No"/>
    <s v="White"/>
    <d v="2012-09-24T00:00:00"/>
    <d v="2017-04-06T00:00:00"/>
    <s v="Another position"/>
    <s v="Voluntarily Terminated"/>
    <x v="2"/>
    <s v="Michael Albert"/>
    <n v="22"/>
    <s v="On-line Web application"/>
    <s v="Fully Meets"/>
    <n v="5"/>
    <n v="5"/>
    <n v="0"/>
    <s v="3/2/2017"/>
    <n v="0"/>
    <n v="1"/>
    <s v="Normal"/>
    <s v="low Outlier"/>
    <n v="48"/>
    <n v="13"/>
    <n v="4"/>
    <s v="10+ Years"/>
    <s v="46-55"/>
    <s v="Mid (40-70K)"/>
    <n v="0"/>
    <x v="3"/>
    <n v="9"/>
    <s v="Q3"/>
    <s v="Sep"/>
    <s v="2012-09"/>
    <n v="2017"/>
    <s v="Production       "/>
  </r>
  <r>
    <s v="Bates, Norman"/>
    <n v="10061"/>
    <n v="0"/>
    <n v="0"/>
    <n v="1"/>
    <n v="4"/>
    <n v="5"/>
    <n v="3"/>
    <n v="0"/>
    <n v="57834"/>
    <n v="1"/>
    <n v="19"/>
    <s v="Production Technician I"/>
    <s v="MA"/>
    <n v="2050"/>
    <d v="1981-10-18T00:00:00"/>
    <s v="M "/>
    <s v="Single"/>
    <s v="US Citizen"/>
    <s v="No"/>
    <s v="White"/>
    <d v="2011-02-21T00:00:00"/>
    <d v="2017-08-04T00:00:00"/>
    <s v="attendance"/>
    <s v="Terminated for Cause"/>
    <x v="2"/>
    <s v="Kelley Spirea"/>
    <n v="18"/>
    <s v="Google Search"/>
    <s v="Fully Meets"/>
    <n v="5"/>
    <n v="4"/>
    <n v="0"/>
    <s v="4/5/2017"/>
    <n v="0"/>
    <n v="20"/>
    <s v="Normal"/>
    <s v="low Outlier"/>
    <n v="44"/>
    <n v="14"/>
    <n v="6"/>
    <s v="10+ Years"/>
    <s v="36-45"/>
    <s v="Mid (40-70K)"/>
    <n v="0"/>
    <x v="0"/>
    <n v="2"/>
    <s v="Q1"/>
    <s v="Feb"/>
    <s v="2011-02"/>
    <n v="2017"/>
    <s v="Production       "/>
  </r>
  <r>
    <s v="Beak, Kimberly  "/>
    <n v="10023"/>
    <n v="1"/>
    <n v="1"/>
    <n v="0"/>
    <n v="2"/>
    <n v="5"/>
    <n v="4"/>
    <n v="0"/>
    <n v="70131"/>
    <n v="0"/>
    <n v="20"/>
    <s v="Production Technician II"/>
    <s v="MA"/>
    <n v="2145"/>
    <d v="1966-04-17T00:00:00"/>
    <s v="F"/>
    <s v="Married"/>
    <s v="US Citizen"/>
    <s v="No"/>
    <s v="White"/>
    <d v="2016-07-21T00:00:00"/>
    <m/>
    <s v="N/A-StillEmployed"/>
    <s v="Active"/>
    <x v="2"/>
    <s v="Kelley Spirea"/>
    <n v="18"/>
    <s v="Employee Referral"/>
    <s v="Exceeds"/>
    <n v="4.4000000000000004"/>
    <n v="3"/>
    <n v="0"/>
    <s v="1/14/2019"/>
    <n v="0"/>
    <n v="16"/>
    <s v="Normal"/>
    <s v="low Outlier"/>
    <n v="59"/>
    <n v="9"/>
    <n v="9"/>
    <s v="5-10 Years"/>
    <s v="55+"/>
    <s v="Senior (70-100K)"/>
    <n v="1"/>
    <x v="7"/>
    <n v="7"/>
    <s v="Q3"/>
    <s v="Jul"/>
    <s v="2016-07"/>
    <s v="N/A"/>
    <s v="Production       "/>
  </r>
  <r>
    <s v="Beatrice, Courtney "/>
    <n v="10055"/>
    <n v="0"/>
    <n v="0"/>
    <n v="0"/>
    <n v="1"/>
    <n v="5"/>
    <n v="3"/>
    <n v="0"/>
    <n v="59026"/>
    <n v="0"/>
    <n v="19"/>
    <s v="Production Technician I"/>
    <s v="MA"/>
    <n v="1915"/>
    <d v="1970-10-27T00:00:00"/>
    <s v="F"/>
    <s v="Single"/>
    <s v="Eligible NonCitizen"/>
    <s v="No"/>
    <s v="White"/>
    <d v="2011-04-04T00:00:00"/>
    <m/>
    <s v="N/A-StillEmployed"/>
    <s v="Active"/>
    <x v="2"/>
    <s v="Elijiah Gray"/>
    <n v="16"/>
    <s v="Google Search"/>
    <s v="Fully Meets"/>
    <n v="5"/>
    <n v="5"/>
    <n v="0"/>
    <s v="1/14/2019"/>
    <n v="0"/>
    <n v="12"/>
    <s v="Normal"/>
    <s v="low Outlier"/>
    <n v="55"/>
    <n v="14"/>
    <n v="14"/>
    <s v="10+ Years"/>
    <s v="46-55"/>
    <s v="Mid (40-70K)"/>
    <n v="1"/>
    <x v="0"/>
    <n v="4"/>
    <s v="Q2"/>
    <s v="Apr"/>
    <s v="2011-04"/>
    <s v="N/A"/>
    <s v="Production       "/>
  </r>
  <r>
    <s v="Becker, Renee"/>
    <n v="10245"/>
    <n v="0"/>
    <n v="0"/>
    <n v="0"/>
    <n v="4"/>
    <n v="3"/>
    <n v="3"/>
    <n v="0"/>
    <n v="110000"/>
    <n v="1"/>
    <n v="8"/>
    <s v="Database Administrator"/>
    <s v="MA"/>
    <n v="2026"/>
    <d v="1986-04-04T00:00:00"/>
    <s v="F"/>
    <s v="Single"/>
    <s v="US Citizen"/>
    <s v="Yes"/>
    <s v="White"/>
    <d v="2014-07-07T00:00:00"/>
    <d v="2015-09-12T00:00:00"/>
    <s v="performance"/>
    <s v="Terminated for Cause"/>
    <x v="1"/>
    <s v="Simon Roup"/>
    <n v="4"/>
    <s v="Google Search"/>
    <s v="Fully Meets"/>
    <n v="4.5"/>
    <n v="4"/>
    <n v="5"/>
    <s v="1/15/2015"/>
    <n v="0"/>
    <n v="8"/>
    <s v="Normal"/>
    <s v="low Outlier"/>
    <n v="39"/>
    <n v="11"/>
    <n v="1"/>
    <s v="10+ Years"/>
    <s v="36-45"/>
    <s v="Executive (100K+)"/>
    <n v="0"/>
    <x v="4"/>
    <n v="7"/>
    <s v="Q3"/>
    <s v="Jul"/>
    <s v="2014-07"/>
    <n v="2015"/>
    <s v="Production       "/>
  </r>
  <r>
    <s v="Becker, Scott"/>
    <n v="10277"/>
    <n v="0"/>
    <n v="0"/>
    <n v="1"/>
    <n v="3"/>
    <n v="5"/>
    <n v="3"/>
    <n v="0"/>
    <n v="53250"/>
    <n v="0"/>
    <n v="19"/>
    <s v="Production Technician I"/>
    <s v="MA"/>
    <n v="2452"/>
    <d v="1979-04-06T00:00:00"/>
    <s v="M "/>
    <s v="Single"/>
    <s v="US Citizen"/>
    <s v="No"/>
    <s v="Asian"/>
    <d v="2013-07-08T00:00:00"/>
    <m/>
    <s v="N/A-StillEmployed"/>
    <s v="Active"/>
    <x v="2"/>
    <s v="Webster Butler"/>
    <m/>
    <s v="LinkedIn"/>
    <s v="Fully Meets"/>
    <n v="4.2"/>
    <n v="4"/>
    <n v="0"/>
    <s v="1/11/2019"/>
    <n v="0"/>
    <n v="13"/>
    <s v="Normal"/>
    <s v="low Outlier"/>
    <n v="46"/>
    <n v="12"/>
    <n v="12"/>
    <s v="10+ Years"/>
    <s v="46-55"/>
    <s v="Mid (40-70K)"/>
    <n v="1"/>
    <x v="5"/>
    <n v="7"/>
    <s v="Q3"/>
    <s v="Jul"/>
    <s v="2013-07"/>
    <s v="N/A"/>
    <s v="Production       "/>
  </r>
  <r>
    <s v="Bernstein, Sean"/>
    <n v="10046"/>
    <n v="0"/>
    <n v="0"/>
    <n v="1"/>
    <n v="1"/>
    <n v="5"/>
    <n v="3"/>
    <n v="0"/>
    <n v="51044"/>
    <n v="0"/>
    <n v="19"/>
    <s v="Production Technician I"/>
    <s v="MA"/>
    <n v="2072"/>
    <d v="1970-12-22T00:00:00"/>
    <s v="M "/>
    <s v="Single"/>
    <s v="US Citizen"/>
    <s v="Yes"/>
    <s v="White"/>
    <d v="2012-04-02T00:00:00"/>
    <m/>
    <s v="N/A-StillEmployed"/>
    <s v="Active"/>
    <x v="2"/>
    <s v="Amy Dunn"/>
    <n v="11"/>
    <s v="Google Search"/>
    <s v="Fully Meets"/>
    <n v="5"/>
    <n v="3"/>
    <n v="0"/>
    <s v="1/14/2019"/>
    <n v="0"/>
    <n v="13"/>
    <s v="Normal"/>
    <s v="low Outlier"/>
    <n v="55"/>
    <n v="13"/>
    <n v="13"/>
    <s v="10+ Years"/>
    <s v="46-55"/>
    <s v="Mid (40-70K)"/>
    <n v="1"/>
    <x v="3"/>
    <n v="4"/>
    <s v="Q2"/>
    <s v="Apr"/>
    <s v="2012-04"/>
    <s v="N/A"/>
    <s v="Production       "/>
  </r>
  <r>
    <s v="Biden, Lowan  M"/>
    <n v="10226"/>
    <n v="0"/>
    <n v="2"/>
    <n v="0"/>
    <n v="1"/>
    <n v="5"/>
    <n v="3"/>
    <n v="0"/>
    <n v="64919"/>
    <n v="0"/>
    <n v="19"/>
    <s v="Production Technician I"/>
    <s v="MA"/>
    <n v="2027"/>
    <d v="1958-12-27T00:00:00"/>
    <s v="F"/>
    <s v="Divorced"/>
    <s v="US Citizen"/>
    <s v="No"/>
    <s v="Asian"/>
    <d v="2013-08-19T00:00:00"/>
    <m/>
    <s v="N/A-StillEmployed"/>
    <s v="Active"/>
    <x v="2"/>
    <s v="Ketsia Liebig"/>
    <n v="19"/>
    <s v="Indeed"/>
    <s v="Fully Meets"/>
    <n v="4.2"/>
    <n v="3"/>
    <n v="0"/>
    <s v="1/10/2019"/>
    <n v="0"/>
    <n v="2"/>
    <s v="Normal"/>
    <s v="low Outlier"/>
    <n v="67"/>
    <n v="12"/>
    <n v="12"/>
    <s v="10+ Years"/>
    <s v="55+"/>
    <s v="Mid (40-70K)"/>
    <n v="1"/>
    <x v="5"/>
    <n v="8"/>
    <s v="Q3"/>
    <s v="Aug"/>
    <s v="2013-08"/>
    <s v="N/A"/>
    <s v="Production       "/>
  </r>
  <r>
    <s v="Billis, Helen"/>
    <n v="10003"/>
    <n v="1"/>
    <n v="1"/>
    <n v="0"/>
    <n v="1"/>
    <n v="5"/>
    <n v="4"/>
    <n v="0"/>
    <n v="62910"/>
    <n v="0"/>
    <n v="19"/>
    <s v="Production Technician I"/>
    <s v="MA"/>
    <n v="2031"/>
    <d v="1989-09-01T00:00:00"/>
    <s v="F"/>
    <s v="Married"/>
    <s v="US Citizen"/>
    <s v="No"/>
    <s v="White"/>
    <d v="2014-07-07T00:00:00"/>
    <m/>
    <s v="N/A-StillEmployed"/>
    <s v="Active"/>
    <x v="2"/>
    <s v="Brannon Miller"/>
    <n v="12"/>
    <s v="Indeed"/>
    <s v="Exceeds"/>
    <n v="5"/>
    <n v="3"/>
    <n v="0"/>
    <s v="2/27/2019"/>
    <n v="0"/>
    <n v="19"/>
    <s v="Normal"/>
    <s v="low Outlier"/>
    <n v="36"/>
    <n v="11"/>
    <n v="11"/>
    <s v="10+ Years"/>
    <s v="36-45"/>
    <s v="Mid (40-70K)"/>
    <n v="1"/>
    <x v="4"/>
    <n v="7"/>
    <s v="Q3"/>
    <s v="Jul"/>
    <s v="2014-07"/>
    <s v="N/A"/>
    <s v="Production       "/>
  </r>
  <r>
    <s v="Blount, Dianna"/>
    <n v="10294"/>
    <n v="0"/>
    <n v="0"/>
    <n v="0"/>
    <n v="1"/>
    <n v="5"/>
    <n v="2"/>
    <n v="0"/>
    <n v="66441"/>
    <n v="0"/>
    <n v="20"/>
    <s v="Production Technician II"/>
    <s v="MA"/>
    <n v="2171"/>
    <d v="1990-09-21T00:00:00"/>
    <s v="F"/>
    <s v="Single"/>
    <s v="US Citizen"/>
    <s v="No"/>
    <s v="White"/>
    <d v="2011-04-04T00:00:00"/>
    <m/>
    <s v="N/A-StillEmployed"/>
    <s v="Active"/>
    <x v="2"/>
    <s v="Michael Albert"/>
    <n v="22"/>
    <s v="CareerBuilder"/>
    <s v="Needs Improvement"/>
    <n v="2"/>
    <n v="3"/>
    <n v="0"/>
    <s v="2/27/2019"/>
    <n v="2"/>
    <n v="3"/>
    <s v="Normal"/>
    <s v="low Outlier"/>
    <n v="35"/>
    <n v="14"/>
    <n v="14"/>
    <s v="10+ Years"/>
    <s v="26-35"/>
    <s v="Mid (40-70K)"/>
    <n v="1"/>
    <x v="0"/>
    <n v="4"/>
    <s v="Q2"/>
    <s v="Apr"/>
    <s v="2011-04"/>
    <s v="N/A"/>
    <s v="Production       "/>
  </r>
  <r>
    <s v="Bondwell, Betsy"/>
    <n v="10267"/>
    <n v="0"/>
    <n v="0"/>
    <n v="0"/>
    <n v="5"/>
    <n v="5"/>
    <n v="3"/>
    <n v="0"/>
    <n v="57815"/>
    <n v="1"/>
    <n v="20"/>
    <s v="Production Technician II"/>
    <s v="MA"/>
    <n v="2210"/>
    <d v="1967-01-16T00:00:00"/>
    <s v="F"/>
    <s v="Single"/>
    <s v="US Citizen"/>
    <s v="No"/>
    <s v="White"/>
    <d v="2011-01-10T00:00:00"/>
    <d v="2014-04-04T00:00:00"/>
    <s v="career change"/>
    <s v="Voluntarily Terminated"/>
    <x v="2"/>
    <s v="Elijiah Gray"/>
    <n v="16"/>
    <s v="Google Search"/>
    <s v="Fully Meets"/>
    <n v="4.8"/>
    <n v="5"/>
    <n v="0"/>
    <s v="3/4/2014"/>
    <n v="0"/>
    <n v="5"/>
    <s v="Normal"/>
    <s v="low Outlier"/>
    <n v="59"/>
    <n v="15"/>
    <n v="3"/>
    <s v="10+ Years"/>
    <s v="55+"/>
    <s v="Mid (40-70K)"/>
    <n v="0"/>
    <x v="0"/>
    <n v="1"/>
    <s v="Q1"/>
    <s v="Jan"/>
    <s v="2011-01"/>
    <n v="2014"/>
    <s v="Production       "/>
  </r>
  <r>
    <s v="Booth, Frank"/>
    <n v="10199"/>
    <n v="0"/>
    <n v="0"/>
    <n v="1"/>
    <n v="4"/>
    <n v="3"/>
    <n v="3"/>
    <n v="0"/>
    <n v="103613"/>
    <n v="1"/>
    <n v="30"/>
    <s v="Enterprise Architect"/>
    <s v="CT"/>
    <n v="6033"/>
    <d v="1964-07-30T00:00:00"/>
    <s v="M "/>
    <s v="Single"/>
    <s v="US Citizen"/>
    <s v="No"/>
    <s v="Black or African American"/>
    <d v="2014-02-17T00:00:00"/>
    <d v="2016-02-19T00:00:00"/>
    <s v="Learned that he is a gangster"/>
    <s v="Terminated for Cause"/>
    <x v="1"/>
    <s v="Simon Roup"/>
    <n v="4"/>
    <s v="LinkedIn"/>
    <s v="Fully Meets"/>
    <n v="3.5"/>
    <n v="5"/>
    <n v="7"/>
    <s v="1/10/2016"/>
    <n v="0"/>
    <n v="2"/>
    <s v="Normal"/>
    <s v="low Outlier"/>
    <n v="61"/>
    <n v="11"/>
    <n v="2"/>
    <s v="10+ Years"/>
    <s v="55+"/>
    <s v="Executive (100K+)"/>
    <n v="0"/>
    <x v="4"/>
    <n v="2"/>
    <s v="Q1"/>
    <s v="Feb"/>
    <s v="2014-02"/>
    <n v="2016"/>
    <s v="Production       "/>
  </r>
  <r>
    <s v="Boutwell, Bonalyn"/>
    <n v="10081"/>
    <n v="1"/>
    <n v="1"/>
    <n v="0"/>
    <n v="1"/>
    <n v="1"/>
    <n v="3"/>
    <n v="1"/>
    <n v="106367"/>
    <n v="0"/>
    <n v="26"/>
    <s v="Sr. Accountant"/>
    <s v="MA"/>
    <n v="2468"/>
    <d v="1987-04-04T00:00:00"/>
    <s v="F"/>
    <s v="Married"/>
    <s v="US Citizen"/>
    <s v="No"/>
    <s v="Black or African American"/>
    <d v="2015-02-16T00:00:00"/>
    <m/>
    <s v="N/A-StillEmployed"/>
    <s v="Active"/>
    <x v="4"/>
    <s v="Brandon R. LeBlanc"/>
    <n v="3"/>
    <s v="Diversity Job Fair"/>
    <s v="Fully Meets"/>
    <n v="5"/>
    <n v="4"/>
    <n v="3"/>
    <s v="2/18/2019"/>
    <n v="0"/>
    <n v="4"/>
    <s v="Normal"/>
    <s v="low Outlier"/>
    <n v="38"/>
    <n v="11"/>
    <n v="11"/>
    <s v="10+ Years"/>
    <s v="36-45"/>
    <s v="Executive (100K+)"/>
    <n v="1"/>
    <x v="1"/>
    <n v="2"/>
    <s v="Q1"/>
    <s v="Feb"/>
    <s v="2015-02"/>
    <s v="N/A"/>
    <s v="Production       "/>
  </r>
  <r>
    <s v="Bozzi, Charles"/>
    <n v="10175"/>
    <n v="0"/>
    <n v="0"/>
    <n v="1"/>
    <n v="5"/>
    <n v="5"/>
    <n v="3"/>
    <n v="0"/>
    <n v="74312"/>
    <n v="1"/>
    <n v="18"/>
    <s v="Production Manager"/>
    <s v="MA"/>
    <n v="1901"/>
    <d v="1970-03-10T00:00:00"/>
    <s v="M "/>
    <s v="Single"/>
    <s v="US Citizen"/>
    <s v="No"/>
    <s v="Asian"/>
    <d v="2013-09-30T00:00:00"/>
    <d v="2014-08-07T00:00:00"/>
    <s v="retiring"/>
    <s v="Voluntarily Terminated"/>
    <x v="2"/>
    <s v="Janet King"/>
    <n v="2"/>
    <s v="Indeed"/>
    <s v="Fully Meets"/>
    <n v="3.39"/>
    <n v="3"/>
    <n v="0"/>
    <s v="2/20/2014"/>
    <n v="0"/>
    <n v="14"/>
    <s v="Normal"/>
    <s v="low Outlier"/>
    <n v="55"/>
    <n v="12"/>
    <n v="0"/>
    <s v="10+ Years"/>
    <s v="46-55"/>
    <s v="Senior (70-100K)"/>
    <n v="0"/>
    <x v="5"/>
    <n v="9"/>
    <s v="Q3"/>
    <s v="Sep"/>
    <s v="2013-09"/>
    <n v="2014"/>
    <s v="Production       "/>
  </r>
  <r>
    <s v="Brill, Donna"/>
    <n v="10177"/>
    <n v="1"/>
    <n v="1"/>
    <n v="0"/>
    <n v="5"/>
    <n v="5"/>
    <n v="3"/>
    <n v="0"/>
    <n v="53492"/>
    <n v="1"/>
    <n v="19"/>
    <s v="Production Technician I"/>
    <s v="MA"/>
    <n v="1701"/>
    <d v="1990-08-24T00:00:00"/>
    <s v="F"/>
    <s v="Married"/>
    <s v="US Citizen"/>
    <s v="No"/>
    <s v="White"/>
    <d v="2012-04-02T00:00:00"/>
    <d v="2013-06-15T00:00:00"/>
    <s v="Another position"/>
    <s v="Voluntarily Terminated"/>
    <x v="2"/>
    <s v="David Stanley"/>
    <n v="14"/>
    <s v="Google Search"/>
    <s v="Fully Meets"/>
    <n v="3.35"/>
    <n v="4"/>
    <n v="0"/>
    <s v="3/4/2013"/>
    <n v="0"/>
    <n v="6"/>
    <s v="Normal"/>
    <s v="low Outlier"/>
    <n v="35"/>
    <n v="13"/>
    <n v="1"/>
    <s v="10+ Years"/>
    <s v="26-35"/>
    <s v="Mid (40-70K)"/>
    <n v="0"/>
    <x v="3"/>
    <n v="4"/>
    <s v="Q2"/>
    <s v="Apr"/>
    <s v="2012-04"/>
    <n v="2013"/>
    <s v="Production       "/>
  </r>
  <r>
    <s v="Brown, Mia"/>
    <n v="10238"/>
    <n v="1"/>
    <n v="1"/>
    <n v="0"/>
    <n v="1"/>
    <n v="1"/>
    <n v="3"/>
    <n v="1"/>
    <n v="63000"/>
    <n v="0"/>
    <n v="1"/>
    <s v="Accountant I"/>
    <s v="MA"/>
    <n v="1450"/>
    <d v="1987-11-24T00:00:00"/>
    <s v="F"/>
    <s v="Married"/>
    <s v="US Citizen"/>
    <s v="No"/>
    <s v="Black or African American"/>
    <d v="2008-10-27T00:00:00"/>
    <m/>
    <s v="N/A-StillEmployed"/>
    <s v="Active"/>
    <x v="4"/>
    <s v="Brandon R. LeBlanc"/>
    <n v="1"/>
    <s v="Diversity Job Fair"/>
    <s v="Fully Meets"/>
    <n v="4.5"/>
    <n v="2"/>
    <n v="6"/>
    <s v="1/15/2019"/>
    <n v="0"/>
    <n v="14"/>
    <s v="Normal"/>
    <s v="low Outlier"/>
    <n v="38"/>
    <n v="17"/>
    <n v="17"/>
    <s v="10+ Years"/>
    <s v="36-45"/>
    <s v="Mid (40-70K)"/>
    <n v="1"/>
    <x v="2"/>
    <n v="10"/>
    <s v="Q4"/>
    <s v="Oct"/>
    <s v="2008-10"/>
    <s v="N/A"/>
    <s v="Production       "/>
  </r>
  <r>
    <s v="Buccheri, Joseph  "/>
    <n v="10184"/>
    <n v="0"/>
    <n v="0"/>
    <n v="1"/>
    <n v="1"/>
    <n v="5"/>
    <n v="3"/>
    <n v="0"/>
    <n v="65288"/>
    <n v="0"/>
    <n v="20"/>
    <s v="Production Technician II"/>
    <s v="MA"/>
    <n v="1013"/>
    <d v="1983-07-28T00:00:00"/>
    <s v="M "/>
    <s v="Single"/>
    <s v="US Citizen"/>
    <s v="No"/>
    <s v="White"/>
    <d v="2014-09-29T00:00:00"/>
    <m/>
    <s v="N/A-StillEmployed"/>
    <s v="Active"/>
    <x v="2"/>
    <s v="Webster Butler"/>
    <m/>
    <s v="Google Search"/>
    <s v="Fully Meets"/>
    <n v="3.19"/>
    <n v="3"/>
    <n v="0"/>
    <s v="2/1/2019"/>
    <n v="0"/>
    <n v="9"/>
    <s v="Normal"/>
    <s v="low Outlier"/>
    <n v="42"/>
    <n v="11"/>
    <n v="11"/>
    <s v="10+ Years"/>
    <s v="36-45"/>
    <s v="Mid (40-70K)"/>
    <n v="1"/>
    <x v="4"/>
    <n v="9"/>
    <s v="Q3"/>
    <s v="Sep"/>
    <s v="2014-09"/>
    <s v="N/A"/>
    <s v="Production       "/>
  </r>
  <r>
    <s v="Bugali, Josephine "/>
    <n v="10203"/>
    <n v="0"/>
    <n v="3"/>
    <n v="0"/>
    <n v="3"/>
    <n v="5"/>
    <n v="3"/>
    <n v="1"/>
    <n v="64375"/>
    <n v="0"/>
    <n v="19"/>
    <s v="Production Technician I"/>
    <s v="MA"/>
    <n v="2043"/>
    <d v="1969-10-30T00:00:00"/>
    <s v="F"/>
    <s v="Separated"/>
    <s v="US Citizen"/>
    <s v="No"/>
    <s v="Black or African American"/>
    <d v="2013-11-11T00:00:00"/>
    <m/>
    <s v="N/A-StillEmployed"/>
    <s v="Active"/>
    <x v="2"/>
    <s v="Kissy Sullivan"/>
    <n v="20"/>
    <s v="Diversity Job Fair"/>
    <s v="Fully Meets"/>
    <n v="3.5"/>
    <n v="5"/>
    <n v="0"/>
    <s v="1/21/2019"/>
    <n v="0"/>
    <n v="17"/>
    <s v="Normal"/>
    <s v="low Outlier"/>
    <n v="56"/>
    <n v="12"/>
    <n v="12"/>
    <s v="10+ Years"/>
    <s v="55+"/>
    <s v="Mid (40-70K)"/>
    <n v="1"/>
    <x v="5"/>
    <n v="11"/>
    <s v="Q4"/>
    <s v="Nov"/>
    <s v="2013-11"/>
    <s v="N/A"/>
    <s v="Production       "/>
  </r>
  <r>
    <s v="Bunbury, Jessica"/>
    <n v="10188"/>
    <n v="1"/>
    <n v="1"/>
    <n v="0"/>
    <n v="5"/>
    <n v="6"/>
    <n v="3"/>
    <n v="0"/>
    <n v="74326"/>
    <n v="1"/>
    <n v="3"/>
    <s v="Area Sales Manager"/>
    <s v="VA"/>
    <n v="21851"/>
    <d v="1964-06-01T00:00:00"/>
    <s v="F"/>
    <s v="Married"/>
    <s v="Eligible NonCitizen"/>
    <s v="No"/>
    <s v="Black or African American"/>
    <d v="2011-08-15T00:00:00"/>
    <d v="2014-08-02T00:00:00"/>
    <s v="Another position"/>
    <s v="Voluntarily Terminated"/>
    <x v="5"/>
    <s v="John Smith"/>
    <n v="17"/>
    <s v="Google Search"/>
    <s v="Fully Meets"/>
    <n v="3.14"/>
    <n v="5"/>
    <n v="0"/>
    <s v="2/10/2013"/>
    <n v="1"/>
    <n v="19"/>
    <s v="Normal"/>
    <s v="low Outlier"/>
    <n v="61"/>
    <n v="14"/>
    <n v="2"/>
    <s v="10+ Years"/>
    <s v="55+"/>
    <s v="Senior (70-100K)"/>
    <n v="0"/>
    <x v="0"/>
    <n v="8"/>
    <s v="Q3"/>
    <s v="Aug"/>
    <s v="2011-08"/>
    <n v="2014"/>
    <s v="Production       "/>
  </r>
  <r>
    <s v="Burke, Joelle"/>
    <n v="10107"/>
    <n v="0"/>
    <n v="0"/>
    <n v="0"/>
    <n v="1"/>
    <n v="5"/>
    <n v="3"/>
    <n v="0"/>
    <n v="63763"/>
    <n v="0"/>
    <n v="20"/>
    <s v="Production Technician II"/>
    <s v="MA"/>
    <n v="2148"/>
    <d v="1980-03-02T00:00:00"/>
    <s v="F"/>
    <s v="Single"/>
    <s v="US Citizen"/>
    <s v="No"/>
    <s v="Black or African American"/>
    <d v="2012-03-05T00:00:00"/>
    <m/>
    <s v="N/A-StillEmployed"/>
    <s v="Active"/>
    <x v="2"/>
    <s v="Amy Dunn"/>
    <n v="11"/>
    <s v="Employee Referral"/>
    <s v="Fully Meets"/>
    <n v="4.51"/>
    <n v="4"/>
    <n v="0"/>
    <s v="2/21/2019"/>
    <n v="0"/>
    <n v="3"/>
    <s v="Normal"/>
    <s v="low Outlier"/>
    <n v="45"/>
    <n v="13"/>
    <n v="13"/>
    <s v="10+ Years"/>
    <s v="36-45"/>
    <s v="Mid (40-70K)"/>
    <n v="1"/>
    <x v="3"/>
    <n v="3"/>
    <s v="Q1"/>
    <s v="Mar"/>
    <s v="2012-03"/>
    <s v="N/A"/>
    <s v="Production       "/>
  </r>
  <r>
    <s v="Burkett, Benjamin "/>
    <n v="10181"/>
    <n v="1"/>
    <n v="1"/>
    <n v="1"/>
    <n v="1"/>
    <n v="5"/>
    <n v="3"/>
    <n v="0"/>
    <n v="62162"/>
    <n v="0"/>
    <n v="20"/>
    <s v="Production Technician II"/>
    <s v="MA"/>
    <n v="1890"/>
    <d v="1977-08-19T00:00:00"/>
    <s v="M "/>
    <s v="Married"/>
    <s v="US Citizen"/>
    <s v="No"/>
    <s v="White"/>
    <d v="2011-04-04T00:00:00"/>
    <m/>
    <s v="N/A-StillEmployed"/>
    <s v="Active"/>
    <x v="2"/>
    <s v="Ketsia Liebig"/>
    <n v="19"/>
    <s v="Indeed"/>
    <s v="Fully Meets"/>
    <n v="3.25"/>
    <n v="5"/>
    <n v="0"/>
    <s v="1/14/2019"/>
    <n v="0"/>
    <n v="15"/>
    <s v="Normal"/>
    <s v="low Outlier"/>
    <n v="48"/>
    <n v="14"/>
    <n v="14"/>
    <s v="10+ Years"/>
    <s v="46-55"/>
    <s v="Mid (40-70K)"/>
    <n v="1"/>
    <x v="0"/>
    <n v="4"/>
    <s v="Q2"/>
    <s v="Apr"/>
    <s v="2011-04"/>
    <s v="N/A"/>
    <s v="Production       "/>
  </r>
  <r>
    <s v="Cady, Max "/>
    <n v="10150"/>
    <n v="0"/>
    <n v="0"/>
    <n v="1"/>
    <n v="1"/>
    <n v="4"/>
    <n v="3"/>
    <n v="0"/>
    <n v="77692"/>
    <n v="0"/>
    <n v="25"/>
    <s v="Software Engineering Manager"/>
    <s v="MA"/>
    <n v="2184"/>
    <d v="1966-11-22T00:00:00"/>
    <s v="M "/>
    <s v="Single"/>
    <s v="US Citizen"/>
    <s v="No"/>
    <s v="White"/>
    <d v="2011-08-15T00:00:00"/>
    <m/>
    <s v="N/A-StillEmployed"/>
    <s v="Active"/>
    <x v="3"/>
    <s v="Jennifer Zamora"/>
    <n v="5"/>
    <s v="Google Search"/>
    <s v="Fully Meets"/>
    <n v="3.84"/>
    <n v="3"/>
    <n v="5"/>
    <s v="1/21/2019"/>
    <n v="0"/>
    <n v="4"/>
    <s v="Normal"/>
    <s v="low Outlier"/>
    <n v="59"/>
    <n v="14"/>
    <n v="14"/>
    <s v="10+ Years"/>
    <s v="55+"/>
    <s v="Senior (70-100K)"/>
    <n v="1"/>
    <x v="0"/>
    <n v="8"/>
    <s v="Q3"/>
    <s v="Aug"/>
    <s v="2011-08"/>
    <s v="N/A"/>
    <s v="Production       "/>
  </r>
  <r>
    <s v="Candie, Calvin"/>
    <n v="10001"/>
    <n v="0"/>
    <n v="0"/>
    <n v="1"/>
    <n v="1"/>
    <n v="5"/>
    <n v="4"/>
    <n v="0"/>
    <n v="72640"/>
    <n v="0"/>
    <n v="18"/>
    <s v="Production Manager"/>
    <s v="MA"/>
    <n v="2169"/>
    <d v="1983-08-09T00:00:00"/>
    <s v="M "/>
    <s v="Single"/>
    <s v="US Citizen"/>
    <s v="No"/>
    <s v="White"/>
    <d v="2016-01-28T00:00:00"/>
    <m/>
    <s v="N/A-StillEmployed"/>
    <s v="Active"/>
    <x v="2"/>
    <s v="Janet King"/>
    <n v="2"/>
    <s v="Indeed"/>
    <s v="Exceeds"/>
    <n v="5"/>
    <n v="3"/>
    <n v="0"/>
    <s v="2/22/2019"/>
    <n v="0"/>
    <n v="14"/>
    <s v="Normal"/>
    <s v="low Outlier"/>
    <n v="42"/>
    <n v="10"/>
    <n v="10"/>
    <s v="10+ Years"/>
    <s v="36-45"/>
    <s v="Senior (70-100K)"/>
    <n v="1"/>
    <x v="7"/>
    <n v="1"/>
    <s v="Q1"/>
    <s v="Jan"/>
    <s v="2016-01"/>
    <s v="N/A"/>
    <s v="Production       "/>
  </r>
  <r>
    <s v="Carabbio, Judith"/>
    <n v="10085"/>
    <n v="0"/>
    <n v="0"/>
    <n v="0"/>
    <n v="1"/>
    <n v="4"/>
    <n v="3"/>
    <n v="0"/>
    <n v="93396"/>
    <n v="0"/>
    <n v="24"/>
    <s v="Software Engineer"/>
    <s v="MA"/>
    <n v="2132"/>
    <d v="1987-04-05T00:00:00"/>
    <s v="F"/>
    <s v="Single"/>
    <s v="US Citizen"/>
    <s v="No"/>
    <s v="White"/>
    <d v="2013-11-11T00:00:00"/>
    <m/>
    <s v="N/A-StillEmployed"/>
    <s v="Active"/>
    <x v="3"/>
    <s v="Alex Sweetwater"/>
    <n v="10"/>
    <s v="Indeed"/>
    <s v="Fully Meets"/>
    <n v="4.96"/>
    <n v="4"/>
    <n v="6"/>
    <s v="1/30/2019"/>
    <n v="0"/>
    <n v="3"/>
    <s v="Normal"/>
    <s v="low Outlier"/>
    <n v="38"/>
    <n v="12"/>
    <n v="12"/>
    <s v="10+ Years"/>
    <s v="36-45"/>
    <s v="Senior (70-100K)"/>
    <n v="1"/>
    <x v="5"/>
    <n v="11"/>
    <s v="Q4"/>
    <s v="Nov"/>
    <s v="2013-11"/>
    <s v="N/A"/>
    <s v="Production       "/>
  </r>
  <r>
    <s v="Carey, Michael  "/>
    <n v="10115"/>
    <n v="0"/>
    <n v="0"/>
    <n v="1"/>
    <n v="1"/>
    <n v="5"/>
    <n v="3"/>
    <n v="0"/>
    <n v="52846"/>
    <n v="0"/>
    <n v="19"/>
    <s v="Production Technician I"/>
    <s v="MA"/>
    <n v="1701"/>
    <d v="1983-02-02T00:00:00"/>
    <s v="M "/>
    <s v="Single"/>
    <s v="US Citizen"/>
    <s v="No"/>
    <s v="Black or African American"/>
    <d v="2014-03-31T00:00:00"/>
    <m/>
    <s v="N/A-StillEmployed"/>
    <s v="Active"/>
    <x v="2"/>
    <s v="Kelley Spirea"/>
    <n v="18"/>
    <s v="LinkedIn"/>
    <s v="Fully Meets"/>
    <n v="4.43"/>
    <n v="3"/>
    <n v="0"/>
    <s v="2/1/2019"/>
    <n v="0"/>
    <n v="14"/>
    <s v="Normal"/>
    <s v="low Outlier"/>
    <n v="43"/>
    <n v="11"/>
    <n v="11"/>
    <s v="10+ Years"/>
    <s v="36-45"/>
    <s v="Mid (40-70K)"/>
    <n v="1"/>
    <x v="4"/>
    <n v="3"/>
    <s v="Q1"/>
    <s v="Mar"/>
    <s v="2014-03"/>
    <s v="N/A"/>
    <s v="Production       "/>
  </r>
  <r>
    <s v="Carr, Claudia  N"/>
    <n v="10082"/>
    <n v="0"/>
    <n v="0"/>
    <n v="0"/>
    <n v="2"/>
    <n v="3"/>
    <n v="3"/>
    <n v="0"/>
    <n v="100031"/>
    <n v="0"/>
    <n v="27"/>
    <s v="Sr. DBA"/>
    <s v="MA"/>
    <n v="1886"/>
    <d v="1986-06-06T00:00:00"/>
    <s v="F"/>
    <s v="Single"/>
    <s v="US Citizen"/>
    <s v="No"/>
    <s v="Black or African American"/>
    <d v="2016-06-30T00:00:00"/>
    <m/>
    <s v="N/A-StillEmployed"/>
    <s v="Active"/>
    <x v="1"/>
    <s v="Simon Roup"/>
    <n v="4"/>
    <s v="LinkedIn"/>
    <s v="Fully Meets"/>
    <n v="5"/>
    <n v="5"/>
    <n v="6"/>
    <s v="2/18/2019"/>
    <n v="0"/>
    <n v="7"/>
    <s v="Normal"/>
    <s v="low Outlier"/>
    <n v="39"/>
    <n v="9"/>
    <n v="9"/>
    <s v="5-10 Years"/>
    <s v="36-45"/>
    <s v="Executive (100K+)"/>
    <n v="1"/>
    <x v="7"/>
    <n v="6"/>
    <s v="Q2"/>
    <s v="Jun"/>
    <s v="2016-06"/>
    <s v="N/A"/>
    <s v="Production       "/>
  </r>
  <r>
    <s v="Carter, Michelle "/>
    <n v="10040"/>
    <n v="0"/>
    <n v="0"/>
    <n v="0"/>
    <n v="1"/>
    <n v="6"/>
    <n v="3"/>
    <n v="0"/>
    <n v="71860"/>
    <n v="0"/>
    <n v="3"/>
    <s v="Area Sales Manager"/>
    <s v="VT"/>
    <n v="5664"/>
    <d v="1963-05-15T00:00:00"/>
    <s v="F"/>
    <s v="Single"/>
    <s v="US Citizen"/>
    <s v="No"/>
    <s v="White"/>
    <d v="2014-08-18T00:00:00"/>
    <m/>
    <s v="N/A-StillEmployed"/>
    <s v="Active"/>
    <x v="5"/>
    <s v="John Smith"/>
    <n v="17"/>
    <s v="Indeed"/>
    <s v="Fully Meets"/>
    <n v="5"/>
    <n v="5"/>
    <n v="0"/>
    <s v="1/21/2019"/>
    <n v="0"/>
    <n v="7"/>
    <s v="Normal"/>
    <s v="low Outlier"/>
    <n v="62"/>
    <n v="11"/>
    <n v="11"/>
    <s v="10+ Years"/>
    <s v="55+"/>
    <s v="Senior (70-100K)"/>
    <n v="1"/>
    <x v="4"/>
    <n v="8"/>
    <s v="Q3"/>
    <s v="Aug"/>
    <s v="2014-08"/>
    <s v="N/A"/>
    <s v="Production       "/>
  </r>
  <r>
    <s v="Chace, Beatrice "/>
    <n v="10067"/>
    <n v="0"/>
    <n v="0"/>
    <n v="0"/>
    <n v="1"/>
    <n v="5"/>
    <n v="3"/>
    <n v="0"/>
    <n v="61656"/>
    <n v="0"/>
    <n v="19"/>
    <s v="Production Technician I"/>
    <s v="MA"/>
    <n v="2763"/>
    <d v="1951-01-02T00:00:00"/>
    <s v="F"/>
    <s v="Single"/>
    <s v="US Citizen"/>
    <s v="No"/>
    <s v="White"/>
    <d v="2014-09-29T00:00:00"/>
    <m/>
    <s v="N/A-StillEmployed"/>
    <s v="Active"/>
    <x v="2"/>
    <s v="Michael Albert"/>
    <n v="22"/>
    <s v="Google Search"/>
    <s v="Fully Meets"/>
    <n v="5"/>
    <n v="4"/>
    <n v="0"/>
    <s v="2/12/2019"/>
    <n v="0"/>
    <n v="11"/>
    <s v="Normal"/>
    <s v="low Outlier"/>
    <n v="75"/>
    <n v="11"/>
    <n v="11"/>
    <s v="10+ Years"/>
    <s v="55+"/>
    <s v="Mid (40-70K)"/>
    <n v="1"/>
    <x v="4"/>
    <n v="9"/>
    <s v="Q3"/>
    <s v="Sep"/>
    <s v="2014-09"/>
    <s v="N/A"/>
    <s v="Production       "/>
  </r>
  <r>
    <s v="Champaigne, Brian"/>
    <n v="10108"/>
    <n v="1"/>
    <n v="1"/>
    <n v="1"/>
    <n v="1"/>
    <n v="3"/>
    <n v="3"/>
    <n v="0"/>
    <n v="110929"/>
    <n v="0"/>
    <n v="5"/>
    <s v="BI Director"/>
    <s v="MA"/>
    <n v="2045"/>
    <d v="1972-02-09T00:00:00"/>
    <s v="M "/>
    <s v="Married"/>
    <s v="US Citizen"/>
    <s v="No"/>
    <s v="White"/>
    <d v="2016-09-06T00:00:00"/>
    <m/>
    <s v="N/A-StillEmployed"/>
    <s v="Active"/>
    <x v="1"/>
    <s v="Jennifer Zamora"/>
    <n v="5"/>
    <s v="Indeed"/>
    <s v="Fully Meets"/>
    <n v="4.5"/>
    <n v="5"/>
    <n v="7"/>
    <s v="1/15/2019"/>
    <n v="0"/>
    <n v="8"/>
    <s v="Normal"/>
    <s v="low Outlier"/>
    <n v="54"/>
    <n v="9"/>
    <n v="9"/>
    <s v="5-10 Years"/>
    <s v="46-55"/>
    <s v="Executive (100K+)"/>
    <n v="1"/>
    <x v="7"/>
    <n v="9"/>
    <s v="Q3"/>
    <s v="Sep"/>
    <s v="2016-09"/>
    <s v="N/A"/>
    <s v="Production       "/>
  </r>
  <r>
    <s v="Chan, Lin"/>
    <n v="10210"/>
    <n v="0"/>
    <n v="0"/>
    <n v="0"/>
    <n v="1"/>
    <n v="5"/>
    <n v="3"/>
    <n v="0"/>
    <n v="54237"/>
    <n v="0"/>
    <n v="19"/>
    <s v="Production Technician I"/>
    <s v="MA"/>
    <n v="2170"/>
    <d v="1979-02-12T00:00:00"/>
    <s v="F"/>
    <s v="Single"/>
    <s v="US Citizen"/>
    <s v="No"/>
    <s v="White"/>
    <d v="2014-05-12T00:00:00"/>
    <m/>
    <s v="N/A-StillEmployed"/>
    <s v="Active"/>
    <x v="2"/>
    <s v="Elijiah Gray"/>
    <n v="16"/>
    <s v="Indeed"/>
    <s v="Fully Meets"/>
    <n v="3.3"/>
    <n v="4"/>
    <n v="0"/>
    <s v="2/19/2019"/>
    <n v="0"/>
    <n v="11"/>
    <s v="Normal"/>
    <s v="low Outlier"/>
    <n v="47"/>
    <n v="11"/>
    <n v="11"/>
    <s v="10+ Years"/>
    <s v="46-55"/>
    <s v="Mid (40-70K)"/>
    <n v="1"/>
    <x v="4"/>
    <n v="5"/>
    <s v="Q2"/>
    <s v="May"/>
    <s v="2014-05"/>
    <s v="N/A"/>
    <s v="Production       "/>
  </r>
  <r>
    <s v="Chang, Donovan  E"/>
    <n v="10154"/>
    <n v="0"/>
    <n v="0"/>
    <n v="1"/>
    <n v="1"/>
    <n v="5"/>
    <n v="3"/>
    <n v="0"/>
    <n v="60380"/>
    <n v="0"/>
    <n v="19"/>
    <s v="Production Technician I"/>
    <s v="MA"/>
    <n v="1845"/>
    <d v="1983-08-24T00:00:00"/>
    <s v="M "/>
    <s v="Single"/>
    <s v="US Citizen"/>
    <s v="No"/>
    <s v="White"/>
    <d v="2013-07-08T00:00:00"/>
    <m/>
    <s v="N/A-StillEmployed"/>
    <s v="Active"/>
    <x v="2"/>
    <s v="Webster Butler"/>
    <m/>
    <s v="LinkedIn"/>
    <s v="Fully Meets"/>
    <n v="3.8"/>
    <n v="5"/>
    <n v="0"/>
    <s v="1/14/2019"/>
    <n v="0"/>
    <n v="4"/>
    <s v="Normal"/>
    <s v="low Outlier"/>
    <n v="42"/>
    <n v="12"/>
    <n v="12"/>
    <s v="10+ Years"/>
    <s v="36-45"/>
    <s v="Mid (40-70K)"/>
    <n v="1"/>
    <x v="5"/>
    <n v="7"/>
    <s v="Q3"/>
    <s v="Jul"/>
    <s v="2013-07"/>
    <s v="N/A"/>
    <s v="Production       "/>
  </r>
  <r>
    <s v="Chigurh, Anton"/>
    <n v="10200"/>
    <n v="0"/>
    <n v="0"/>
    <n v="1"/>
    <n v="1"/>
    <n v="6"/>
    <n v="3"/>
    <n v="0"/>
    <n v="66808"/>
    <n v="0"/>
    <n v="3"/>
    <s v="Area Sales Manager"/>
    <s v="TX"/>
    <n v="78207"/>
    <d v="1970-06-11T00:00:00"/>
    <s v="M "/>
    <s v="Single"/>
    <s v="Eligible NonCitizen"/>
    <s v="No"/>
    <s v="Black or African American"/>
    <d v="2012-05-14T00:00:00"/>
    <m/>
    <s v="N/A-StillEmployed"/>
    <s v="Active"/>
    <x v="5"/>
    <s v="Lynn Daneault"/>
    <n v="21"/>
    <s v="Employee Referral"/>
    <s v="Fully Meets"/>
    <n v="3"/>
    <n v="5"/>
    <n v="0"/>
    <s v="1/19/2019"/>
    <n v="0"/>
    <n v="17"/>
    <s v="Normal"/>
    <s v="low Outlier"/>
    <n v="55"/>
    <n v="13"/>
    <n v="13"/>
    <s v="10+ Years"/>
    <s v="46-55"/>
    <s v="Mid (40-70K)"/>
    <n v="1"/>
    <x v="3"/>
    <n v="5"/>
    <s v="Q2"/>
    <s v="May"/>
    <s v="2012-05"/>
    <s v="N/A"/>
    <s v="Production       "/>
  </r>
  <r>
    <s v="Chivukula, Enola"/>
    <n v="10240"/>
    <n v="0"/>
    <n v="0"/>
    <n v="0"/>
    <n v="5"/>
    <n v="5"/>
    <n v="3"/>
    <n v="0"/>
    <n v="64786"/>
    <n v="1"/>
    <n v="19"/>
    <s v="Production Technician I"/>
    <s v="MA"/>
    <n v="1775"/>
    <d v="1983-08-27T00:00:00"/>
    <s v="F"/>
    <s v="Single"/>
    <s v="US Citizen"/>
    <s v="No"/>
    <s v="White"/>
    <d v="2011-06-27T00:00:00"/>
    <d v="2015-11-15T00:00:00"/>
    <s v="relocation out of area"/>
    <s v="Voluntarily Terminated"/>
    <x v="2"/>
    <s v="Amy Dunn"/>
    <n v="11"/>
    <s v="Indeed"/>
    <s v="Fully Meets"/>
    <n v="4.3"/>
    <n v="4"/>
    <n v="0"/>
    <s v="3/10/2015"/>
    <n v="0"/>
    <n v="3"/>
    <s v="Normal"/>
    <s v="low Outlier"/>
    <n v="42"/>
    <n v="14"/>
    <n v="4"/>
    <s v="10+ Years"/>
    <s v="36-45"/>
    <s v="Mid (40-70K)"/>
    <n v="0"/>
    <x v="0"/>
    <n v="6"/>
    <s v="Q2"/>
    <s v="Jun"/>
    <s v="2011-06"/>
    <n v="2015"/>
    <s v="Production       "/>
  </r>
  <r>
    <s v="Cierpiszewski, Caroline  "/>
    <n v="10168"/>
    <n v="0"/>
    <n v="0"/>
    <n v="0"/>
    <n v="1"/>
    <n v="5"/>
    <n v="3"/>
    <n v="0"/>
    <n v="64816"/>
    <n v="0"/>
    <n v="19"/>
    <s v="Production Technician I"/>
    <s v="MA"/>
    <n v="2044"/>
    <d v="1988-05-31T00:00:00"/>
    <s v="F"/>
    <s v="Single"/>
    <s v="Non-Citizen"/>
    <s v="No"/>
    <s v="Black or African American"/>
    <d v="2011-10-03T00:00:00"/>
    <m/>
    <s v="N/A-StillEmployed"/>
    <s v="Active"/>
    <x v="2"/>
    <s v="Ketsia Liebig"/>
    <n v="19"/>
    <s v="Indeed"/>
    <s v="Fully Meets"/>
    <n v="3.58"/>
    <n v="5"/>
    <n v="0"/>
    <s v="1/30/2019"/>
    <n v="0"/>
    <n v="3"/>
    <s v="Normal"/>
    <s v="low Outlier"/>
    <n v="37"/>
    <n v="14"/>
    <n v="14"/>
    <s v="10+ Years"/>
    <s v="36-45"/>
    <s v="Mid (40-70K)"/>
    <n v="1"/>
    <x v="0"/>
    <n v="10"/>
    <s v="Q4"/>
    <s v="Oct"/>
    <s v="2011-10"/>
    <s v="N/A"/>
    <s v="Production       "/>
  </r>
  <r>
    <s v="Clayton, Rick"/>
    <n v="10220"/>
    <n v="0"/>
    <n v="0"/>
    <n v="1"/>
    <n v="1"/>
    <n v="3"/>
    <n v="3"/>
    <n v="0"/>
    <n v="68678"/>
    <n v="0"/>
    <n v="14"/>
    <s v="IT Support"/>
    <s v="MA"/>
    <n v="2170"/>
    <d v="1985-09-05T00:00:00"/>
    <s v="M "/>
    <s v="Single"/>
    <s v="US Citizen"/>
    <s v="No"/>
    <s v="White"/>
    <d v="2012-09-05T00:00:00"/>
    <m/>
    <s v="N/A-StillEmployed"/>
    <s v="Active"/>
    <x v="1"/>
    <s v="Eric Dougall"/>
    <n v="6"/>
    <s v="Indeed"/>
    <s v="Fully Meets"/>
    <n v="4.7"/>
    <n v="3"/>
    <n v="6"/>
    <s v="2/27/2019"/>
    <n v="0"/>
    <n v="2"/>
    <s v="Normal"/>
    <s v="low Outlier"/>
    <n v="40"/>
    <n v="13"/>
    <n v="13"/>
    <s v="10+ Years"/>
    <s v="36-45"/>
    <s v="Mid (40-70K)"/>
    <n v="1"/>
    <x v="3"/>
    <n v="9"/>
    <s v="Q3"/>
    <s v="Sep"/>
    <s v="2012-09"/>
    <s v="N/A"/>
    <s v="Production       "/>
  </r>
  <r>
    <s v="Cloninger, Jennifer"/>
    <n v="10275"/>
    <n v="1"/>
    <n v="1"/>
    <n v="0"/>
    <n v="5"/>
    <n v="5"/>
    <n v="3"/>
    <n v="0"/>
    <n v="64066"/>
    <n v="1"/>
    <n v="20"/>
    <s v="Production Technician II"/>
    <s v="MA"/>
    <n v="1752"/>
    <d v="1981-08-31T00:00:00"/>
    <s v="F"/>
    <s v="Married"/>
    <s v="US Citizen"/>
    <s v="No"/>
    <s v="White"/>
    <d v="2011-05-16T00:00:00"/>
    <d v="2013-01-07T00:00:00"/>
    <s v="unhappy"/>
    <s v="Voluntarily Terminated"/>
    <x v="2"/>
    <s v="Brannon Miller"/>
    <n v="12"/>
    <s v="Google Search"/>
    <s v="Fully Meets"/>
    <n v="4.2"/>
    <n v="5"/>
    <n v="0"/>
    <s v="5/3/2012"/>
    <n v="0"/>
    <n v="9"/>
    <s v="Normal"/>
    <s v="low Outlier"/>
    <n v="44"/>
    <n v="14"/>
    <n v="1"/>
    <s v="10+ Years"/>
    <s v="36-45"/>
    <s v="Mid (40-70K)"/>
    <n v="0"/>
    <x v="0"/>
    <n v="5"/>
    <s v="Q2"/>
    <s v="May"/>
    <s v="2011-05"/>
    <n v="2013"/>
    <s v="Production       "/>
  </r>
  <r>
    <s v="Close, Phil"/>
    <n v="10269"/>
    <n v="1"/>
    <n v="1"/>
    <n v="1"/>
    <n v="5"/>
    <n v="5"/>
    <n v="3"/>
    <n v="0"/>
    <n v="59369"/>
    <n v="1"/>
    <n v="20"/>
    <s v="Production Technician II"/>
    <s v="MA"/>
    <n v="2169"/>
    <d v="1978-11-25T00:00:00"/>
    <s v="M "/>
    <s v="Married"/>
    <s v="US Citizen"/>
    <s v="No"/>
    <s v="White"/>
    <d v="2010-08-30T00:00:00"/>
    <d v="2011-09-26T00:00:00"/>
    <s v="career change"/>
    <s v="Voluntarily Terminated"/>
    <x v="2"/>
    <s v="David Stanley"/>
    <n v="14"/>
    <s v="Indeed"/>
    <s v="Fully Meets"/>
    <n v="4.2"/>
    <n v="4"/>
    <n v="0"/>
    <s v="5/4/2011"/>
    <n v="0"/>
    <n v="6"/>
    <s v="Normal"/>
    <s v="low Outlier"/>
    <n v="47"/>
    <n v="15"/>
    <n v="1"/>
    <s v="10+ Years"/>
    <s v="46-55"/>
    <s v="Mid (40-70K)"/>
    <n v="0"/>
    <x v="8"/>
    <n v="8"/>
    <s v="Q3"/>
    <s v="Aug"/>
    <s v="2010-08"/>
    <n v="2011"/>
    <s v="Production       "/>
  </r>
  <r>
    <s v="Clukey, Elijian"/>
    <n v="10029"/>
    <n v="1"/>
    <n v="1"/>
    <n v="1"/>
    <n v="2"/>
    <n v="5"/>
    <n v="4"/>
    <n v="0"/>
    <n v="50373"/>
    <n v="0"/>
    <n v="19"/>
    <s v="Production Technician I"/>
    <s v="MA"/>
    <n v="2134"/>
    <d v="1980-08-26T00:00:00"/>
    <s v="M "/>
    <s v="Married"/>
    <s v="US Citizen"/>
    <s v="No"/>
    <s v="White"/>
    <d v="2016-07-06T00:00:00"/>
    <m/>
    <s v="N/A-StillEmployed"/>
    <s v="Active"/>
    <x v="2"/>
    <s v="Brannon Miller"/>
    <n v="12"/>
    <s v="Employee Referral"/>
    <s v="Exceeds"/>
    <n v="4.0999999999999996"/>
    <n v="4"/>
    <n v="0"/>
    <s v="2/28/2019"/>
    <n v="0"/>
    <n v="5"/>
    <s v="Normal"/>
    <s v="low Outlier"/>
    <n v="45"/>
    <n v="9"/>
    <n v="9"/>
    <s v="5-10 Years"/>
    <s v="36-45"/>
    <s v="Mid (40-70K)"/>
    <n v="1"/>
    <x v="7"/>
    <n v="7"/>
    <s v="Q3"/>
    <s v="Jul"/>
    <s v="2016-07"/>
    <s v="N/A"/>
    <s v="Production       "/>
  </r>
  <r>
    <s v="Cockel, James"/>
    <n v="10261"/>
    <n v="0"/>
    <n v="0"/>
    <n v="1"/>
    <n v="1"/>
    <n v="5"/>
    <n v="3"/>
    <n v="0"/>
    <n v="63108"/>
    <n v="0"/>
    <n v="19"/>
    <s v="Production Technician I"/>
    <s v="MA"/>
    <n v="2452"/>
    <d v="1977-09-08T00:00:00"/>
    <s v="M "/>
    <s v="Single"/>
    <s v="US Citizen"/>
    <s v="No"/>
    <s v="White"/>
    <d v="2013-07-08T00:00:00"/>
    <m/>
    <s v="N/A-StillEmployed"/>
    <s v="Active"/>
    <x v="2"/>
    <s v="David Stanley"/>
    <n v="14"/>
    <s v="Employee Referral"/>
    <s v="Fully Meets"/>
    <n v="4.4000000000000004"/>
    <n v="5"/>
    <n v="0"/>
    <s v="1/14/2019"/>
    <n v="0"/>
    <n v="3"/>
    <s v="Normal"/>
    <s v="low Outlier"/>
    <n v="48"/>
    <n v="12"/>
    <n v="12"/>
    <s v="10+ Years"/>
    <s v="46-55"/>
    <s v="Mid (40-70K)"/>
    <n v="1"/>
    <x v="5"/>
    <n v="7"/>
    <s v="Q3"/>
    <s v="Jul"/>
    <s v="2013-07"/>
    <s v="N/A"/>
    <s v="Production       "/>
  </r>
  <r>
    <s v="Cole, Spencer"/>
    <n v="10292"/>
    <n v="0"/>
    <n v="0"/>
    <n v="1"/>
    <n v="4"/>
    <n v="5"/>
    <n v="2"/>
    <n v="0"/>
    <n v="59144"/>
    <n v="1"/>
    <n v="19"/>
    <s v="Production Technician I"/>
    <s v="MA"/>
    <n v="1880"/>
    <d v="1979-08-12T00:00:00"/>
    <s v="M "/>
    <s v="Single"/>
    <s v="US Citizen"/>
    <s v="No"/>
    <s v="Black or African American"/>
    <d v="2011-07-11T00:00:00"/>
    <d v="2016-09-23T00:00:00"/>
    <s v="performance"/>
    <s v="Terminated for Cause"/>
    <x v="2"/>
    <s v="Kissy Sullivan"/>
    <n v="20"/>
    <s v="LinkedIn"/>
    <s v="Needs Improvement"/>
    <n v="2"/>
    <n v="3"/>
    <n v="0"/>
    <s v="5/1/2016"/>
    <n v="5"/>
    <n v="16"/>
    <s v="Normal"/>
    <s v="low Outlier"/>
    <n v="46"/>
    <n v="14"/>
    <n v="5"/>
    <s v="10+ Years"/>
    <s v="46-55"/>
    <s v="Mid (40-70K)"/>
    <n v="0"/>
    <x v="0"/>
    <n v="7"/>
    <s v="Q3"/>
    <s v="Jul"/>
    <s v="2011-07"/>
    <n v="2016"/>
    <s v="Production       "/>
  </r>
  <r>
    <s v="Corleone, Michael"/>
    <n v="10282"/>
    <n v="0"/>
    <n v="2"/>
    <n v="1"/>
    <n v="1"/>
    <n v="5"/>
    <n v="2"/>
    <n v="0"/>
    <n v="68051"/>
    <n v="0"/>
    <n v="18"/>
    <s v="Production Manager"/>
    <s v="MA"/>
    <n v="1803"/>
    <d v="1975-12-17T00:00:00"/>
    <s v="M "/>
    <s v="Divorced"/>
    <s v="US Citizen"/>
    <s v="No"/>
    <s v="White"/>
    <d v="2010-07-20T00:00:00"/>
    <m/>
    <s v="N/A-StillEmployed"/>
    <s v="Active"/>
    <x v="2"/>
    <s v="Janet King"/>
    <n v="2"/>
    <s v="CareerBuilder"/>
    <s v="Needs Improvement"/>
    <n v="4.13"/>
    <n v="2"/>
    <n v="0"/>
    <s v="1/14/2019"/>
    <n v="3"/>
    <n v="3"/>
    <s v="Normal"/>
    <s v="low Outlier"/>
    <n v="50"/>
    <n v="15"/>
    <n v="15"/>
    <s v="10+ Years"/>
    <s v="46-55"/>
    <s v="Mid (40-70K)"/>
    <n v="1"/>
    <x v="8"/>
    <n v="7"/>
    <s v="Q3"/>
    <s v="Jul"/>
    <s v="2010-07"/>
    <s v="N/A"/>
    <s v="Production       "/>
  </r>
  <r>
    <s v="Corleone, Vito"/>
    <n v="10019"/>
    <n v="0"/>
    <n v="0"/>
    <n v="1"/>
    <n v="1"/>
    <n v="5"/>
    <n v="4"/>
    <n v="0"/>
    <n v="170500"/>
    <n v="0"/>
    <n v="10"/>
    <s v="Director of Operations"/>
    <s v="MA"/>
    <n v="2030"/>
    <d v="1983-03-19T00:00:00"/>
    <s v="M "/>
    <s v="Single"/>
    <s v="US Citizen"/>
    <s v="No"/>
    <s v="Black or African American"/>
    <d v="2009-01-05T00:00:00"/>
    <m/>
    <s v="N/A-StillEmployed"/>
    <s v="Active"/>
    <x v="2"/>
    <s v="Janet King"/>
    <n v="2"/>
    <s v="Indeed"/>
    <s v="Exceeds"/>
    <n v="3.7"/>
    <n v="5"/>
    <n v="0"/>
    <s v="2/4/2019"/>
    <n v="0"/>
    <n v="15"/>
    <s v=" high Outlier"/>
    <s v="low Outlier"/>
    <n v="42"/>
    <n v="17"/>
    <n v="17"/>
    <s v="10+ Years"/>
    <s v="36-45"/>
    <s v="Executive (100K+)"/>
    <n v="1"/>
    <x v="6"/>
    <n v="1"/>
    <s v="Q1"/>
    <s v="Jan"/>
    <s v="2009-01"/>
    <s v="N/A"/>
    <s v="Production       "/>
  </r>
  <r>
    <s v="Cornett, Lisa "/>
    <n v="10094"/>
    <n v="1"/>
    <n v="1"/>
    <n v="0"/>
    <n v="1"/>
    <n v="5"/>
    <n v="3"/>
    <n v="0"/>
    <n v="63381"/>
    <n v="0"/>
    <n v="19"/>
    <s v="Production Technician I"/>
    <s v="MA"/>
    <n v="2189"/>
    <d v="1977-03-31T00:00:00"/>
    <s v="F"/>
    <s v="Married"/>
    <s v="US Citizen"/>
    <s v="Yes"/>
    <s v="White"/>
    <d v="2015-01-05T00:00:00"/>
    <m/>
    <s v="N/A-StillEmployed"/>
    <s v="Active"/>
    <x v="2"/>
    <s v="Kelley Spirea"/>
    <n v="18"/>
    <s v="Indeed"/>
    <s v="Fully Meets"/>
    <n v="4.7300000000000004"/>
    <n v="5"/>
    <n v="0"/>
    <s v="2/14/2019"/>
    <n v="0"/>
    <n v="6"/>
    <s v="Normal"/>
    <s v="low Outlier"/>
    <n v="48"/>
    <n v="11"/>
    <n v="11"/>
    <s v="10+ Years"/>
    <s v="46-55"/>
    <s v="Mid (40-70K)"/>
    <n v="1"/>
    <x v="1"/>
    <n v="1"/>
    <s v="Q1"/>
    <s v="Jan"/>
    <s v="2015-01"/>
    <s v="N/A"/>
    <s v="Production       "/>
  </r>
  <r>
    <s v="Costello, Frank"/>
    <n v="10193"/>
    <n v="1"/>
    <n v="1"/>
    <n v="1"/>
    <n v="1"/>
    <n v="3"/>
    <n v="3"/>
    <n v="0"/>
    <n v="83552"/>
    <n v="0"/>
    <n v="9"/>
    <s v="Data Analyst"/>
    <s v="MA"/>
    <n v="1810"/>
    <d v="1986-08-26T00:00:00"/>
    <s v="M "/>
    <s v="Married"/>
    <s v="US Citizen"/>
    <s v="No"/>
    <s v="White"/>
    <d v="2015-03-30T00:00:00"/>
    <m/>
    <s v="N/A-StillEmployed"/>
    <s v="Active"/>
    <x v="1"/>
    <s v="Simon Roup"/>
    <n v="4"/>
    <s v="Indeed"/>
    <s v="Fully Meets"/>
    <n v="3.04"/>
    <n v="3"/>
    <n v="6"/>
    <s v="1/22/2019"/>
    <n v="0"/>
    <n v="2"/>
    <s v="Normal"/>
    <s v="low Outlier"/>
    <n v="39"/>
    <n v="10"/>
    <n v="10"/>
    <s v="10+ Years"/>
    <s v="36-45"/>
    <s v="Senior (70-100K)"/>
    <n v="1"/>
    <x v="1"/>
    <n v="3"/>
    <s v="Q1"/>
    <s v="Mar"/>
    <s v="2015-03"/>
    <s v="N/A"/>
    <s v="Production       "/>
  </r>
  <r>
    <s v="Crimmings,   Jean"/>
    <n v="10132"/>
    <n v="0"/>
    <n v="0"/>
    <n v="0"/>
    <n v="2"/>
    <n v="5"/>
    <n v="3"/>
    <n v="0"/>
    <n v="56149"/>
    <n v="0"/>
    <n v="19"/>
    <s v="Production Technician I"/>
    <s v="MA"/>
    <n v="1821"/>
    <d v="1987-04-10T00:00:00"/>
    <s v="F"/>
    <s v="Single"/>
    <s v="US Citizen"/>
    <s v="No"/>
    <s v="White"/>
    <d v="2016-07-06T00:00:00"/>
    <m/>
    <s v="N/A-StillEmployed"/>
    <s v="Active"/>
    <x v="2"/>
    <s v="Michael Albert"/>
    <n v="22"/>
    <s v="LinkedIn"/>
    <s v="Fully Meets"/>
    <n v="4.12"/>
    <n v="5"/>
    <n v="0"/>
    <s v="1/28/2019"/>
    <n v="0"/>
    <n v="15"/>
    <s v="Normal"/>
    <s v="low Outlier"/>
    <n v="38"/>
    <n v="9"/>
    <n v="9"/>
    <s v="5-10 Years"/>
    <s v="36-45"/>
    <s v="Mid (40-70K)"/>
    <n v="1"/>
    <x v="7"/>
    <n v="7"/>
    <s v="Q3"/>
    <s v="Jul"/>
    <s v="2016-07"/>
    <s v="N/A"/>
    <s v="Production       "/>
  </r>
  <r>
    <s v="Cross, Noah"/>
    <n v="10083"/>
    <n v="0"/>
    <n v="0"/>
    <n v="1"/>
    <n v="1"/>
    <n v="3"/>
    <n v="3"/>
    <n v="0"/>
    <n v="92329"/>
    <n v="0"/>
    <n v="28"/>
    <s v="Sr. Network Engineer"/>
    <s v="CT"/>
    <n v="6278"/>
    <d v="1965-09-09T00:00:00"/>
    <s v="M "/>
    <s v="Single"/>
    <s v="US Citizen"/>
    <s v="No"/>
    <s v="White"/>
    <d v="2014-11-10T00:00:00"/>
    <m/>
    <s v="N/A-StillEmployed"/>
    <s v="Active"/>
    <x v="1"/>
    <s v="Peter Monroe"/>
    <n v="7"/>
    <s v="Employee Referral"/>
    <s v="Fully Meets"/>
    <n v="5"/>
    <n v="3"/>
    <n v="4"/>
    <s v="1/2/2019"/>
    <n v="0"/>
    <n v="5"/>
    <s v="Normal"/>
    <s v="low Outlier"/>
    <n v="60"/>
    <n v="11"/>
    <n v="11"/>
    <s v="10+ Years"/>
    <s v="55+"/>
    <s v="Senior (70-100K)"/>
    <n v="1"/>
    <x v="4"/>
    <n v="11"/>
    <s v="Q4"/>
    <s v="Nov"/>
    <s v="2014-11"/>
    <s v="N/A"/>
    <s v="Production       "/>
  </r>
  <r>
    <s v="Daneault, Lynn"/>
    <n v="10099"/>
    <n v="0"/>
    <n v="0"/>
    <n v="0"/>
    <n v="1"/>
    <n v="6"/>
    <n v="3"/>
    <n v="0"/>
    <n v="65729"/>
    <n v="0"/>
    <n v="21"/>
    <s v="Sales Manager"/>
    <s v="VT"/>
    <n v="5473"/>
    <d v="1990-04-19T00:00:00"/>
    <s v="F"/>
    <s v="Single"/>
    <s v="US Citizen"/>
    <s v="No"/>
    <s v="White"/>
    <d v="2014-05-05T00:00:00"/>
    <m/>
    <s v="N/A-StillEmployed"/>
    <s v="Active"/>
    <x v="5"/>
    <s v="Debra Houlihan"/>
    <n v="15"/>
    <s v="Indeed"/>
    <s v="Fully Meets"/>
    <n v="4.62"/>
    <n v="4"/>
    <n v="0"/>
    <s v="1/24/2019"/>
    <n v="0"/>
    <n v="8"/>
    <s v="Normal"/>
    <s v="low Outlier"/>
    <n v="35"/>
    <n v="11"/>
    <n v="11"/>
    <s v="10+ Years"/>
    <s v="26-35"/>
    <s v="Mid (40-70K)"/>
    <n v="1"/>
    <x v="4"/>
    <n v="5"/>
    <s v="Q2"/>
    <s v="May"/>
    <s v="2014-05"/>
    <s v="N/A"/>
    <s v="Production       "/>
  </r>
  <r>
    <s v="Daniele, Ann  "/>
    <n v="10212"/>
    <n v="1"/>
    <n v="1"/>
    <n v="0"/>
    <n v="3"/>
    <n v="3"/>
    <n v="3"/>
    <n v="0"/>
    <n v="85028"/>
    <n v="0"/>
    <n v="28"/>
    <s v="Sr. Network Engineer"/>
    <s v="CT"/>
    <n v="6033"/>
    <d v="1952-01-18T00:00:00"/>
    <s v="F"/>
    <s v="Married"/>
    <s v="US Citizen"/>
    <s v="No"/>
    <s v="White"/>
    <d v="2014-11-10T00:00:00"/>
    <m/>
    <s v="N/A-StillEmployed"/>
    <s v="Active"/>
    <x v="1"/>
    <s v="Peter Monroe"/>
    <n v="7"/>
    <s v="LinkedIn"/>
    <s v="Fully Meets"/>
    <n v="3.1"/>
    <n v="5"/>
    <n v="8"/>
    <s v="2/12/2019"/>
    <n v="0"/>
    <n v="19"/>
    <s v="Normal"/>
    <s v="low Outlier"/>
    <n v="74"/>
    <n v="11"/>
    <n v="11"/>
    <s v="10+ Years"/>
    <s v="55+"/>
    <s v="Senior (70-100K)"/>
    <n v="1"/>
    <x v="4"/>
    <n v="11"/>
    <s v="Q4"/>
    <s v="Nov"/>
    <s v="2014-11"/>
    <s v="N/A"/>
    <s v="Production       "/>
  </r>
  <r>
    <s v="Darson, Jene'ya "/>
    <n v="10056"/>
    <n v="1"/>
    <n v="1"/>
    <n v="0"/>
    <n v="1"/>
    <n v="5"/>
    <n v="3"/>
    <n v="0"/>
    <n v="57583"/>
    <n v="0"/>
    <n v="19"/>
    <s v="Production Technician I"/>
    <s v="MA"/>
    <n v="2110"/>
    <d v="1978-11-05T00:00:00"/>
    <s v="F"/>
    <s v="Married"/>
    <s v="US Citizen"/>
    <s v="No"/>
    <s v="White"/>
    <d v="2012-07-02T00:00:00"/>
    <m/>
    <s v="N/A-StillEmployed"/>
    <s v="Active"/>
    <x v="2"/>
    <s v="Elijiah Gray"/>
    <n v="16"/>
    <s v="Indeed"/>
    <s v="Fully Meets"/>
    <n v="5"/>
    <n v="3"/>
    <n v="0"/>
    <s v="2/25/2019"/>
    <n v="0"/>
    <n v="1"/>
    <s v="Normal"/>
    <s v="low Outlier"/>
    <n v="47"/>
    <n v="13"/>
    <n v="13"/>
    <s v="10+ Years"/>
    <s v="46-55"/>
    <s v="Mid (40-70K)"/>
    <n v="1"/>
    <x v="3"/>
    <n v="7"/>
    <s v="Q3"/>
    <s v="Jul"/>
    <s v="2012-07"/>
    <s v="N/A"/>
    <s v="Production       "/>
  </r>
  <r>
    <s v="Davis, Daniel"/>
    <n v="10143"/>
    <n v="0"/>
    <n v="0"/>
    <n v="1"/>
    <n v="1"/>
    <n v="5"/>
    <n v="3"/>
    <n v="0"/>
    <n v="56294"/>
    <n v="0"/>
    <n v="20"/>
    <s v="Production Technician II"/>
    <s v="MA"/>
    <n v="2458"/>
    <d v="1979-09-14T00:00:00"/>
    <s v="M "/>
    <s v="Single"/>
    <s v="Eligible NonCitizen"/>
    <s v="No"/>
    <s v="Two or more races"/>
    <d v="2011-11-07T00:00:00"/>
    <m/>
    <s v="N/A-StillEmployed"/>
    <s v="Active"/>
    <x v="2"/>
    <s v="Kissy Sullivan"/>
    <n v="20"/>
    <s v="LinkedIn"/>
    <s v="Fully Meets"/>
    <n v="3.96"/>
    <n v="4"/>
    <n v="0"/>
    <s v="2/27/2019"/>
    <n v="0"/>
    <n v="6"/>
    <s v="Normal"/>
    <s v="low Outlier"/>
    <n v="46"/>
    <n v="14"/>
    <n v="14"/>
    <s v="10+ Years"/>
    <s v="46-55"/>
    <s v="Mid (40-70K)"/>
    <n v="1"/>
    <x v="0"/>
    <n v="11"/>
    <s v="Q4"/>
    <s v="Nov"/>
    <s v="2011-11"/>
    <s v="N/A"/>
    <s v="Production       "/>
  </r>
  <r>
    <s v="Dee, Randy"/>
    <n v="10311"/>
    <n v="1"/>
    <n v="1"/>
    <n v="1"/>
    <n v="1"/>
    <n v="6"/>
    <n v="1"/>
    <n v="0"/>
    <n v="56991"/>
    <n v="0"/>
    <n v="19"/>
    <s v="Production Technician I"/>
    <s v="MA"/>
    <n v="2138"/>
    <d v="1988-04-15T00:00:00"/>
    <s v="M "/>
    <s v="Married"/>
    <s v="US Citizen"/>
    <s v="No"/>
    <s v="White"/>
    <d v="2018-07-09T00:00:00"/>
    <m/>
    <s v="N/A-StillEmployed"/>
    <s v="Active"/>
    <x v="2"/>
    <s v="Brannon Miller"/>
    <n v="12"/>
    <s v="Indeed"/>
    <s v="Fully Meets"/>
    <n v="4.3"/>
    <n v="4"/>
    <n v="3"/>
    <s v="1/31/2019"/>
    <n v="2"/>
    <n v="2"/>
    <s v="Normal"/>
    <s v="low Outlier"/>
    <n v="37"/>
    <n v="7"/>
    <n v="7"/>
    <s v="5-10 Years"/>
    <s v="36-45"/>
    <s v="Mid (40-70K)"/>
    <n v="1"/>
    <x v="9"/>
    <n v="7"/>
    <s v="Q3"/>
    <s v="Jul"/>
    <s v="2018-07"/>
    <s v="N/A"/>
    <s v="Production       "/>
  </r>
  <r>
    <s v="DeGweck,  James"/>
    <n v="10070"/>
    <n v="1"/>
    <n v="1"/>
    <n v="1"/>
    <n v="5"/>
    <n v="5"/>
    <n v="3"/>
    <n v="0"/>
    <n v="55722"/>
    <n v="1"/>
    <n v="19"/>
    <s v="Production Technician I"/>
    <s v="MA"/>
    <n v="1810"/>
    <d v="1977-10-31T00:00:00"/>
    <s v="M "/>
    <s v="Married"/>
    <s v="US Citizen"/>
    <s v="No"/>
    <s v="White"/>
    <d v="2011-05-16T00:00:00"/>
    <d v="2016-06-08T00:00:00"/>
    <s v="unhappy"/>
    <s v="Voluntarily Terminated"/>
    <x v="2"/>
    <s v="Webster Butler"/>
    <n v="39"/>
    <s v="Indeed"/>
    <s v="Fully Meets"/>
    <n v="5"/>
    <n v="4"/>
    <n v="0"/>
    <s v="4/2/2016"/>
    <n v="0"/>
    <n v="14"/>
    <s v="Normal"/>
    <s v="low Outlier"/>
    <n v="48"/>
    <n v="14"/>
    <n v="5"/>
    <s v="10+ Years"/>
    <s v="46-55"/>
    <s v="Mid (40-70K)"/>
    <n v="0"/>
    <x v="0"/>
    <n v="5"/>
    <s v="Q2"/>
    <s v="May"/>
    <s v="2011-05"/>
    <n v="2016"/>
    <s v="Production       "/>
  </r>
  <r>
    <s v="Del Bosque, Keyla"/>
    <n v="10155"/>
    <n v="0"/>
    <n v="0"/>
    <n v="0"/>
    <n v="1"/>
    <n v="4"/>
    <n v="3"/>
    <n v="0"/>
    <n v="101199"/>
    <n v="0"/>
    <n v="24"/>
    <s v="Software Engineer"/>
    <s v="MA"/>
    <n v="2176"/>
    <d v="1979-07-05T00:00:00"/>
    <s v="F"/>
    <s v="Single"/>
    <s v="US Citizen"/>
    <s v="No"/>
    <s v="Black or African American"/>
    <d v="2012-01-09T00:00:00"/>
    <m/>
    <s v="N/A-StillEmployed"/>
    <s v="Active"/>
    <x v="3"/>
    <s v="Alex Sweetwater"/>
    <n v="10"/>
    <s v="CareerBuilder"/>
    <s v="Fully Meets"/>
    <n v="3.79"/>
    <n v="5"/>
    <n v="5"/>
    <s v="1/25/2019"/>
    <n v="0"/>
    <n v="8"/>
    <s v="Normal"/>
    <s v="low Outlier"/>
    <n v="46"/>
    <n v="14"/>
    <n v="14"/>
    <s v="10+ Years"/>
    <s v="46-55"/>
    <s v="Executive (100K+)"/>
    <n v="1"/>
    <x v="3"/>
    <n v="1"/>
    <s v="Q1"/>
    <s v="Jan"/>
    <s v="2012-01"/>
    <s v="N/A"/>
    <s v="Production       "/>
  </r>
  <r>
    <s v="Delarge, Alex"/>
    <n v="10306"/>
    <n v="0"/>
    <n v="0"/>
    <n v="1"/>
    <n v="1"/>
    <n v="6"/>
    <n v="1"/>
    <n v="0"/>
    <n v="61568"/>
    <n v="0"/>
    <n v="3"/>
    <s v="Area Sales Manager"/>
    <s v="AL"/>
    <n v="36006"/>
    <d v="1975-11-02T00:00:00"/>
    <s v="M "/>
    <s v="Single"/>
    <s v="US Citizen"/>
    <s v="No"/>
    <s v="Two or more races"/>
    <d v="2014-09-29T00:00:00"/>
    <m/>
    <s v="N/A-StillEmployed"/>
    <s v="Active"/>
    <x v="5"/>
    <s v="John Smith"/>
    <n v="17"/>
    <s v="Indeed"/>
    <s v="PIP"/>
    <n v="1.93"/>
    <n v="3"/>
    <n v="0"/>
    <s v="1/30/2019"/>
    <n v="6"/>
    <n v="5"/>
    <s v="Normal"/>
    <s v="low Outlier"/>
    <n v="50"/>
    <n v="11"/>
    <n v="11"/>
    <s v="10+ Years"/>
    <s v="46-55"/>
    <s v="Mid (40-70K)"/>
    <n v="1"/>
    <x v="4"/>
    <n v="9"/>
    <s v="Q3"/>
    <s v="Sep"/>
    <s v="2014-09"/>
    <s v="N/A"/>
    <s v="Production       "/>
  </r>
  <r>
    <s v="Demita, Carla"/>
    <n v="10100"/>
    <n v="0"/>
    <n v="3"/>
    <n v="0"/>
    <n v="5"/>
    <n v="5"/>
    <n v="3"/>
    <n v="0"/>
    <n v="58275"/>
    <n v="1"/>
    <n v="20"/>
    <s v="Production Technician II"/>
    <s v="MA"/>
    <n v="2343"/>
    <d v="1951-02-25T00:00:00"/>
    <s v="F"/>
    <s v="Separated"/>
    <s v="US Citizen"/>
    <s v="No"/>
    <s v="Black or African American"/>
    <d v="2011-04-04T00:00:00"/>
    <d v="2015-11-04T00:00:00"/>
    <s v="more money"/>
    <s v="Voluntarily Terminated"/>
    <x v="2"/>
    <s v="Kelley Spirea"/>
    <n v="18"/>
    <s v="Google Search"/>
    <s v="Fully Meets"/>
    <n v="4.62"/>
    <n v="5"/>
    <n v="0"/>
    <s v="5/6/2015"/>
    <n v="0"/>
    <n v="1"/>
    <s v="Normal"/>
    <s v="low Outlier"/>
    <n v="74"/>
    <n v="14"/>
    <n v="4"/>
    <s v="10+ Years"/>
    <s v="55+"/>
    <s v="Mid (40-70K)"/>
    <n v="0"/>
    <x v="0"/>
    <n v="4"/>
    <s v="Q2"/>
    <s v="Apr"/>
    <s v="2011-04"/>
    <n v="2015"/>
    <s v="Production       "/>
  </r>
  <r>
    <s v="Desimone, Carl "/>
    <n v="10310"/>
    <n v="1"/>
    <n v="1"/>
    <n v="1"/>
    <n v="1"/>
    <n v="5"/>
    <n v="1"/>
    <n v="0"/>
    <n v="53189"/>
    <n v="0"/>
    <n v="19"/>
    <s v="Production Technician I"/>
    <s v="MA"/>
    <n v="2061"/>
    <d v="1967-04-19T00:00:00"/>
    <s v="M "/>
    <s v="Married"/>
    <s v="US Citizen"/>
    <s v="No"/>
    <s v="White"/>
    <d v="2014-07-07T00:00:00"/>
    <m/>
    <s v="N/A-StillEmployed"/>
    <s v="Active"/>
    <x v="2"/>
    <s v="Amy Dunn"/>
    <n v="11"/>
    <s v="Indeed"/>
    <s v="PIP"/>
    <n v="1.1200000000000001"/>
    <n v="2"/>
    <n v="0"/>
    <s v="1/31/2019"/>
    <n v="4"/>
    <n v="9"/>
    <s v="Normal"/>
    <s v="low Outlier"/>
    <n v="58"/>
    <n v="11"/>
    <n v="11"/>
    <s v="10+ Years"/>
    <s v="55+"/>
    <s v="Mid (40-70K)"/>
    <n v="1"/>
    <x v="4"/>
    <n v="7"/>
    <s v="Q3"/>
    <s v="Jul"/>
    <s v="2014-07"/>
    <s v="N/A"/>
    <s v="Production       "/>
  </r>
  <r>
    <s v="DeVito, Tommy"/>
    <n v="10197"/>
    <n v="0"/>
    <n v="0"/>
    <n v="1"/>
    <n v="1"/>
    <n v="3"/>
    <n v="3"/>
    <n v="0"/>
    <n v="96820"/>
    <n v="0"/>
    <n v="4"/>
    <s v="BI Developer"/>
    <s v="MA"/>
    <n v="2045"/>
    <d v="1983-09-04T00:00:00"/>
    <s v="M "/>
    <s v="Single"/>
    <s v="US Citizen"/>
    <s v="No"/>
    <s v="White"/>
    <d v="2017-02-15T00:00:00"/>
    <m/>
    <s v="N/A-StillEmployed"/>
    <s v="Active"/>
    <x v="1"/>
    <s v="Brian Champaigne"/>
    <n v="13"/>
    <s v="Indeed"/>
    <s v="Fully Meets"/>
    <n v="3.01"/>
    <n v="5"/>
    <n v="7"/>
    <s v="1/23/2019"/>
    <n v="0"/>
    <n v="15"/>
    <s v="Normal"/>
    <s v="low Outlier"/>
    <n v="42"/>
    <n v="9"/>
    <n v="9"/>
    <s v="5-10 Years"/>
    <s v="36-45"/>
    <s v="Senior (70-100K)"/>
    <n v="1"/>
    <x v="10"/>
    <n v="2"/>
    <s v="Q1"/>
    <s v="Feb"/>
    <s v="2017-02"/>
    <s v="N/A"/>
    <s v="Production       "/>
  </r>
  <r>
    <s v="Dickinson, Geoff "/>
    <n v="10276"/>
    <n v="0"/>
    <n v="0"/>
    <n v="1"/>
    <n v="1"/>
    <n v="5"/>
    <n v="3"/>
    <n v="0"/>
    <n v="51259"/>
    <n v="0"/>
    <n v="19"/>
    <s v="Production Technician I"/>
    <s v="MA"/>
    <n v="2180"/>
    <d v="1982-11-15T00:00:00"/>
    <s v="M "/>
    <s v="Single"/>
    <s v="US Citizen"/>
    <s v="No"/>
    <s v="White"/>
    <d v="2014-05-12T00:00:00"/>
    <m/>
    <s v="N/A-StillEmployed"/>
    <s v="Active"/>
    <x v="2"/>
    <s v="Ketsia Liebig"/>
    <n v="19"/>
    <s v="Indeed"/>
    <s v="Fully Meets"/>
    <n v="4.3"/>
    <n v="4"/>
    <n v="0"/>
    <s v="2/19/2019"/>
    <n v="0"/>
    <n v="1"/>
    <s v="Normal"/>
    <s v="low Outlier"/>
    <n v="43"/>
    <n v="11"/>
    <n v="11"/>
    <s v="10+ Years"/>
    <s v="36-45"/>
    <s v="Mid (40-70K)"/>
    <n v="1"/>
    <x v="4"/>
    <n v="5"/>
    <s v="Q2"/>
    <s v="May"/>
    <s v="2014-05"/>
    <s v="N/A"/>
    <s v="Production       "/>
  </r>
  <r>
    <s v="Dietrich, Jenna  "/>
    <n v="10304"/>
    <n v="0"/>
    <n v="0"/>
    <n v="0"/>
    <n v="1"/>
    <n v="6"/>
    <n v="1"/>
    <n v="0"/>
    <n v="59231"/>
    <n v="0"/>
    <n v="3"/>
    <s v="Area Sales Manager"/>
    <s v="WA"/>
    <n v="98052"/>
    <d v="1987-05-14T00:00:00"/>
    <s v="F"/>
    <s v="Single"/>
    <s v="US Citizen"/>
    <s v="Yes"/>
    <s v="White"/>
    <d v="2012-02-20T00:00:00"/>
    <m/>
    <s v="N/A-StillEmployed"/>
    <s v="Active"/>
    <x v="5"/>
    <s v="John Smith"/>
    <n v="17"/>
    <s v="Website"/>
    <s v="PIP"/>
    <n v="2.2999999999999998"/>
    <n v="1"/>
    <n v="0"/>
    <s v="1/29/2019"/>
    <n v="2"/>
    <n v="17"/>
    <s v="Normal"/>
    <s v="low Outlier"/>
    <n v="38"/>
    <n v="13"/>
    <n v="13"/>
    <s v="10+ Years"/>
    <s v="36-45"/>
    <s v="Mid (40-70K)"/>
    <n v="1"/>
    <x v="3"/>
    <n v="2"/>
    <s v="Q1"/>
    <s v="Feb"/>
    <s v="2012-02"/>
    <s v="N/A"/>
    <s v="Production       "/>
  </r>
  <r>
    <s v="DiNocco, Lily "/>
    <n v="10284"/>
    <n v="1"/>
    <n v="1"/>
    <n v="0"/>
    <n v="1"/>
    <n v="5"/>
    <n v="2"/>
    <n v="0"/>
    <n v="61584"/>
    <n v="0"/>
    <n v="19"/>
    <s v="Production Technician I"/>
    <s v="MA"/>
    <n v="2351"/>
    <d v="1978-12-02T00:00:00"/>
    <s v="F"/>
    <s v="Married"/>
    <s v="US Citizen"/>
    <s v="No"/>
    <s v="Black or African American"/>
    <d v="2013-01-07T00:00:00"/>
    <m/>
    <s v="N/A-StillEmployed"/>
    <s v="Active"/>
    <x v="2"/>
    <s v="Brannon Miller"/>
    <n v="12"/>
    <s v="Indeed"/>
    <s v="Needs Improvement"/>
    <n v="3.88"/>
    <n v="4"/>
    <n v="0"/>
    <s v="1/18/2019"/>
    <n v="0"/>
    <n v="6"/>
    <s v="Normal"/>
    <s v="low Outlier"/>
    <n v="47"/>
    <n v="13"/>
    <n v="13"/>
    <s v="10+ Years"/>
    <s v="46-55"/>
    <s v="Mid (40-70K)"/>
    <n v="1"/>
    <x v="5"/>
    <n v="1"/>
    <s v="Q1"/>
    <s v="Jan"/>
    <s v="2013-01"/>
    <s v="N/A"/>
    <s v="Production       "/>
  </r>
  <r>
    <s v="Dobrin, Denisa  S"/>
    <n v="10207"/>
    <n v="0"/>
    <n v="0"/>
    <n v="0"/>
    <n v="1"/>
    <n v="5"/>
    <n v="3"/>
    <n v="0"/>
    <n v="46335"/>
    <n v="0"/>
    <n v="19"/>
    <s v="Production Technician I"/>
    <s v="MA"/>
    <n v="2125"/>
    <d v="1986-10-07T00:00:00"/>
    <s v="F"/>
    <s v="Single"/>
    <s v="US Citizen"/>
    <s v="Yes"/>
    <s v="White"/>
    <d v="2012-04-02T00:00:00"/>
    <m/>
    <s v="N/A-StillEmployed"/>
    <s v="Active"/>
    <x v="2"/>
    <s v="David Stanley"/>
    <n v="14"/>
    <s v="CareerBuilder"/>
    <s v="Fully Meets"/>
    <n v="3.4"/>
    <n v="5"/>
    <n v="0"/>
    <s v="2/19/2019"/>
    <n v="0"/>
    <n v="15"/>
    <s v="Normal"/>
    <s v="low Outlier"/>
    <n v="39"/>
    <n v="13"/>
    <n v="13"/>
    <s v="10+ Years"/>
    <s v="36-45"/>
    <s v="Mid (40-70K)"/>
    <n v="1"/>
    <x v="3"/>
    <n v="4"/>
    <s v="Q2"/>
    <s v="Apr"/>
    <s v="2012-04"/>
    <s v="N/A"/>
    <s v="Production       "/>
  </r>
  <r>
    <s v="Dolan, Linda"/>
    <n v="10133"/>
    <n v="1"/>
    <n v="1"/>
    <n v="0"/>
    <n v="1"/>
    <n v="3"/>
    <n v="3"/>
    <n v="0"/>
    <n v="70621"/>
    <n v="0"/>
    <n v="14"/>
    <s v="IT Support"/>
    <s v="MA"/>
    <n v="2119"/>
    <d v="1988-07-18T00:00:00"/>
    <s v="F"/>
    <s v="Married"/>
    <s v="US Citizen"/>
    <s v="No"/>
    <s v="White"/>
    <d v="2015-01-05T00:00:00"/>
    <m/>
    <s v="N/A-StillEmployed"/>
    <s v="Active"/>
    <x v="1"/>
    <s v="Peter Monroe"/>
    <n v="7"/>
    <s v="Employee Referral"/>
    <s v="Fully Meets"/>
    <n v="4.1100000000000003"/>
    <n v="4"/>
    <n v="6"/>
    <s v="2/25/2019"/>
    <n v="0"/>
    <n v="16"/>
    <s v="Normal"/>
    <s v="low Outlier"/>
    <n v="37"/>
    <n v="11"/>
    <n v="11"/>
    <s v="10+ Years"/>
    <s v="36-45"/>
    <s v="Senior (70-100K)"/>
    <n v="1"/>
    <x v="1"/>
    <n v="1"/>
    <s v="Q1"/>
    <s v="Jan"/>
    <s v="2015-01"/>
    <s v="N/A"/>
    <s v="Production       "/>
  </r>
  <r>
    <s v="Dougall, Eric"/>
    <n v="10028"/>
    <n v="0"/>
    <n v="0"/>
    <n v="1"/>
    <n v="1"/>
    <n v="3"/>
    <n v="4"/>
    <n v="0"/>
    <n v="138888"/>
    <n v="0"/>
    <n v="13"/>
    <s v="IT Manager - Support"/>
    <s v="MA"/>
    <n v="1886"/>
    <d v="1970-07-09T00:00:00"/>
    <s v="M "/>
    <s v="Single"/>
    <s v="US Citizen"/>
    <s v="No"/>
    <s v="Black or African American"/>
    <d v="2014-01-05T00:00:00"/>
    <m/>
    <s v="N/A-StillEmployed"/>
    <s v="Active"/>
    <x v="1"/>
    <s v="Jennifer Zamora"/>
    <n v="5"/>
    <s v="Indeed"/>
    <s v="Exceeds"/>
    <n v="4.3"/>
    <n v="5"/>
    <n v="5"/>
    <s v="1/4/2019"/>
    <n v="0"/>
    <n v="4"/>
    <s v=" high Outlier"/>
    <s v="low Outlier"/>
    <n v="55"/>
    <n v="12"/>
    <n v="12"/>
    <s v="10+ Years"/>
    <s v="46-55"/>
    <s v="Executive (100K+)"/>
    <n v="1"/>
    <x v="4"/>
    <n v="1"/>
    <s v="Q1"/>
    <s v="Jan"/>
    <s v="2014-01"/>
    <s v="N/A"/>
    <s v="Production       "/>
  </r>
  <r>
    <s v="Driver, Elle"/>
    <n v="10006"/>
    <n v="0"/>
    <n v="0"/>
    <n v="0"/>
    <n v="1"/>
    <n v="6"/>
    <n v="4"/>
    <n v="0"/>
    <n v="74241"/>
    <n v="0"/>
    <n v="3"/>
    <s v="Area Sales Manager"/>
    <s v="CA"/>
    <n v="90007"/>
    <d v="1988-11-08T00:00:00"/>
    <s v="F"/>
    <s v="Single"/>
    <s v="US Citizen"/>
    <s v="No"/>
    <s v="White"/>
    <d v="2011-01-10T00:00:00"/>
    <m/>
    <s v="N/A-StillEmployed"/>
    <s v="Active"/>
    <x v="5"/>
    <s v="Lynn Daneault"/>
    <n v="21"/>
    <s v="Indeed"/>
    <s v="Exceeds"/>
    <n v="4.7699999999999996"/>
    <n v="5"/>
    <n v="0"/>
    <s v="1/27/2019"/>
    <n v="0"/>
    <n v="14"/>
    <s v="Normal"/>
    <s v="low Outlier"/>
    <n v="37"/>
    <n v="15"/>
    <n v="15"/>
    <s v="10+ Years"/>
    <s v="36-45"/>
    <s v="Senior (70-100K)"/>
    <n v="1"/>
    <x v="0"/>
    <n v="1"/>
    <s v="Q1"/>
    <s v="Jan"/>
    <s v="2011-01"/>
    <s v="N/A"/>
    <s v="Production       "/>
  </r>
  <r>
    <s v="Dunn, Amy  "/>
    <n v="10105"/>
    <n v="0"/>
    <n v="0"/>
    <n v="0"/>
    <n v="1"/>
    <n v="5"/>
    <n v="3"/>
    <n v="0"/>
    <n v="75188"/>
    <n v="0"/>
    <n v="18"/>
    <s v="Production Manager"/>
    <s v="MA"/>
    <n v="1731"/>
    <d v="1973-11-28T00:00:00"/>
    <s v="F"/>
    <s v="Single"/>
    <s v="US Citizen"/>
    <s v="No"/>
    <s v="White"/>
    <d v="2014-09-18T00:00:00"/>
    <m/>
    <s v="N/A-StillEmployed"/>
    <s v="Active"/>
    <x v="2"/>
    <s v="Janet King"/>
    <n v="2"/>
    <s v="Google Search"/>
    <s v="Fully Meets"/>
    <n v="4.5199999999999996"/>
    <n v="4"/>
    <n v="0"/>
    <s v="1/15/2019"/>
    <n v="0"/>
    <n v="4"/>
    <s v="Normal"/>
    <s v="low Outlier"/>
    <n v="52"/>
    <n v="11"/>
    <n v="11"/>
    <s v="10+ Years"/>
    <s v="46-55"/>
    <s v="Senior (70-100K)"/>
    <n v="1"/>
    <x v="4"/>
    <n v="9"/>
    <s v="Q3"/>
    <s v="Sep"/>
    <s v="2014-09"/>
    <s v="N/A"/>
    <s v="Production       "/>
  </r>
  <r>
    <s v="Dunne, Amy"/>
    <n v="10211"/>
    <n v="1"/>
    <n v="1"/>
    <n v="0"/>
    <n v="1"/>
    <n v="5"/>
    <n v="3"/>
    <n v="0"/>
    <n v="62514"/>
    <n v="0"/>
    <n v="19"/>
    <s v="Production Technician I"/>
    <s v="MA"/>
    <n v="1749"/>
    <d v="1973-09-23T00:00:00"/>
    <s v="F"/>
    <s v="Married"/>
    <s v="US Citizen"/>
    <s v="No"/>
    <s v="White"/>
    <d v="2010-04-26T00:00:00"/>
    <m/>
    <s v="N/A-StillEmployed"/>
    <s v="Active"/>
    <x v="2"/>
    <s v="Ketsia Liebig"/>
    <n v="19"/>
    <s v="Google Search"/>
    <s v="Fully Meets"/>
    <n v="2.9"/>
    <n v="3"/>
    <n v="0"/>
    <s v="1/21/2019"/>
    <n v="0"/>
    <n v="6"/>
    <s v="Normal"/>
    <s v="low Outlier"/>
    <n v="52"/>
    <n v="15"/>
    <n v="15"/>
    <s v="10+ Years"/>
    <s v="46-55"/>
    <s v="Mid (40-70K)"/>
    <n v="1"/>
    <x v="8"/>
    <n v="4"/>
    <s v="Q2"/>
    <s v="Apr"/>
    <s v="2010-04"/>
    <s v="N/A"/>
    <s v="Production       "/>
  </r>
  <r>
    <s v="Eaton, Marianne"/>
    <n v="10064"/>
    <n v="1"/>
    <n v="1"/>
    <n v="0"/>
    <n v="5"/>
    <n v="5"/>
    <n v="3"/>
    <n v="0"/>
    <n v="60070"/>
    <n v="1"/>
    <n v="19"/>
    <s v="Production Technician I"/>
    <s v="MA"/>
    <n v="2343"/>
    <d v="1991-09-05T00:00:00"/>
    <s v="F"/>
    <s v="Married"/>
    <s v="US Citizen"/>
    <s v="No"/>
    <s v="White"/>
    <d v="2011-04-04T00:00:00"/>
    <d v="2017-06-06T00:00:00"/>
    <s v="military"/>
    <s v="Voluntarily Terminated"/>
    <x v="2"/>
    <s v="Kissy Sullivan"/>
    <n v="20"/>
    <s v="Google Search"/>
    <s v="Fully Meets"/>
    <n v="5"/>
    <n v="3"/>
    <n v="0"/>
    <s v="4/9/2017"/>
    <n v="0"/>
    <n v="7"/>
    <s v="Normal"/>
    <s v="low Outlier"/>
    <n v="34"/>
    <n v="14"/>
    <n v="6"/>
    <s v="10+ Years"/>
    <s v="26-35"/>
    <s v="Mid (40-70K)"/>
    <n v="0"/>
    <x v="0"/>
    <n v="4"/>
    <s v="Q2"/>
    <s v="Apr"/>
    <s v="2011-04"/>
    <n v="2017"/>
    <s v="Production       "/>
  </r>
  <r>
    <s v="Engdahl, Jean"/>
    <n v="10247"/>
    <n v="0"/>
    <n v="0"/>
    <n v="1"/>
    <n v="1"/>
    <n v="5"/>
    <n v="3"/>
    <n v="0"/>
    <n v="48888"/>
    <n v="0"/>
    <n v="19"/>
    <s v="Production Technician I"/>
    <s v="MA"/>
    <n v="2026"/>
    <d v="1974-05-31T00:00:00"/>
    <s v="M "/>
    <s v="Single"/>
    <s v="US Citizen"/>
    <s v="No"/>
    <s v="White"/>
    <d v="2014-11-10T00:00:00"/>
    <m/>
    <s v="N/A-StillEmployed"/>
    <s v="Active"/>
    <x v="2"/>
    <s v="Kelley Spirea"/>
    <n v="18"/>
    <s v="LinkedIn"/>
    <s v="Fully Meets"/>
    <n v="4.7"/>
    <n v="5"/>
    <n v="0"/>
    <s v="2/13/2019"/>
    <n v="0"/>
    <n v="8"/>
    <s v="Normal"/>
    <s v="low Outlier"/>
    <n v="51"/>
    <n v="11"/>
    <n v="11"/>
    <s v="10+ Years"/>
    <s v="46-55"/>
    <s v="Mid (40-70K)"/>
    <n v="1"/>
    <x v="4"/>
    <n v="11"/>
    <s v="Q4"/>
    <s v="Nov"/>
    <s v="2014-11"/>
    <s v="N/A"/>
    <s v="Production       "/>
  </r>
  <r>
    <s v="England, Rex"/>
    <n v="10235"/>
    <n v="1"/>
    <n v="1"/>
    <n v="1"/>
    <n v="1"/>
    <n v="5"/>
    <n v="3"/>
    <n v="0"/>
    <n v="54285"/>
    <n v="0"/>
    <n v="19"/>
    <s v="Production Technician I"/>
    <s v="MA"/>
    <n v="2045"/>
    <d v="1978-08-25T00:00:00"/>
    <s v="M "/>
    <s v="Married"/>
    <s v="US Citizen"/>
    <s v="No"/>
    <s v="White"/>
    <d v="2014-03-31T00:00:00"/>
    <m/>
    <s v="N/A-StillEmployed"/>
    <s v="Active"/>
    <x v="2"/>
    <s v="Kelley Spirea"/>
    <n v="18"/>
    <s v="Employee Referral"/>
    <s v="Fully Meets"/>
    <n v="4.2"/>
    <n v="3"/>
    <n v="0"/>
    <s v="1/11/2019"/>
    <n v="0"/>
    <n v="3"/>
    <s v="Normal"/>
    <s v="low Outlier"/>
    <n v="47"/>
    <n v="11"/>
    <n v="11"/>
    <s v="10+ Years"/>
    <s v="46-55"/>
    <s v="Mid (40-70K)"/>
    <n v="1"/>
    <x v="4"/>
    <n v="3"/>
    <s v="Q1"/>
    <s v="Mar"/>
    <s v="2014-03"/>
    <s v="N/A"/>
    <s v="Production       "/>
  </r>
  <r>
    <s v="Erilus, Angela"/>
    <n v="10299"/>
    <n v="0"/>
    <n v="3"/>
    <n v="0"/>
    <n v="1"/>
    <n v="5"/>
    <n v="1"/>
    <n v="0"/>
    <n v="56847"/>
    <n v="0"/>
    <n v="20"/>
    <s v="Production Technician II"/>
    <s v="MA"/>
    <n v="2133"/>
    <d v="1989-08-25T00:00:00"/>
    <s v="F"/>
    <s v="Separated"/>
    <s v="US Citizen"/>
    <s v="No"/>
    <s v="White"/>
    <d v="2014-07-07T00:00:00"/>
    <m/>
    <s v="N/A-StillEmployed"/>
    <s v="Active"/>
    <x v="2"/>
    <s v="Michael Albert"/>
    <n v="22"/>
    <s v="Indeed"/>
    <s v="PIP"/>
    <n v="3"/>
    <n v="1"/>
    <n v="0"/>
    <s v="2/25/2019"/>
    <n v="2"/>
    <n v="5"/>
    <s v="Normal"/>
    <s v="low Outlier"/>
    <n v="36"/>
    <n v="11"/>
    <n v="11"/>
    <s v="10+ Years"/>
    <s v="36-45"/>
    <s v="Mid (40-70K)"/>
    <n v="1"/>
    <x v="4"/>
    <n v="7"/>
    <s v="Q3"/>
    <s v="Jul"/>
    <s v="2014-07"/>
    <s v="N/A"/>
    <s v="Production       "/>
  </r>
  <r>
    <s v="Estremera, Miguel"/>
    <n v="10280"/>
    <n v="0"/>
    <n v="0"/>
    <n v="1"/>
    <n v="4"/>
    <n v="5"/>
    <n v="2"/>
    <n v="0"/>
    <n v="60340"/>
    <n v="1"/>
    <n v="19"/>
    <s v="Production Technician I"/>
    <s v="MA"/>
    <n v="2129"/>
    <d v="1983-09-02T00:00:00"/>
    <s v="M "/>
    <s v="Single"/>
    <s v="US Citizen"/>
    <s v="No"/>
    <s v="White"/>
    <d v="2012-04-02T00:00:00"/>
    <d v="2018-09-27T00:00:00"/>
    <s v="attendance"/>
    <s v="Terminated for Cause"/>
    <x v="2"/>
    <s v="Michael Albert"/>
    <n v="22"/>
    <s v="Google Search"/>
    <s v="Needs Improvement"/>
    <n v="5"/>
    <n v="4"/>
    <n v="0"/>
    <s v="4/12/2018"/>
    <n v="5"/>
    <n v="16"/>
    <s v="Normal"/>
    <s v="low Outlier"/>
    <n v="42"/>
    <n v="13"/>
    <n v="6"/>
    <s v="10+ Years"/>
    <s v="36-45"/>
    <s v="Mid (40-70K)"/>
    <n v="0"/>
    <x v="3"/>
    <n v="4"/>
    <s v="Q2"/>
    <s v="Apr"/>
    <s v="2012-04"/>
    <n v="2018"/>
    <s v="Production       "/>
  </r>
  <r>
    <s v="Evensen, April"/>
    <n v="10296"/>
    <n v="0"/>
    <n v="0"/>
    <n v="0"/>
    <n v="4"/>
    <n v="5"/>
    <n v="2"/>
    <n v="0"/>
    <n v="59124"/>
    <n v="1"/>
    <n v="19"/>
    <s v="Production Technician I"/>
    <s v="MA"/>
    <n v="2458"/>
    <d v="1989-05-06T00:00:00"/>
    <s v="F"/>
    <s v="Single"/>
    <s v="US Citizen"/>
    <s v="No"/>
    <s v="White"/>
    <d v="2014-02-17T00:00:00"/>
    <d v="2018-02-25T00:00:00"/>
    <s v="no-call, no-show"/>
    <s v="Terminated for Cause"/>
    <x v="2"/>
    <s v="Elijiah Gray"/>
    <n v="16"/>
    <s v="Google Search"/>
    <s v="Needs Improvement"/>
    <n v="2.2999999999999998"/>
    <n v="3"/>
    <n v="0"/>
    <s v="1/15/2017"/>
    <n v="5"/>
    <n v="19"/>
    <s v="Normal"/>
    <s v="low Outlier"/>
    <n v="36"/>
    <n v="11"/>
    <n v="4"/>
    <s v="10+ Years"/>
    <s v="36-45"/>
    <s v="Mid (40-70K)"/>
    <n v="0"/>
    <x v="4"/>
    <n v="2"/>
    <s v="Q1"/>
    <s v="Feb"/>
    <s v="2014-02"/>
    <n v="2018"/>
    <s v="Production       "/>
  </r>
  <r>
    <s v="Exantus, Susan"/>
    <n v="10290"/>
    <n v="1"/>
    <n v="1"/>
    <n v="0"/>
    <n v="4"/>
    <n v="4"/>
    <n v="2"/>
    <n v="0"/>
    <n v="99280"/>
    <n v="1"/>
    <n v="24"/>
    <s v="Software Engineer"/>
    <s v="MA"/>
    <n v="1749"/>
    <d v="1987-05-15T00:00:00"/>
    <s v="F"/>
    <s v="Married"/>
    <s v="US Citizen"/>
    <s v="No"/>
    <s v="Black or African American"/>
    <d v="2011-05-02T00:00:00"/>
    <d v="2013-06-05T00:00:00"/>
    <s v="attendance"/>
    <s v="Terminated for Cause"/>
    <x v="3"/>
    <s v="Alex Sweetwater"/>
    <n v="10"/>
    <s v="Indeed"/>
    <s v="Needs Improvement"/>
    <n v="2.1"/>
    <n v="5"/>
    <n v="4"/>
    <s v="8/10/2012"/>
    <n v="4"/>
    <n v="19"/>
    <s v="Normal"/>
    <s v="low Outlier"/>
    <n v="38"/>
    <n v="14"/>
    <n v="2"/>
    <s v="10+ Years"/>
    <s v="36-45"/>
    <s v="Senior (70-100K)"/>
    <n v="0"/>
    <x v="0"/>
    <n v="5"/>
    <s v="Q2"/>
    <s v="May"/>
    <s v="2011-05"/>
    <n v="2013"/>
    <s v="Production       "/>
  </r>
  <r>
    <s v="Faller, Megan "/>
    <n v="10263"/>
    <n v="1"/>
    <n v="1"/>
    <n v="0"/>
    <n v="1"/>
    <n v="5"/>
    <n v="3"/>
    <n v="0"/>
    <n v="71776"/>
    <n v="0"/>
    <n v="20"/>
    <s v="Production Technician II"/>
    <s v="MA"/>
    <n v="1824"/>
    <d v="1978-09-22T00:00:00"/>
    <s v="F"/>
    <s v="Married"/>
    <s v="US Citizen"/>
    <s v="No"/>
    <s v="Black or African American"/>
    <d v="2014-07-07T00:00:00"/>
    <m/>
    <s v="N/A-StillEmployed"/>
    <s v="Active"/>
    <x v="2"/>
    <s v="Elijiah Gray"/>
    <n v="16"/>
    <s v="LinkedIn"/>
    <s v="Fully Meets"/>
    <n v="4.4000000000000004"/>
    <n v="5"/>
    <n v="0"/>
    <s v="2/22/2019"/>
    <n v="0"/>
    <n v="17"/>
    <s v="Normal"/>
    <s v="low Outlier"/>
    <n v="47"/>
    <n v="11"/>
    <n v="11"/>
    <s v="10+ Years"/>
    <s v="46-55"/>
    <s v="Senior (70-100K)"/>
    <n v="1"/>
    <x v="4"/>
    <n v="7"/>
    <s v="Q3"/>
    <s v="Jul"/>
    <s v="2014-07"/>
    <s v="N/A"/>
    <s v="Production       "/>
  </r>
  <r>
    <s v="Fancett, Nicole"/>
    <n v="10136"/>
    <n v="0"/>
    <n v="0"/>
    <n v="0"/>
    <n v="1"/>
    <n v="5"/>
    <n v="3"/>
    <n v="0"/>
    <n v="65902"/>
    <n v="0"/>
    <n v="20"/>
    <s v="Production Technician II"/>
    <s v="MA"/>
    <n v="2324"/>
    <d v="1987-09-27T00:00:00"/>
    <s v="F"/>
    <s v="Single"/>
    <s v="US Citizen"/>
    <s v="No"/>
    <s v="Black or African American"/>
    <d v="2014-02-17T00:00:00"/>
    <m/>
    <s v="N/A-StillEmployed"/>
    <s v="Active"/>
    <x v="2"/>
    <s v="Webster Butler"/>
    <m/>
    <s v="LinkedIn"/>
    <s v="Fully Meets"/>
    <n v="4"/>
    <n v="4"/>
    <n v="0"/>
    <s v="1/7/2019"/>
    <n v="0"/>
    <n v="7"/>
    <s v="Normal"/>
    <s v="low Outlier"/>
    <n v="38"/>
    <n v="11"/>
    <n v="11"/>
    <s v="10+ Years"/>
    <s v="36-45"/>
    <s v="Mid (40-70K)"/>
    <n v="1"/>
    <x v="4"/>
    <n v="2"/>
    <s v="Q1"/>
    <s v="Feb"/>
    <s v="2014-02"/>
    <s v="N/A"/>
    <s v="Production       "/>
  </r>
  <r>
    <s v="Ferguson, Susan"/>
    <n v="10189"/>
    <n v="1"/>
    <n v="1"/>
    <n v="0"/>
    <n v="5"/>
    <n v="5"/>
    <n v="3"/>
    <n v="0"/>
    <n v="57748"/>
    <n v="1"/>
    <n v="19"/>
    <s v="Production Technician I"/>
    <s v="MA"/>
    <n v="2176"/>
    <d v="1955-04-14T00:00:00"/>
    <s v="F"/>
    <s v="Married"/>
    <s v="US Citizen"/>
    <s v="No"/>
    <s v="White"/>
    <d v="2011-11-07T00:00:00"/>
    <d v="2016-05-17T00:00:00"/>
    <s v="military"/>
    <s v="Voluntarily Terminated"/>
    <x v="2"/>
    <s v="Webster Butler"/>
    <n v="39"/>
    <s v="Google Search"/>
    <s v="Fully Meets"/>
    <n v="3.13"/>
    <n v="3"/>
    <n v="0"/>
    <s v="2/4/2016"/>
    <n v="0"/>
    <n v="16"/>
    <s v="Normal"/>
    <s v="low Outlier"/>
    <n v="70"/>
    <n v="14"/>
    <n v="4"/>
    <s v="10+ Years"/>
    <s v="55+"/>
    <s v="Mid (40-70K)"/>
    <n v="0"/>
    <x v="0"/>
    <n v="11"/>
    <s v="Q4"/>
    <s v="Nov"/>
    <s v="2011-11"/>
    <n v="2016"/>
    <s v="Production       "/>
  </r>
  <r>
    <s v="Fernandes, Nilson  "/>
    <n v="10308"/>
    <n v="1"/>
    <n v="1"/>
    <n v="1"/>
    <n v="1"/>
    <n v="5"/>
    <n v="1"/>
    <n v="0"/>
    <n v="64057"/>
    <n v="0"/>
    <n v="19"/>
    <s v="Production Technician I"/>
    <s v="MA"/>
    <n v="2132"/>
    <d v="1989-10-18T00:00:00"/>
    <s v="M "/>
    <s v="Married"/>
    <s v="US Citizen"/>
    <s v="No"/>
    <s v="White"/>
    <d v="2015-05-11T00:00:00"/>
    <m/>
    <s v="N/A-StillEmployed"/>
    <s v="Active"/>
    <x v="2"/>
    <s v="Amy Dunn"/>
    <n v="11"/>
    <s v="Indeed"/>
    <s v="PIP"/>
    <n v="1.56"/>
    <n v="5"/>
    <n v="0"/>
    <s v="1/3/2019"/>
    <n v="6"/>
    <n v="15"/>
    <s v="Normal"/>
    <s v="low Outlier"/>
    <n v="36"/>
    <n v="10"/>
    <n v="10"/>
    <s v="10+ Years"/>
    <s v="36-45"/>
    <s v="Mid (40-70K)"/>
    <n v="1"/>
    <x v="1"/>
    <n v="5"/>
    <s v="Q2"/>
    <s v="May"/>
    <s v="2015-05"/>
    <s v="N/A"/>
    <s v="Production       "/>
  </r>
  <r>
    <s v="Fett, Boba"/>
    <n v="10309"/>
    <n v="0"/>
    <n v="0"/>
    <n v="1"/>
    <n v="1"/>
    <n v="3"/>
    <n v="1"/>
    <n v="0"/>
    <n v="53366"/>
    <n v="0"/>
    <n v="15"/>
    <s v="Network Engineer"/>
    <s v="MA"/>
    <n v="2138"/>
    <d v="1987-06-18T00:00:00"/>
    <s v="M "/>
    <s v="Single"/>
    <s v="US Citizen"/>
    <s v="No"/>
    <s v="White"/>
    <d v="2015-03-30T00:00:00"/>
    <m/>
    <s v="N/A-StillEmployed"/>
    <s v="Active"/>
    <x v="1"/>
    <s v="Peter Monroe"/>
    <n v="7"/>
    <s v="LinkedIn"/>
    <s v="PIP"/>
    <n v="1.2"/>
    <n v="3"/>
    <n v="6"/>
    <s v="2/4/2019"/>
    <n v="3"/>
    <n v="2"/>
    <s v="Normal"/>
    <s v="low Outlier"/>
    <n v="38"/>
    <n v="10"/>
    <n v="10"/>
    <s v="10+ Years"/>
    <s v="36-45"/>
    <s v="Mid (40-70K)"/>
    <n v="1"/>
    <x v="1"/>
    <n v="3"/>
    <s v="Q1"/>
    <s v="Mar"/>
    <s v="2015-03"/>
    <s v="N/A"/>
    <s v="Production       "/>
  </r>
  <r>
    <s v="Fidelia,  Libby"/>
    <n v="10049"/>
    <n v="1"/>
    <n v="1"/>
    <n v="0"/>
    <n v="1"/>
    <n v="5"/>
    <n v="3"/>
    <n v="0"/>
    <n v="58530"/>
    <n v="0"/>
    <n v="19"/>
    <s v="Production Technician I"/>
    <s v="MA"/>
    <n v="2155"/>
    <d v="1981-03-16T00:00:00"/>
    <s v="F"/>
    <s v="Married"/>
    <s v="US Citizen"/>
    <s v="No"/>
    <s v="White"/>
    <d v="2012-01-09T00:00:00"/>
    <m/>
    <s v="N/A-StillEmployed"/>
    <s v="Active"/>
    <x v="2"/>
    <s v="Brannon Miller"/>
    <n v="12"/>
    <s v="Google Search"/>
    <s v="Fully Meets"/>
    <n v="5"/>
    <n v="5"/>
    <n v="0"/>
    <s v="1/29/2019"/>
    <n v="0"/>
    <n v="19"/>
    <s v="Normal"/>
    <s v="low Outlier"/>
    <n v="44"/>
    <n v="14"/>
    <n v="14"/>
    <s v="10+ Years"/>
    <s v="36-45"/>
    <s v="Mid (40-70K)"/>
    <n v="1"/>
    <x v="3"/>
    <n v="1"/>
    <s v="Q1"/>
    <s v="Jan"/>
    <s v="2012-01"/>
    <s v="N/A"/>
    <s v="Production       "/>
  </r>
  <r>
    <s v="Fitzpatrick, Michael  J"/>
    <n v="10093"/>
    <n v="0"/>
    <n v="0"/>
    <n v="1"/>
    <n v="5"/>
    <n v="5"/>
    <n v="3"/>
    <n v="0"/>
    <n v="72609"/>
    <n v="1"/>
    <n v="20"/>
    <s v="Production Technician II"/>
    <s v="MA"/>
    <n v="2143"/>
    <d v="1981-10-01T00:00:00"/>
    <s v="M "/>
    <s v="Single"/>
    <s v="US Citizen"/>
    <s v="Yes"/>
    <s v="White"/>
    <d v="2011-05-16T00:00:00"/>
    <d v="2013-06-24T00:00:00"/>
    <s v="hours"/>
    <s v="Voluntarily Terminated"/>
    <x v="2"/>
    <s v="Amy Dunn"/>
    <n v="11"/>
    <s v="Google Search"/>
    <s v="Fully Meets"/>
    <n v="4.76"/>
    <n v="5"/>
    <n v="0"/>
    <s v="4/5/2013"/>
    <n v="0"/>
    <n v="20"/>
    <s v="Normal"/>
    <s v="low Outlier"/>
    <n v="44"/>
    <n v="14"/>
    <n v="2"/>
    <s v="10+ Years"/>
    <s v="36-45"/>
    <s v="Senior (70-100K)"/>
    <n v="0"/>
    <x v="0"/>
    <n v="5"/>
    <s v="Q2"/>
    <s v="May"/>
    <s v="2011-05"/>
    <n v="2013"/>
    <s v="Production       "/>
  </r>
  <r>
    <s v="Foreman, Tanya"/>
    <n v="10163"/>
    <n v="1"/>
    <n v="1"/>
    <n v="0"/>
    <n v="5"/>
    <n v="5"/>
    <n v="3"/>
    <n v="0"/>
    <n v="55965"/>
    <n v="1"/>
    <n v="20"/>
    <s v="Production Technician II"/>
    <s v="MA"/>
    <n v="2170"/>
    <d v="1983-11-08T00:00:00"/>
    <s v="F"/>
    <s v="Married"/>
    <s v="US Citizen"/>
    <s v="No"/>
    <s v="White"/>
    <d v="2011-04-04T00:00:00"/>
    <d v="2013-01-09T00:00:00"/>
    <s v="career change"/>
    <s v="Voluntarily Terminated"/>
    <x v="2"/>
    <s v="Ketsia Liebig"/>
    <n v="19"/>
    <s v="Google Search"/>
    <s v="Fully Meets"/>
    <n v="3.66"/>
    <n v="3"/>
    <n v="0"/>
    <s v="1/7/2012"/>
    <n v="0"/>
    <n v="6"/>
    <s v="Normal"/>
    <s v="low Outlier"/>
    <n v="42"/>
    <n v="14"/>
    <n v="1"/>
    <s v="10+ Years"/>
    <s v="36-45"/>
    <s v="Mid (40-70K)"/>
    <n v="0"/>
    <x v="0"/>
    <n v="4"/>
    <s v="Q2"/>
    <s v="Apr"/>
    <s v="2011-04"/>
    <n v="2013"/>
    <s v="Production       "/>
  </r>
  <r>
    <s v="Forrest, Alex"/>
    <n v="10305"/>
    <n v="1"/>
    <n v="1"/>
    <n v="1"/>
    <n v="1"/>
    <n v="6"/>
    <n v="3"/>
    <n v="0"/>
    <n v="70187"/>
    <n v="1"/>
    <n v="3"/>
    <s v="Area Sales Manager"/>
    <s v="MA"/>
    <n v="2330"/>
    <d v="1975-07-07T00:00:00"/>
    <s v="M "/>
    <s v="Married"/>
    <s v="US Citizen"/>
    <s v="No"/>
    <s v="White"/>
    <d v="2014-09-29T00:00:00"/>
    <d v="2018-08-19T00:00:00"/>
    <s v="Fatal attraction"/>
    <s v="Terminated for Cause"/>
    <x v="5"/>
    <s v="Lynn Daneault"/>
    <n v="21"/>
    <s v="Employee Referral"/>
    <s v="PIP"/>
    <n v="2"/>
    <n v="5"/>
    <n v="0"/>
    <s v="1/28/2019"/>
    <n v="4"/>
    <n v="7"/>
    <s v="Normal"/>
    <s v="low Outlier"/>
    <n v="50"/>
    <n v="11"/>
    <n v="3"/>
    <s v="10+ Years"/>
    <s v="46-55"/>
    <s v="Senior (70-100K)"/>
    <n v="0"/>
    <x v="4"/>
    <n v="9"/>
    <s v="Q3"/>
    <s v="Sep"/>
    <s v="2014-09"/>
    <n v="2018"/>
    <s v="Production       "/>
  </r>
  <r>
    <s v="Foss, Jason"/>
    <n v="10015"/>
    <n v="0"/>
    <n v="0"/>
    <n v="1"/>
    <n v="1"/>
    <n v="3"/>
    <n v="4"/>
    <n v="0"/>
    <n v="178000"/>
    <n v="0"/>
    <n v="12"/>
    <s v="IT Director"/>
    <s v="MA"/>
    <n v="1460"/>
    <d v="1980-07-05T00:00:00"/>
    <s v="M "/>
    <s v="Single"/>
    <s v="US Citizen"/>
    <s v="No"/>
    <s v="Black or African American"/>
    <d v="2011-04-15T00:00:00"/>
    <m/>
    <s v="N/A-StillEmployed"/>
    <s v="Active"/>
    <x v="1"/>
    <s v="Jennifer Zamora"/>
    <n v="5"/>
    <s v="Indeed"/>
    <s v="Exceeds"/>
    <n v="5"/>
    <n v="5"/>
    <n v="5"/>
    <s v="1/7/2019"/>
    <n v="0"/>
    <n v="15"/>
    <s v=" high Outlier"/>
    <s v="low Outlier"/>
    <n v="45"/>
    <n v="14"/>
    <n v="14"/>
    <s v="10+ Years"/>
    <s v="36-45"/>
    <s v="Executive (100K+)"/>
    <n v="1"/>
    <x v="0"/>
    <n v="4"/>
    <s v="Q2"/>
    <s v="Apr"/>
    <s v="2011-04"/>
    <s v="N/A"/>
    <s v="Production       "/>
  </r>
  <r>
    <s v="Foster-Baker, Amy"/>
    <n v="10080"/>
    <n v="1"/>
    <n v="1"/>
    <n v="0"/>
    <n v="1"/>
    <n v="1"/>
    <n v="3"/>
    <n v="0"/>
    <n v="99351"/>
    <n v="0"/>
    <n v="26"/>
    <s v="Sr. Accountant"/>
    <s v="MA"/>
    <n v="2050"/>
    <d v="1979-04-16T00:00:00"/>
    <s v="F"/>
    <s v="Married"/>
    <s v="US Citizen"/>
    <s v="No"/>
    <s v="White"/>
    <d v="2009-01-05T00:00:00"/>
    <m/>
    <s v="N/A-StillEmployed"/>
    <s v="Active"/>
    <x v="4"/>
    <s v="Board of Directors"/>
    <n v="9"/>
    <s v="Other"/>
    <s v="Fully Meets"/>
    <n v="5"/>
    <n v="3"/>
    <n v="2"/>
    <s v="2/8/2019"/>
    <n v="0"/>
    <n v="3"/>
    <s v="Normal"/>
    <s v="low Outlier"/>
    <n v="46"/>
    <n v="17"/>
    <n v="17"/>
    <s v="10+ Years"/>
    <s v="46-55"/>
    <s v="Senior (70-100K)"/>
    <n v="1"/>
    <x v="6"/>
    <n v="1"/>
    <s v="Q1"/>
    <s v="Jan"/>
    <s v="2009-01"/>
    <s v="N/A"/>
    <s v="Production       "/>
  </r>
  <r>
    <s v="Fraval, Maruk "/>
    <n v="10258"/>
    <n v="0"/>
    <n v="0"/>
    <n v="1"/>
    <n v="1"/>
    <n v="6"/>
    <n v="3"/>
    <n v="0"/>
    <n v="67251"/>
    <n v="0"/>
    <n v="3"/>
    <s v="Area Sales Manager"/>
    <s v="CT"/>
    <n v="6050"/>
    <d v="1963-08-28T00:00:00"/>
    <s v="M "/>
    <s v="Single"/>
    <s v="US Citizen"/>
    <s v="No"/>
    <s v="Black or African American"/>
    <d v="2011-09-06T00:00:00"/>
    <m/>
    <s v="N/A-StillEmployed"/>
    <s v="Active"/>
    <x v="5"/>
    <s v="Lynn Daneault"/>
    <n v="21"/>
    <s v="CareerBuilder"/>
    <s v="Fully Meets"/>
    <n v="4.3"/>
    <n v="3"/>
    <n v="0"/>
    <s v="1/27/2019"/>
    <n v="2"/>
    <n v="7"/>
    <s v="Normal"/>
    <s v="low Outlier"/>
    <n v="62"/>
    <n v="14"/>
    <n v="14"/>
    <s v="10+ Years"/>
    <s v="55+"/>
    <s v="Mid (40-70K)"/>
    <n v="1"/>
    <x v="0"/>
    <n v="9"/>
    <s v="Q3"/>
    <s v="Sep"/>
    <s v="2011-09"/>
    <s v="N/A"/>
    <s v="Production       "/>
  </r>
  <r>
    <s v="Galia, Lisa"/>
    <n v="10273"/>
    <n v="0"/>
    <n v="0"/>
    <n v="0"/>
    <n v="1"/>
    <n v="3"/>
    <n v="3"/>
    <n v="0"/>
    <n v="65707"/>
    <n v="0"/>
    <n v="14"/>
    <s v="IT Support"/>
    <s v="CT"/>
    <n v="6040"/>
    <d v="1968-07-06T00:00:00"/>
    <s v="F"/>
    <s v="Single"/>
    <s v="US Citizen"/>
    <s v="No"/>
    <s v="White"/>
    <d v="2010-05-01T00:00:00"/>
    <m/>
    <s v="N/A-StillEmployed"/>
    <s v="Active"/>
    <x v="1"/>
    <s v="Eric Dougall"/>
    <n v="6"/>
    <s v="LinkedIn"/>
    <s v="Fully Meets"/>
    <n v="4.7"/>
    <n v="4"/>
    <n v="5"/>
    <s v="2/1/2019"/>
    <n v="0"/>
    <n v="1"/>
    <s v="Normal"/>
    <s v="low Outlier"/>
    <n v="57"/>
    <n v="15"/>
    <n v="15"/>
    <s v="10+ Years"/>
    <s v="55+"/>
    <s v="Mid (40-70K)"/>
    <n v="1"/>
    <x v="8"/>
    <n v="5"/>
    <s v="Q2"/>
    <s v="May"/>
    <s v="2010-05"/>
    <s v="N/A"/>
    <s v="Production       "/>
  </r>
  <r>
    <s v="Garcia, Raul"/>
    <n v="10111"/>
    <n v="0"/>
    <n v="0"/>
    <n v="1"/>
    <n v="1"/>
    <n v="5"/>
    <n v="3"/>
    <n v="0"/>
    <n v="52249"/>
    <n v="0"/>
    <n v="19"/>
    <s v="Production Technician I"/>
    <s v="MA"/>
    <n v="1905"/>
    <d v="1985-09-15T00:00:00"/>
    <s v="M "/>
    <s v="Single"/>
    <s v="US Citizen"/>
    <s v="Yes"/>
    <s v="White"/>
    <d v="2015-03-30T00:00:00"/>
    <m/>
    <s v="N/A-StillEmployed"/>
    <s v="Active"/>
    <x v="2"/>
    <s v="David Stanley"/>
    <n v="14"/>
    <s v="Employee Referral"/>
    <s v="Fully Meets"/>
    <n v="4.5"/>
    <n v="3"/>
    <n v="0"/>
    <s v="2/18/2019"/>
    <n v="0"/>
    <n v="5"/>
    <s v="Normal"/>
    <s v="low Outlier"/>
    <n v="40"/>
    <n v="10"/>
    <n v="10"/>
    <s v="10+ Years"/>
    <s v="36-45"/>
    <s v="Mid (40-70K)"/>
    <n v="1"/>
    <x v="1"/>
    <n v="3"/>
    <s v="Q1"/>
    <s v="Mar"/>
    <s v="2015-03"/>
    <s v="N/A"/>
    <s v="Production       "/>
  </r>
  <r>
    <s v="Gaul, Barbara"/>
    <n v="10257"/>
    <n v="0"/>
    <n v="0"/>
    <n v="0"/>
    <n v="1"/>
    <n v="5"/>
    <n v="3"/>
    <n v="0"/>
    <n v="53171"/>
    <n v="0"/>
    <n v="19"/>
    <s v="Production Technician I"/>
    <s v="MA"/>
    <n v="2121"/>
    <d v="1983-12-02T00:00:00"/>
    <s v="F"/>
    <s v="Single"/>
    <s v="US Citizen"/>
    <s v="Yes"/>
    <s v="Black or African American"/>
    <d v="2011-05-16T00:00:00"/>
    <m/>
    <s v="N/A-StillEmployed"/>
    <s v="Active"/>
    <x v="2"/>
    <s v="Kelley Spirea"/>
    <n v="18"/>
    <s v="LinkedIn"/>
    <s v="Fully Meets"/>
    <n v="4.2"/>
    <n v="4"/>
    <n v="0"/>
    <s v="2/26/2019"/>
    <n v="0"/>
    <n v="12"/>
    <s v="Normal"/>
    <s v="low Outlier"/>
    <n v="42"/>
    <n v="14"/>
    <n v="14"/>
    <s v="10+ Years"/>
    <s v="36-45"/>
    <s v="Mid (40-70K)"/>
    <n v="1"/>
    <x v="0"/>
    <n v="5"/>
    <s v="Q2"/>
    <s v="May"/>
    <s v="2011-05"/>
    <s v="N/A"/>
    <s v="Production       "/>
  </r>
  <r>
    <s v="Gentry, Mildred"/>
    <n v="10159"/>
    <n v="1"/>
    <n v="1"/>
    <n v="0"/>
    <n v="1"/>
    <n v="5"/>
    <n v="3"/>
    <n v="0"/>
    <n v="51337"/>
    <n v="0"/>
    <n v="19"/>
    <s v="Production Technician I"/>
    <s v="MA"/>
    <n v="2145"/>
    <d v="1990-10-01T00:00:00"/>
    <s v="F"/>
    <s v="Married"/>
    <s v="US Citizen"/>
    <s v="No"/>
    <s v="Black or African American"/>
    <d v="2015-03-30T00:00:00"/>
    <m/>
    <s v="N/A-StillEmployed"/>
    <s v="Active"/>
    <x v="2"/>
    <s v="Michael Albert"/>
    <n v="22"/>
    <s v="LinkedIn"/>
    <s v="Fully Meets"/>
    <n v="3.73"/>
    <n v="3"/>
    <n v="0"/>
    <s v="1/16/2019"/>
    <n v="0"/>
    <n v="19"/>
    <s v="Normal"/>
    <s v="low Outlier"/>
    <n v="35"/>
    <n v="10"/>
    <n v="10"/>
    <s v="10+ Years"/>
    <s v="26-35"/>
    <s v="Mid (40-70K)"/>
    <n v="1"/>
    <x v="1"/>
    <n v="3"/>
    <s v="Q1"/>
    <s v="Mar"/>
    <s v="2015-03"/>
    <s v="N/A"/>
    <s v="Production       "/>
  </r>
  <r>
    <s v="Gerke, Melisa"/>
    <n v="10122"/>
    <n v="0"/>
    <n v="2"/>
    <n v="0"/>
    <n v="5"/>
    <n v="5"/>
    <n v="3"/>
    <n v="1"/>
    <n v="51505"/>
    <n v="1"/>
    <n v="19"/>
    <s v="Production Technician I"/>
    <s v="MA"/>
    <n v="2330"/>
    <d v="1970-05-15T00:00:00"/>
    <s v="F"/>
    <s v="Divorced"/>
    <s v="US Citizen"/>
    <s v="No"/>
    <s v="Black or African American"/>
    <d v="2011-11-07T00:00:00"/>
    <d v="2016-11-15T00:00:00"/>
    <s v="hours"/>
    <s v="Voluntarily Terminated"/>
    <x v="2"/>
    <s v="Elijiah Gray"/>
    <n v="16"/>
    <s v="Diversity Job Fair"/>
    <s v="Fully Meets"/>
    <n v="4.24"/>
    <n v="4"/>
    <n v="0"/>
    <s v="4/29/2016"/>
    <n v="0"/>
    <n v="2"/>
    <s v="Normal"/>
    <s v="low Outlier"/>
    <n v="55"/>
    <n v="14"/>
    <n v="5"/>
    <s v="10+ Years"/>
    <s v="46-55"/>
    <s v="Mid (40-70K)"/>
    <n v="0"/>
    <x v="0"/>
    <n v="11"/>
    <s v="Q4"/>
    <s v="Nov"/>
    <s v="2011-11"/>
    <n v="2016"/>
    <s v="Production       "/>
  </r>
  <r>
    <s v="Gill, Whitney  "/>
    <n v="10142"/>
    <n v="0"/>
    <n v="4"/>
    <n v="0"/>
    <n v="4"/>
    <n v="6"/>
    <n v="3"/>
    <n v="0"/>
    <n v="59370"/>
    <n v="1"/>
    <n v="3"/>
    <s v="Area Sales Manager"/>
    <s v="OH"/>
    <n v="43050"/>
    <d v="1971-07-10T00:00:00"/>
    <s v="F"/>
    <s v="Widowed"/>
    <s v="US Citizen"/>
    <s v="No"/>
    <s v="Black or African American"/>
    <d v="2014-07-07T00:00:00"/>
    <d v="2015-09-05T00:00:00"/>
    <s v="attendance"/>
    <s v="Terminated for Cause"/>
    <x v="5"/>
    <s v="John Smith"/>
    <n v="17"/>
    <s v="CareerBuilder"/>
    <s v="Fully Meets"/>
    <n v="3.97"/>
    <n v="4"/>
    <n v="0"/>
    <s v="1/15/2014"/>
    <n v="0"/>
    <n v="7"/>
    <s v="Normal"/>
    <s v="low Outlier"/>
    <n v="54"/>
    <n v="11"/>
    <n v="1"/>
    <s v="10+ Years"/>
    <s v="46-55"/>
    <s v="Mid (40-70K)"/>
    <n v="0"/>
    <x v="4"/>
    <n v="7"/>
    <s v="Q3"/>
    <s v="Jul"/>
    <s v="2014-07"/>
    <n v="2015"/>
    <s v="Production       "/>
  </r>
  <r>
    <s v="Gilles, Alex"/>
    <n v="10283"/>
    <n v="1"/>
    <n v="1"/>
    <n v="1"/>
    <n v="5"/>
    <n v="5"/>
    <n v="2"/>
    <n v="1"/>
    <n v="54933"/>
    <n v="1"/>
    <n v="19"/>
    <s v="Production Technician I"/>
    <s v="MA"/>
    <n v="2062"/>
    <d v="1974-08-09T00:00:00"/>
    <s v="M "/>
    <s v="Married"/>
    <s v="US Citizen"/>
    <s v="No"/>
    <s v="Black or African American"/>
    <d v="2012-04-02T00:00:00"/>
    <d v="2015-06-25T00:00:00"/>
    <s v="military"/>
    <s v="Voluntarily Terminated"/>
    <x v="2"/>
    <s v="Webster Butler"/>
    <n v="39"/>
    <s v="Diversity Job Fair"/>
    <s v="Needs Improvement"/>
    <n v="3.97"/>
    <n v="4"/>
    <n v="0"/>
    <s v="1/20/2015"/>
    <n v="3"/>
    <n v="15"/>
    <s v="Normal"/>
    <s v="low Outlier"/>
    <n v="51"/>
    <n v="13"/>
    <n v="3"/>
    <s v="10+ Years"/>
    <s v="46-55"/>
    <s v="Mid (40-70K)"/>
    <n v="0"/>
    <x v="3"/>
    <n v="4"/>
    <s v="Q2"/>
    <s v="Apr"/>
    <s v="2012-04"/>
    <n v="2015"/>
    <s v="Production       "/>
  </r>
  <r>
    <s v="Girifalco, Evelyn"/>
    <n v="10018"/>
    <n v="0"/>
    <n v="0"/>
    <n v="0"/>
    <n v="1"/>
    <n v="5"/>
    <n v="4"/>
    <n v="0"/>
    <n v="57815"/>
    <n v="0"/>
    <n v="19"/>
    <s v="Production Technician I"/>
    <s v="MA"/>
    <n v="2451"/>
    <d v="1980-05-08T00:00:00"/>
    <s v="F"/>
    <s v="Single"/>
    <s v="US Citizen"/>
    <s v="Yes"/>
    <s v="Two or more races"/>
    <d v="2014-09-29T00:00:00"/>
    <m/>
    <s v="N/A-StillEmployed"/>
    <s v="Active"/>
    <x v="2"/>
    <s v="Amy Dunn"/>
    <n v="11"/>
    <s v="Indeed"/>
    <s v="Exceeds"/>
    <n v="3.9"/>
    <n v="4"/>
    <n v="0"/>
    <s v="2/7/2019"/>
    <n v="0"/>
    <n v="3"/>
    <s v="Normal"/>
    <s v="low Outlier"/>
    <n v="45"/>
    <n v="11"/>
    <n v="11"/>
    <s v="10+ Years"/>
    <s v="36-45"/>
    <s v="Mid (40-70K)"/>
    <n v="1"/>
    <x v="4"/>
    <n v="9"/>
    <s v="Q3"/>
    <s v="Sep"/>
    <s v="2014-09"/>
    <s v="N/A"/>
    <s v="Production       "/>
  </r>
  <r>
    <s v="Givens, Myriam"/>
    <n v="10255"/>
    <n v="0"/>
    <n v="0"/>
    <n v="0"/>
    <n v="1"/>
    <n v="6"/>
    <n v="3"/>
    <n v="0"/>
    <n v="61555"/>
    <n v="0"/>
    <n v="3"/>
    <s v="Area Sales Manager"/>
    <s v="IN"/>
    <n v="46204"/>
    <d v="1989-09-22T00:00:00"/>
    <s v="F"/>
    <s v="Single"/>
    <s v="US Citizen"/>
    <s v="No"/>
    <s v="White"/>
    <d v="2015-02-16T00:00:00"/>
    <m/>
    <s v="N/A-StillEmployed"/>
    <s v="Active"/>
    <x v="5"/>
    <s v="Lynn Daneault"/>
    <n v="21"/>
    <s v="Indeed"/>
    <s v="Fully Meets"/>
    <n v="4.5"/>
    <n v="5"/>
    <n v="0"/>
    <s v="1/25/2019"/>
    <n v="0"/>
    <n v="20"/>
    <s v="Normal"/>
    <s v="low Outlier"/>
    <n v="36"/>
    <n v="11"/>
    <n v="11"/>
    <s v="10+ Years"/>
    <s v="36-45"/>
    <s v="Mid (40-70K)"/>
    <n v="1"/>
    <x v="1"/>
    <n v="2"/>
    <s v="Q1"/>
    <s v="Feb"/>
    <s v="2015-02"/>
    <s v="N/A"/>
    <s v="Production       "/>
  </r>
  <r>
    <s v="Goble, Taisha"/>
    <n v="10246"/>
    <n v="0"/>
    <n v="0"/>
    <n v="0"/>
    <n v="4"/>
    <n v="3"/>
    <n v="3"/>
    <n v="0"/>
    <n v="114800"/>
    <n v="1"/>
    <n v="8"/>
    <s v="Database Administrator"/>
    <s v="MA"/>
    <n v="2127"/>
    <d v="1971-10-23T00:00:00"/>
    <s v="F"/>
    <s v="Single"/>
    <s v="US Citizen"/>
    <s v="No"/>
    <s v="White"/>
    <d v="2015-02-16T00:00:00"/>
    <d v="2015-03-15T00:00:00"/>
    <s v="no-call, no-show"/>
    <s v="Terminated for Cause"/>
    <x v="1"/>
    <s v="Simon Roup"/>
    <n v="4"/>
    <s v="Indeed"/>
    <s v="Fully Meets"/>
    <n v="4.5999999999999996"/>
    <n v="4"/>
    <n v="4"/>
    <s v="1/20/2015"/>
    <n v="0"/>
    <n v="10"/>
    <s v="Normal"/>
    <s v="low Outlier"/>
    <n v="54"/>
    <n v="11"/>
    <n v="0"/>
    <s v="10+ Years"/>
    <s v="46-55"/>
    <s v="Executive (100K+)"/>
    <n v="0"/>
    <x v="1"/>
    <n v="2"/>
    <s v="Q1"/>
    <s v="Feb"/>
    <s v="2015-02"/>
    <n v="2015"/>
    <s v="Production       "/>
  </r>
  <r>
    <s v="Goeth, Amon"/>
    <n v="10228"/>
    <n v="1"/>
    <n v="1"/>
    <n v="1"/>
    <n v="1"/>
    <n v="3"/>
    <n v="3"/>
    <n v="0"/>
    <n v="74679"/>
    <n v="0"/>
    <n v="14"/>
    <s v="IT Support"/>
    <s v="MA"/>
    <n v="2135"/>
    <d v="1989-11-24T00:00:00"/>
    <s v="M "/>
    <s v="Married"/>
    <s v="US Citizen"/>
    <s v="Yes"/>
    <s v="White"/>
    <d v="2015-03-30T00:00:00"/>
    <m/>
    <s v="N/A-StillEmployed"/>
    <s v="Active"/>
    <x v="1"/>
    <s v="Peter Monroe"/>
    <n v="7"/>
    <s v="LinkedIn"/>
    <s v="Fully Meets"/>
    <n v="4.3"/>
    <n v="5"/>
    <n v="7"/>
    <s v="1/10/2019"/>
    <n v="0"/>
    <n v="20"/>
    <s v="Normal"/>
    <s v="low Outlier"/>
    <n v="36"/>
    <n v="10"/>
    <n v="10"/>
    <s v="10+ Years"/>
    <s v="36-45"/>
    <s v="Senior (70-100K)"/>
    <n v="1"/>
    <x v="1"/>
    <n v="3"/>
    <s v="Q1"/>
    <s v="Mar"/>
    <s v="2015-03"/>
    <s v="N/A"/>
    <s v="Production       "/>
  </r>
  <r>
    <s v="Gold, Shenice  "/>
    <n v="10243"/>
    <n v="0"/>
    <n v="0"/>
    <n v="0"/>
    <n v="1"/>
    <n v="5"/>
    <n v="3"/>
    <n v="0"/>
    <n v="53018"/>
    <n v="0"/>
    <n v="19"/>
    <s v="Production Technician I"/>
    <s v="MA"/>
    <n v="2451"/>
    <d v="1992-06-18T00:00:00"/>
    <s v="F"/>
    <s v="Single"/>
    <s v="US Citizen"/>
    <s v="Yes"/>
    <s v="White"/>
    <d v="2013-11-11T00:00:00"/>
    <m/>
    <s v="N/A-StillEmployed"/>
    <s v="Active"/>
    <x v="2"/>
    <s v="Ketsia Liebig"/>
    <n v="19"/>
    <s v="Indeed"/>
    <s v="Fully Meets"/>
    <n v="4.3"/>
    <n v="5"/>
    <n v="0"/>
    <s v="2/18/2019"/>
    <n v="0"/>
    <n v="7"/>
    <s v="Normal"/>
    <s v="low Outlier"/>
    <n v="33"/>
    <n v="12"/>
    <n v="12"/>
    <s v="10+ Years"/>
    <s v="26-35"/>
    <s v="Mid (40-70K)"/>
    <n v="1"/>
    <x v="5"/>
    <n v="11"/>
    <s v="Q4"/>
    <s v="Nov"/>
    <s v="2013-11"/>
    <s v="N/A"/>
    <s v="Production       "/>
  </r>
  <r>
    <s v="Gonzalez, Cayo"/>
    <n v="10031"/>
    <n v="0"/>
    <n v="2"/>
    <n v="1"/>
    <n v="1"/>
    <n v="5"/>
    <n v="4"/>
    <n v="1"/>
    <n v="59892"/>
    <n v="0"/>
    <n v="19"/>
    <s v="Production Technician I"/>
    <s v="MA"/>
    <n v="2108"/>
    <d v="1969-09-29T00:00:00"/>
    <s v="M "/>
    <s v="Divorced"/>
    <s v="US Citizen"/>
    <s v="No"/>
    <s v="Black or African American"/>
    <d v="2011-07-11T00:00:00"/>
    <m/>
    <s v="N/A-StillEmployed"/>
    <s v="Active"/>
    <x v="2"/>
    <s v="Brannon Miller"/>
    <n v="12"/>
    <s v="Diversity Job Fair"/>
    <s v="Exceeds"/>
    <n v="4.5"/>
    <n v="4"/>
    <n v="0"/>
    <s v="2/18/2019"/>
    <n v="0"/>
    <n v="1"/>
    <s v="Normal"/>
    <s v="low Outlier"/>
    <n v="56"/>
    <n v="14"/>
    <n v="14"/>
    <s v="10+ Years"/>
    <s v="55+"/>
    <s v="Mid (40-70K)"/>
    <n v="1"/>
    <x v="0"/>
    <n v="7"/>
    <s v="Q3"/>
    <s v="Jul"/>
    <s v="2011-07"/>
    <s v="N/A"/>
    <s v="Production       "/>
  </r>
  <r>
    <s v="Gonzalez, Juan"/>
    <n v="10300"/>
    <n v="1"/>
    <n v="1"/>
    <n v="1"/>
    <n v="5"/>
    <n v="5"/>
    <n v="1"/>
    <n v="1"/>
    <n v="68898"/>
    <n v="1"/>
    <n v="20"/>
    <s v="Production Technician II"/>
    <s v="MA"/>
    <n v="2128"/>
    <d v="1964-10-12T00:00:00"/>
    <s v="M "/>
    <s v="Married"/>
    <s v="US Citizen"/>
    <s v="No"/>
    <s v="Black or African American"/>
    <d v="2010-04-26T00:00:00"/>
    <d v="2011-05-30T00:00:00"/>
    <s v="career change"/>
    <s v="Voluntarily Terminated"/>
    <x v="2"/>
    <s v="Brannon Miller"/>
    <n v="12"/>
    <s v="Diversity Job Fair"/>
    <s v="PIP"/>
    <n v="3"/>
    <n v="3"/>
    <n v="0"/>
    <s v="3/6/2011"/>
    <n v="3"/>
    <n v="10"/>
    <s v="Normal"/>
    <s v="low Outlier"/>
    <n v="61"/>
    <n v="15"/>
    <n v="1"/>
    <s v="10+ Years"/>
    <s v="55+"/>
    <s v="Mid (40-70K)"/>
    <n v="0"/>
    <x v="8"/>
    <n v="4"/>
    <s v="Q2"/>
    <s v="Apr"/>
    <s v="2010-04"/>
    <n v="2011"/>
    <s v="Production       "/>
  </r>
  <r>
    <s v="Gonzalez, Maria"/>
    <n v="10101"/>
    <n v="0"/>
    <n v="3"/>
    <n v="0"/>
    <n v="1"/>
    <n v="3"/>
    <n v="3"/>
    <n v="0"/>
    <n v="61242"/>
    <n v="0"/>
    <n v="14"/>
    <s v="IT Support"/>
    <s v="MA"/>
    <n v="2472"/>
    <d v="1981-04-16T00:00:00"/>
    <s v="F"/>
    <s v="Separated"/>
    <s v="US Citizen"/>
    <s v="Yes"/>
    <s v="White"/>
    <d v="2015-01-05T00:00:00"/>
    <m/>
    <s v="N/A-StillEmployed"/>
    <s v="Active"/>
    <x v="1"/>
    <s v="Peter Monroe"/>
    <n v="7"/>
    <s v="Employee Referral"/>
    <s v="Fully Meets"/>
    <n v="4.6100000000000003"/>
    <n v="4"/>
    <n v="5"/>
    <s v="1/28/2019"/>
    <n v="0"/>
    <n v="11"/>
    <s v="Normal"/>
    <s v="low Outlier"/>
    <n v="44"/>
    <n v="11"/>
    <n v="11"/>
    <s v="10+ Years"/>
    <s v="36-45"/>
    <s v="Mid (40-70K)"/>
    <n v="1"/>
    <x v="1"/>
    <n v="1"/>
    <s v="Q1"/>
    <s v="Jan"/>
    <s v="2015-01"/>
    <s v="N/A"/>
    <s v="Production       "/>
  </r>
  <r>
    <s v="Good, Susan"/>
    <n v="10237"/>
    <n v="1"/>
    <n v="1"/>
    <n v="0"/>
    <n v="3"/>
    <n v="5"/>
    <n v="3"/>
    <n v="0"/>
    <n v="66825"/>
    <n v="0"/>
    <n v="20"/>
    <s v="Production Technician II"/>
    <s v="MA"/>
    <n v="1886"/>
    <d v="1986-05-25T00:00:00"/>
    <s v="F"/>
    <s v="Married"/>
    <s v="US Citizen"/>
    <s v="No"/>
    <s v="White"/>
    <d v="2014-05-12T00:00:00"/>
    <m/>
    <s v="N/A-StillEmployed"/>
    <s v="Active"/>
    <x v="2"/>
    <s v="David Stanley"/>
    <n v="14"/>
    <s v="LinkedIn"/>
    <s v="Fully Meets"/>
    <n v="4.5999999999999996"/>
    <n v="3"/>
    <n v="0"/>
    <s v="2/7/2019"/>
    <n v="0"/>
    <n v="20"/>
    <s v="Normal"/>
    <s v="low Outlier"/>
    <n v="39"/>
    <n v="11"/>
    <n v="11"/>
    <s v="10+ Years"/>
    <s v="36-45"/>
    <s v="Mid (40-70K)"/>
    <n v="1"/>
    <x v="4"/>
    <n v="5"/>
    <s v="Q2"/>
    <s v="May"/>
    <s v="2014-05"/>
    <s v="N/A"/>
    <s v="Production       "/>
  </r>
  <r>
    <s v="Gordon, David"/>
    <n v="10051"/>
    <n v="1"/>
    <n v="1"/>
    <n v="1"/>
    <n v="1"/>
    <n v="5"/>
    <n v="3"/>
    <n v="0"/>
    <n v="48285"/>
    <n v="0"/>
    <n v="19"/>
    <s v="Production Technician I"/>
    <s v="MA"/>
    <n v="2169"/>
    <d v="1979-05-21T00:00:00"/>
    <s v="M "/>
    <s v="Married"/>
    <s v="US Citizen"/>
    <s v="No"/>
    <s v="White"/>
    <d v="2012-07-02T00:00:00"/>
    <m/>
    <s v="N/A-StillEmployed"/>
    <s v="Active"/>
    <x v="2"/>
    <s v="David Stanley"/>
    <n v="14"/>
    <s v="LinkedIn"/>
    <s v="Fully Meets"/>
    <n v="5"/>
    <n v="3"/>
    <n v="0"/>
    <s v="1/14/2019"/>
    <n v="0"/>
    <n v="2"/>
    <s v="Normal"/>
    <s v="low Outlier"/>
    <n v="46"/>
    <n v="13"/>
    <n v="13"/>
    <s v="10+ Years"/>
    <s v="46-55"/>
    <s v="Mid (40-70K)"/>
    <n v="1"/>
    <x v="3"/>
    <n v="7"/>
    <s v="Q3"/>
    <s v="Jul"/>
    <s v="2012-07"/>
    <s v="N/A"/>
    <s v="Production       "/>
  </r>
  <r>
    <s v="Gosciminski, Phylicia  "/>
    <n v="10218"/>
    <n v="0"/>
    <n v="3"/>
    <n v="0"/>
    <n v="3"/>
    <n v="5"/>
    <n v="3"/>
    <n v="0"/>
    <n v="66149"/>
    <n v="0"/>
    <n v="20"/>
    <s v="Production Technician II"/>
    <s v="MA"/>
    <n v="1824"/>
    <d v="1983-12-08T00:00:00"/>
    <s v="F"/>
    <s v="Separated"/>
    <s v="US Citizen"/>
    <s v="No"/>
    <s v="American Indian or Alaska Native"/>
    <d v="2013-09-30T00:00:00"/>
    <m/>
    <s v="N/A-StillEmployed"/>
    <s v="Active"/>
    <x v="2"/>
    <s v="Kissy Sullivan"/>
    <n v="20"/>
    <s v="Google Search"/>
    <s v="Fully Meets"/>
    <n v="4.4000000000000004"/>
    <n v="5"/>
    <n v="0"/>
    <s v="2/21/2019"/>
    <n v="0"/>
    <n v="1"/>
    <s v="Normal"/>
    <s v="low Outlier"/>
    <n v="42"/>
    <n v="12"/>
    <n v="12"/>
    <s v="10+ Years"/>
    <s v="36-45"/>
    <s v="Mid (40-70K)"/>
    <n v="1"/>
    <x v="5"/>
    <n v="9"/>
    <s v="Q3"/>
    <s v="Sep"/>
    <s v="2013-09"/>
    <s v="N/A"/>
    <s v="Production       "/>
  </r>
  <r>
    <s v="Goyal, Roxana"/>
    <n v="10256"/>
    <n v="1"/>
    <n v="1"/>
    <n v="0"/>
    <n v="3"/>
    <n v="5"/>
    <n v="3"/>
    <n v="0"/>
    <n v="49256"/>
    <n v="0"/>
    <n v="19"/>
    <s v="Production Technician I"/>
    <s v="MA"/>
    <n v="1864"/>
    <d v="1974-10-09T00:00:00"/>
    <s v="F"/>
    <s v="Married"/>
    <s v="US Citizen"/>
    <s v="No"/>
    <s v="Asian"/>
    <d v="2013-08-19T00:00:00"/>
    <m/>
    <s v="N/A-StillEmployed"/>
    <s v="Active"/>
    <x v="2"/>
    <s v="Kissy Sullivan"/>
    <n v="20"/>
    <s v="LinkedIn"/>
    <s v="Fully Meets"/>
    <n v="4.0999999999999996"/>
    <n v="5"/>
    <n v="0"/>
    <s v="2/15/2019"/>
    <n v="0"/>
    <n v="3"/>
    <s v="Normal"/>
    <s v="low Outlier"/>
    <n v="51"/>
    <n v="12"/>
    <n v="12"/>
    <s v="10+ Years"/>
    <s v="46-55"/>
    <s v="Mid (40-70K)"/>
    <n v="1"/>
    <x v="5"/>
    <n v="8"/>
    <s v="Q3"/>
    <s v="Aug"/>
    <s v="2013-08"/>
    <s v="N/A"/>
    <s v="Production       "/>
  </r>
  <r>
    <s v="Gray, Elijiah  "/>
    <n v="10098"/>
    <n v="0"/>
    <n v="2"/>
    <n v="1"/>
    <n v="1"/>
    <n v="5"/>
    <n v="3"/>
    <n v="0"/>
    <n v="62957"/>
    <n v="0"/>
    <n v="18"/>
    <s v="Production Manager"/>
    <s v="MA"/>
    <n v="1752"/>
    <d v="1981-07-11T00:00:00"/>
    <s v="M "/>
    <s v="Divorced"/>
    <s v="US Citizen"/>
    <s v="No"/>
    <s v="White"/>
    <d v="2015-06-02T00:00:00"/>
    <m/>
    <s v="N/A-StillEmployed"/>
    <s v="Active"/>
    <x v="2"/>
    <s v="Janet King"/>
    <n v="2"/>
    <s v="Employee Referral"/>
    <s v="Fully Meets"/>
    <n v="4.63"/>
    <n v="3"/>
    <n v="0"/>
    <s v="1/4/2019"/>
    <n v="0"/>
    <n v="2"/>
    <s v="Normal"/>
    <s v="low Outlier"/>
    <n v="44"/>
    <n v="10"/>
    <n v="10"/>
    <s v="10+ Years"/>
    <s v="36-45"/>
    <s v="Mid (40-70K)"/>
    <n v="1"/>
    <x v="1"/>
    <n v="6"/>
    <s v="Q2"/>
    <s v="Jun"/>
    <s v="2015-06"/>
    <s v="N/A"/>
    <s v="Production       "/>
  </r>
  <r>
    <s v="Gross, Paula"/>
    <n v="10059"/>
    <n v="0"/>
    <n v="2"/>
    <n v="0"/>
    <n v="5"/>
    <n v="5"/>
    <n v="3"/>
    <n v="0"/>
    <n v="63813"/>
    <n v="1"/>
    <n v="19"/>
    <s v="Production Technician I"/>
    <s v="MA"/>
    <n v="2176"/>
    <d v="1983-05-21T00:00:00"/>
    <s v="F"/>
    <s v="Divorced"/>
    <s v="US Citizen"/>
    <s v="No"/>
    <s v="White"/>
    <d v="2011-02-21T00:00:00"/>
    <d v="2014-01-11T00:00:00"/>
    <s v="more money"/>
    <s v="Voluntarily Terminated"/>
    <x v="2"/>
    <s v="Kelley Spirea"/>
    <n v="18"/>
    <s v="CareerBuilder"/>
    <s v="Fully Meets"/>
    <n v="5"/>
    <n v="5"/>
    <n v="0"/>
    <s v="6/3/2013"/>
    <n v="0"/>
    <n v="17"/>
    <s v="Normal"/>
    <s v="low Outlier"/>
    <n v="42"/>
    <n v="14"/>
    <n v="2"/>
    <s v="10+ Years"/>
    <s v="36-45"/>
    <s v="Mid (40-70K)"/>
    <n v="0"/>
    <x v="0"/>
    <n v="2"/>
    <s v="Q1"/>
    <s v="Feb"/>
    <s v="2011-02"/>
    <n v="2014"/>
    <s v="Production       "/>
  </r>
  <r>
    <s v="Gruber, Hans"/>
    <n v="10234"/>
    <n v="1"/>
    <n v="1"/>
    <n v="1"/>
    <n v="1"/>
    <n v="3"/>
    <n v="3"/>
    <n v="0"/>
    <n v="99020"/>
    <n v="0"/>
    <n v="4"/>
    <s v="BI Developer"/>
    <s v="MA"/>
    <n v="2134"/>
    <d v="1989-06-30T00:00:00"/>
    <s v="M "/>
    <s v="Married"/>
    <s v="US Citizen"/>
    <s v="No"/>
    <s v="Black or African American"/>
    <d v="2017-04-20T00:00:00"/>
    <m/>
    <s v="N/A-StillEmployed"/>
    <s v="Active"/>
    <x v="1"/>
    <s v="Brian Champaigne"/>
    <n v="13"/>
    <s v="Indeed"/>
    <s v="Fully Meets"/>
    <n v="4.2"/>
    <n v="5"/>
    <n v="5"/>
    <s v="1/28/2019"/>
    <n v="0"/>
    <n v="8"/>
    <s v="Normal"/>
    <s v="low Outlier"/>
    <n v="36"/>
    <n v="8"/>
    <n v="8"/>
    <s v="5-10 Years"/>
    <s v="36-45"/>
    <s v="Senior (70-100K)"/>
    <n v="1"/>
    <x v="10"/>
    <n v="4"/>
    <s v="Q2"/>
    <s v="Apr"/>
    <s v="2017-04"/>
    <s v="N/A"/>
    <s v="Production       "/>
  </r>
  <r>
    <s v="Guilianno, Mike"/>
    <n v="10109"/>
    <n v="0"/>
    <n v="0"/>
    <n v="1"/>
    <n v="5"/>
    <n v="6"/>
    <n v="3"/>
    <n v="0"/>
    <n v="71707"/>
    <n v="1"/>
    <n v="3"/>
    <s v="Area Sales Manager"/>
    <s v="TN"/>
    <n v="37129"/>
    <d v="1969-02-09T00:00:00"/>
    <s v="M "/>
    <s v="Single"/>
    <s v="US Citizen"/>
    <s v="No"/>
    <s v="Two or more races"/>
    <d v="2012-03-07T00:00:00"/>
    <d v="2014-10-31T00:00:00"/>
    <s v="relocation out of area"/>
    <s v="Voluntarily Terminated"/>
    <x v="5"/>
    <s v="John Smith"/>
    <n v="17"/>
    <s v="LinkedIn"/>
    <s v="Fully Meets"/>
    <n v="4.5"/>
    <n v="5"/>
    <n v="0"/>
    <s v="2/1/2013"/>
    <n v="0"/>
    <n v="20"/>
    <s v="Normal"/>
    <s v="low Outlier"/>
    <n v="57"/>
    <n v="13"/>
    <n v="2"/>
    <s v="10+ Years"/>
    <s v="55+"/>
    <s v="Senior (70-100K)"/>
    <n v="0"/>
    <x v="3"/>
    <n v="3"/>
    <s v="Q1"/>
    <s v="Mar"/>
    <s v="2012-03"/>
    <n v="2014"/>
    <s v="Production       "/>
  </r>
  <r>
    <s v="Handschiegl, Joanne"/>
    <n v="10125"/>
    <n v="1"/>
    <n v="1"/>
    <n v="0"/>
    <n v="1"/>
    <n v="5"/>
    <n v="3"/>
    <n v="0"/>
    <n v="54828"/>
    <n v="0"/>
    <n v="19"/>
    <s v="Production Technician I"/>
    <s v="MA"/>
    <n v="2127"/>
    <d v="1977-03-23T00:00:00"/>
    <s v="F"/>
    <s v="Married"/>
    <s v="US Citizen"/>
    <s v="No"/>
    <s v="White"/>
    <d v="2011-11-28T00:00:00"/>
    <m/>
    <s v="N/A-StillEmployed"/>
    <s v="Active"/>
    <x v="2"/>
    <s v="Michael Albert"/>
    <n v="22"/>
    <s v="Google Search"/>
    <s v="Fully Meets"/>
    <n v="4.2"/>
    <n v="4"/>
    <n v="0"/>
    <s v="2/22/2019"/>
    <n v="0"/>
    <n v="13"/>
    <s v="Normal"/>
    <s v="low Outlier"/>
    <n v="48"/>
    <n v="14"/>
    <n v="14"/>
    <s v="10+ Years"/>
    <s v="46-55"/>
    <s v="Mid (40-70K)"/>
    <n v="1"/>
    <x v="0"/>
    <n v="11"/>
    <s v="Q4"/>
    <s v="Nov"/>
    <s v="2011-11"/>
    <s v="N/A"/>
    <s v="Production       "/>
  </r>
  <r>
    <s v="Hankard, Earnest"/>
    <n v="10074"/>
    <n v="0"/>
    <n v="0"/>
    <n v="1"/>
    <n v="1"/>
    <n v="5"/>
    <n v="3"/>
    <n v="0"/>
    <n v="64246"/>
    <n v="0"/>
    <n v="20"/>
    <s v="Production Technician II"/>
    <s v="MA"/>
    <n v="2155"/>
    <d v="1988-08-10T00:00:00"/>
    <s v="M "/>
    <s v="Single"/>
    <s v="US Citizen"/>
    <s v="Yes"/>
    <s v="White"/>
    <d v="2013-11-11T00:00:00"/>
    <m/>
    <s v="N/A-StillEmployed"/>
    <s v="Active"/>
    <x v="2"/>
    <s v="Kelley Spirea"/>
    <n v="18"/>
    <s v="LinkedIn"/>
    <s v="Fully Meets"/>
    <n v="5"/>
    <n v="3"/>
    <n v="0"/>
    <s v="1/8/2019"/>
    <n v="0"/>
    <n v="20"/>
    <s v="Normal"/>
    <s v="low Outlier"/>
    <n v="37"/>
    <n v="12"/>
    <n v="12"/>
    <s v="10+ Years"/>
    <s v="36-45"/>
    <s v="Mid (40-70K)"/>
    <n v="1"/>
    <x v="5"/>
    <n v="11"/>
    <s v="Q4"/>
    <s v="Nov"/>
    <s v="2013-11"/>
    <s v="N/A"/>
    <s v="Production       "/>
  </r>
  <r>
    <s v="Harrington, Christie "/>
    <n v="10097"/>
    <n v="0"/>
    <n v="0"/>
    <n v="0"/>
    <n v="5"/>
    <n v="5"/>
    <n v="3"/>
    <n v="0"/>
    <n v="52177"/>
    <n v="1"/>
    <n v="19"/>
    <s v="Production Technician I"/>
    <s v="MA"/>
    <n v="2324"/>
    <d v="1952-08-18T00:00:00"/>
    <s v="F"/>
    <s v="Single"/>
    <s v="US Citizen"/>
    <s v="No"/>
    <s v="White"/>
    <d v="2012-01-09T00:00:00"/>
    <d v="2015-12-15T00:00:00"/>
    <s v="retiring"/>
    <s v="Voluntarily Terminated"/>
    <x v="2"/>
    <s v="Webster Butler"/>
    <n v="39"/>
    <s v="CareerBuilder"/>
    <s v="Fully Meets"/>
    <n v="4.6399999999999997"/>
    <n v="4"/>
    <n v="0"/>
    <s v="5/2/2015"/>
    <n v="0"/>
    <n v="8"/>
    <s v="Normal"/>
    <s v="low Outlier"/>
    <n v="73"/>
    <n v="14"/>
    <n v="3"/>
    <s v="10+ Years"/>
    <s v="55+"/>
    <s v="Mid (40-70K)"/>
    <n v="0"/>
    <x v="3"/>
    <n v="1"/>
    <s v="Q1"/>
    <s v="Jan"/>
    <s v="2012-01"/>
    <n v="2015"/>
    <s v="Production       "/>
  </r>
  <r>
    <s v="Harrison, Kara"/>
    <n v="10007"/>
    <n v="1"/>
    <n v="1"/>
    <n v="0"/>
    <n v="1"/>
    <n v="5"/>
    <n v="4"/>
    <n v="0"/>
    <n v="62065"/>
    <n v="0"/>
    <n v="19"/>
    <s v="Production Technician I"/>
    <s v="MA"/>
    <n v="1886"/>
    <d v="1974-05-02T00:00:00"/>
    <s v="F"/>
    <s v="Married"/>
    <s v="US Citizen"/>
    <s v="No"/>
    <s v="White"/>
    <d v="2014-05-12T00:00:00"/>
    <m/>
    <s v="N/A-StillEmployed"/>
    <s v="Active"/>
    <x v="2"/>
    <s v="Amy Dunn"/>
    <n v="11"/>
    <s v="CareerBuilder"/>
    <s v="Exceeds"/>
    <n v="4.76"/>
    <n v="4"/>
    <n v="0"/>
    <s v="2/15/2019"/>
    <n v="0"/>
    <n v="5"/>
    <s v="Normal"/>
    <s v="low Outlier"/>
    <n v="51"/>
    <n v="11"/>
    <n v="11"/>
    <s v="10+ Years"/>
    <s v="46-55"/>
    <s v="Mid (40-70K)"/>
    <n v="1"/>
    <x v="4"/>
    <n v="5"/>
    <s v="Q2"/>
    <s v="May"/>
    <s v="2014-05"/>
    <s v="N/A"/>
    <s v="Production       "/>
  </r>
  <r>
    <s v="Heitzman, Anthony"/>
    <n v="10129"/>
    <n v="0"/>
    <n v="0"/>
    <n v="1"/>
    <n v="1"/>
    <n v="5"/>
    <n v="3"/>
    <n v="0"/>
    <n v="46998"/>
    <n v="0"/>
    <n v="19"/>
    <s v="Production Technician I"/>
    <s v="MA"/>
    <n v="2149"/>
    <d v="1984-01-04T00:00:00"/>
    <s v="M "/>
    <s v="Single"/>
    <s v="US Citizen"/>
    <s v="No"/>
    <s v="White"/>
    <d v="2012-08-13T00:00:00"/>
    <m/>
    <s v="N/A-StillEmployed"/>
    <s v="Active"/>
    <x v="2"/>
    <s v="Ketsia Liebig"/>
    <n v="19"/>
    <s v="Google Search"/>
    <s v="Fully Meets"/>
    <n v="4.17"/>
    <n v="4"/>
    <n v="0"/>
    <s v="2/11/2019"/>
    <n v="0"/>
    <n v="1"/>
    <s v="Normal"/>
    <s v="low Outlier"/>
    <n v="42"/>
    <n v="13"/>
    <n v="13"/>
    <s v="10+ Years"/>
    <s v="36-45"/>
    <s v="Mid (40-70K)"/>
    <n v="1"/>
    <x v="3"/>
    <n v="8"/>
    <s v="Q3"/>
    <s v="Aug"/>
    <s v="2012-08"/>
    <s v="N/A"/>
    <s v="Production       "/>
  </r>
  <r>
    <s v="Hendrickson, Trina"/>
    <n v="10075"/>
    <n v="0"/>
    <n v="0"/>
    <n v="0"/>
    <n v="5"/>
    <n v="5"/>
    <n v="3"/>
    <n v="0"/>
    <n v="68099"/>
    <n v="1"/>
    <n v="20"/>
    <s v="Production Technician II"/>
    <s v="MA"/>
    <n v="2021"/>
    <d v="1972-08-27T00:00:00"/>
    <s v="F"/>
    <s v="Single"/>
    <s v="US Citizen"/>
    <s v="No"/>
    <s v="White"/>
    <d v="2011-01-10T00:00:00"/>
    <d v="2013-06-18T00:00:00"/>
    <s v="hours"/>
    <s v="Voluntarily Terminated"/>
    <x v="2"/>
    <s v="Kelley Spirea"/>
    <n v="18"/>
    <s v="CareerBuilder"/>
    <s v="Fully Meets"/>
    <n v="5"/>
    <n v="3"/>
    <n v="0"/>
    <s v="1/30/2013"/>
    <n v="0"/>
    <n v="15"/>
    <s v="Normal"/>
    <s v="low Outlier"/>
    <n v="53"/>
    <n v="15"/>
    <n v="2"/>
    <s v="10+ Years"/>
    <s v="46-55"/>
    <s v="Mid (40-70K)"/>
    <n v="0"/>
    <x v="0"/>
    <n v="1"/>
    <s v="Q1"/>
    <s v="Jan"/>
    <s v="2011-01"/>
    <n v="2013"/>
    <s v="Production       "/>
  </r>
  <r>
    <s v="Hitchcock, Alfred"/>
    <n v="10167"/>
    <n v="1"/>
    <n v="1"/>
    <n v="1"/>
    <n v="1"/>
    <n v="6"/>
    <n v="3"/>
    <n v="0"/>
    <n v="70545"/>
    <n v="0"/>
    <n v="3"/>
    <s v="Area Sales Manager"/>
    <s v="NH"/>
    <n v="3062"/>
    <d v="1988-09-14T00:00:00"/>
    <s v="M "/>
    <s v="Married"/>
    <s v="US Citizen"/>
    <s v="No"/>
    <s v="American Indian or Alaska Native"/>
    <d v="2014-08-18T00:00:00"/>
    <m/>
    <s v="N/A-StillEmployed"/>
    <s v="Active"/>
    <x v="5"/>
    <s v="John Smith"/>
    <n v="17"/>
    <s v="Indeed"/>
    <s v="Fully Meets"/>
    <n v="3.6"/>
    <n v="5"/>
    <n v="0"/>
    <s v="1/30/2019"/>
    <n v="0"/>
    <n v="9"/>
    <s v="Normal"/>
    <s v="low Outlier"/>
    <n v="37"/>
    <n v="11"/>
    <n v="11"/>
    <s v="10+ Years"/>
    <s v="36-45"/>
    <s v="Senior (70-100K)"/>
    <n v="1"/>
    <x v="4"/>
    <n v="8"/>
    <s v="Q3"/>
    <s v="Aug"/>
    <s v="2014-08"/>
    <s v="N/A"/>
    <s v="Production       "/>
  </r>
  <r>
    <s v="Homberger, Adrienne  J"/>
    <n v="10195"/>
    <n v="1"/>
    <n v="1"/>
    <n v="0"/>
    <n v="5"/>
    <n v="5"/>
    <n v="3"/>
    <n v="0"/>
    <n v="63478"/>
    <n v="1"/>
    <n v="20"/>
    <s v="Production Technician II"/>
    <s v="MA"/>
    <n v="2445"/>
    <d v="1984-02-16T00:00:00"/>
    <s v="F"/>
    <s v="Married"/>
    <s v="Non-Citizen"/>
    <s v="No"/>
    <s v="White"/>
    <d v="2011-08-15T00:00:00"/>
    <d v="2012-04-07T00:00:00"/>
    <s v="relocation out of area"/>
    <s v="Voluntarily Terminated"/>
    <x v="2"/>
    <s v="Michael Albert"/>
    <n v="30"/>
    <s v="Indeed"/>
    <s v="Fully Meets"/>
    <n v="3.03"/>
    <n v="5"/>
    <n v="0"/>
    <s v="3/5/2012"/>
    <n v="0"/>
    <n v="16"/>
    <s v="Normal"/>
    <s v="low Outlier"/>
    <n v="42"/>
    <n v="14"/>
    <n v="0"/>
    <s v="10+ Years"/>
    <s v="36-45"/>
    <s v="Mid (40-70K)"/>
    <n v="0"/>
    <x v="0"/>
    <n v="8"/>
    <s v="Q3"/>
    <s v="Aug"/>
    <s v="2011-08"/>
    <n v="2012"/>
    <s v="Production       "/>
  </r>
  <r>
    <s v="Horton, Jayne"/>
    <n v="10112"/>
    <n v="0"/>
    <n v="0"/>
    <n v="0"/>
    <n v="1"/>
    <n v="3"/>
    <n v="3"/>
    <n v="0"/>
    <n v="97999"/>
    <n v="0"/>
    <n v="8"/>
    <s v="Database Administrator"/>
    <s v="MA"/>
    <n v="2493"/>
    <d v="1984-02-21T00:00:00"/>
    <s v="F"/>
    <s v="Single"/>
    <s v="US Citizen"/>
    <s v="No"/>
    <s v="White"/>
    <d v="2015-03-30T00:00:00"/>
    <m/>
    <s v="N/A-StillEmployed"/>
    <s v="Active"/>
    <x v="1"/>
    <s v="Simon Roup"/>
    <n v="4"/>
    <s v="Indeed"/>
    <s v="Fully Meets"/>
    <n v="4.4800000000000004"/>
    <n v="5"/>
    <n v="6"/>
    <s v="1/3/2019"/>
    <n v="0"/>
    <n v="4"/>
    <s v="Normal"/>
    <s v="low Outlier"/>
    <n v="41"/>
    <n v="10"/>
    <n v="10"/>
    <s v="10+ Years"/>
    <s v="36-45"/>
    <s v="Senior (70-100K)"/>
    <n v="1"/>
    <x v="1"/>
    <n v="3"/>
    <s v="Q1"/>
    <s v="Mar"/>
    <s v="2015-03"/>
    <s v="N/A"/>
    <s v="Production       "/>
  </r>
  <r>
    <s v="Houlihan, Debra"/>
    <n v="10272"/>
    <n v="1"/>
    <n v="1"/>
    <n v="0"/>
    <n v="1"/>
    <n v="6"/>
    <n v="3"/>
    <n v="0"/>
    <n v="180000"/>
    <n v="0"/>
    <n v="11"/>
    <s v="Director of Sales"/>
    <s v="RI"/>
    <n v="2908"/>
    <d v="1966-03-17T00:00:00"/>
    <s v="F"/>
    <s v="Married"/>
    <s v="US Citizen"/>
    <s v="No"/>
    <s v="White"/>
    <d v="2014-05-05T00:00:00"/>
    <m/>
    <s v="N/A-StillEmployed"/>
    <s v="Active"/>
    <x v="5"/>
    <s v="Janet King"/>
    <n v="2"/>
    <s v="LinkedIn"/>
    <s v="Fully Meets"/>
    <n v="4.5"/>
    <n v="4"/>
    <n v="0"/>
    <s v="1/21/2019"/>
    <n v="0"/>
    <n v="19"/>
    <s v=" high Outlier"/>
    <s v="low Outlier"/>
    <n v="59"/>
    <n v="11"/>
    <n v="11"/>
    <s v="10+ Years"/>
    <s v="55+"/>
    <s v="Executive (100K+)"/>
    <n v="1"/>
    <x v="4"/>
    <n v="5"/>
    <s v="Q2"/>
    <s v="May"/>
    <s v="2014-05"/>
    <s v="N/A"/>
    <s v="Production       "/>
  </r>
  <r>
    <s v="Howard, Estelle"/>
    <n v="10182"/>
    <n v="1"/>
    <n v="1"/>
    <n v="0"/>
    <n v="1"/>
    <n v="1"/>
    <n v="3"/>
    <n v="0"/>
    <n v="49920"/>
    <n v="1"/>
    <n v="2"/>
    <s v="Administrative Assistant"/>
    <s v="MA"/>
    <n v="2170"/>
    <d v="1985-09-16T00:00:00"/>
    <s v="F"/>
    <s v="Married"/>
    <s v="US Citizen"/>
    <s v="No"/>
    <s v="Black or African American"/>
    <d v="2015-02-16T00:00:00"/>
    <d v="2015-04-15T00:00:00"/>
    <s v="no-call, no-show"/>
    <s v="Terminated for Cause"/>
    <x v="4"/>
    <s v="Brandon R. LeBlanc"/>
    <n v="1"/>
    <s v="Indeed"/>
    <s v="Fully Meets"/>
    <n v="3.24"/>
    <n v="3"/>
    <n v="4"/>
    <s v="4/15/2015"/>
    <n v="0"/>
    <n v="6"/>
    <s v="Normal"/>
    <s v="low Outlier"/>
    <n v="40"/>
    <n v="11"/>
    <n v="0"/>
    <s v="10+ Years"/>
    <s v="36-45"/>
    <s v="Mid (40-70K)"/>
    <n v="0"/>
    <x v="1"/>
    <n v="2"/>
    <s v="Q1"/>
    <s v="Feb"/>
    <s v="2015-02"/>
    <n v="2015"/>
    <s v="Production       "/>
  </r>
  <r>
    <s v="Hudson, Jane"/>
    <n v="10248"/>
    <n v="0"/>
    <n v="0"/>
    <n v="0"/>
    <n v="1"/>
    <n v="5"/>
    <n v="3"/>
    <n v="0"/>
    <n v="55425"/>
    <n v="0"/>
    <n v="19"/>
    <s v="Production Technician I"/>
    <s v="MA"/>
    <n v="2176"/>
    <d v="1986-06-10T00:00:00"/>
    <s v="F"/>
    <s v="Single"/>
    <s v="US Citizen"/>
    <s v="No"/>
    <s v="White"/>
    <d v="2012-02-20T00:00:00"/>
    <m/>
    <s v="N/A-StillEmployed"/>
    <s v="Active"/>
    <x v="2"/>
    <s v="Ketsia Liebig"/>
    <n v="19"/>
    <s v="LinkedIn"/>
    <s v="Fully Meets"/>
    <n v="4.8"/>
    <n v="4"/>
    <n v="0"/>
    <s v="1/7/2019"/>
    <n v="0"/>
    <n v="4"/>
    <s v="Normal"/>
    <s v="low Outlier"/>
    <n v="39"/>
    <n v="13"/>
    <n v="13"/>
    <s v="10+ Years"/>
    <s v="36-45"/>
    <s v="Mid (40-70K)"/>
    <n v="1"/>
    <x v="3"/>
    <n v="2"/>
    <s v="Q1"/>
    <s v="Feb"/>
    <s v="2012-02"/>
    <s v="N/A"/>
    <s v="Production       "/>
  </r>
  <r>
    <s v="Hunts, Julissa"/>
    <n v="10201"/>
    <n v="0"/>
    <n v="0"/>
    <n v="0"/>
    <n v="2"/>
    <n v="5"/>
    <n v="3"/>
    <n v="0"/>
    <n v="69340"/>
    <n v="0"/>
    <n v="20"/>
    <s v="Production Technician II"/>
    <s v="MA"/>
    <n v="2021"/>
    <d v="1984-03-11T00:00:00"/>
    <s v="F"/>
    <s v="Single"/>
    <s v="US Citizen"/>
    <s v="No"/>
    <s v="White"/>
    <d v="2016-06-06T00:00:00"/>
    <m/>
    <s v="N/A-StillEmployed"/>
    <s v="Active"/>
    <x v="2"/>
    <s v="Elijiah Gray"/>
    <n v="16"/>
    <s v="LinkedIn"/>
    <s v="Fully Meets"/>
    <n v="3"/>
    <n v="5"/>
    <n v="0"/>
    <s v="1/18/2019"/>
    <n v="0"/>
    <n v="4"/>
    <s v="Normal"/>
    <s v="low Outlier"/>
    <n v="41"/>
    <n v="9"/>
    <n v="9"/>
    <s v="5-10 Years"/>
    <s v="36-45"/>
    <s v="Mid (40-70K)"/>
    <n v="1"/>
    <x v="7"/>
    <n v="6"/>
    <s v="Q2"/>
    <s v="Jun"/>
    <s v="2016-06"/>
    <s v="N/A"/>
    <s v="Production       "/>
  </r>
  <r>
    <s v="Hutter, Rosalie"/>
    <n v="10214"/>
    <n v="0"/>
    <n v="3"/>
    <n v="0"/>
    <n v="2"/>
    <n v="5"/>
    <n v="3"/>
    <n v="0"/>
    <n v="64995"/>
    <n v="0"/>
    <n v="20"/>
    <s v="Production Technician II"/>
    <s v="MA"/>
    <n v="2351"/>
    <d v="1992-05-07T00:00:00"/>
    <s v="F"/>
    <s v="Separated"/>
    <s v="US Citizen"/>
    <s v="No"/>
    <s v="White"/>
    <d v="2015-06-05T00:00:00"/>
    <m/>
    <s v="N/A-StillEmployed"/>
    <s v="Active"/>
    <x v="2"/>
    <s v="Webster Butler"/>
    <m/>
    <s v="Indeed"/>
    <s v="Fully Meets"/>
    <n v="4.5"/>
    <n v="3"/>
    <n v="0"/>
    <s v="2/14/2019"/>
    <n v="0"/>
    <n v="6"/>
    <s v="Normal"/>
    <s v="low Outlier"/>
    <n v="33"/>
    <n v="10"/>
    <n v="10"/>
    <s v="10+ Years"/>
    <s v="26-35"/>
    <s v="Mid (40-70K)"/>
    <n v="1"/>
    <x v="1"/>
    <n v="6"/>
    <s v="Q2"/>
    <s v="Jun"/>
    <s v="2015-06"/>
    <s v="N/A"/>
    <s v="Production       "/>
  </r>
  <r>
    <s v="Huynh, Ming"/>
    <n v="10160"/>
    <n v="0"/>
    <n v="2"/>
    <n v="0"/>
    <n v="5"/>
    <n v="5"/>
    <n v="3"/>
    <n v="0"/>
    <n v="68182"/>
    <n v="1"/>
    <n v="20"/>
    <s v="Production Technician II"/>
    <s v="MA"/>
    <n v="1742"/>
    <d v="1976-09-22T00:00:00"/>
    <s v="F"/>
    <s v="Divorced"/>
    <s v="US Citizen"/>
    <s v="No"/>
    <s v="White"/>
    <d v="2011-02-21T00:00:00"/>
    <d v="2013-04-01T00:00:00"/>
    <s v="unhappy"/>
    <s v="Voluntarily Terminated"/>
    <x v="2"/>
    <s v="Amy Dunn"/>
    <n v="11"/>
    <s v="Google Search"/>
    <s v="Fully Meets"/>
    <n v="3.72"/>
    <n v="3"/>
    <n v="0"/>
    <s v="2/1/2013"/>
    <n v="0"/>
    <n v="18"/>
    <s v="Normal"/>
    <s v="low Outlier"/>
    <n v="49"/>
    <n v="14"/>
    <n v="2"/>
    <s v="10+ Years"/>
    <s v="46-55"/>
    <s v="Mid (40-70K)"/>
    <n v="0"/>
    <x v="0"/>
    <n v="2"/>
    <s v="Q1"/>
    <s v="Feb"/>
    <s v="2011-02"/>
    <n v="2013"/>
    <s v="Production       "/>
  </r>
  <r>
    <s v="Immediato, Walter"/>
    <n v="10289"/>
    <n v="1"/>
    <n v="1"/>
    <n v="1"/>
    <n v="5"/>
    <n v="5"/>
    <n v="2"/>
    <n v="0"/>
    <n v="83082"/>
    <n v="1"/>
    <n v="18"/>
    <s v="Production Manager"/>
    <s v="MA"/>
    <n v="2128"/>
    <d v="1976-11-15T00:00:00"/>
    <s v="M "/>
    <s v="Married"/>
    <s v="US Citizen"/>
    <s v="No"/>
    <s v="Asian"/>
    <d v="2011-02-21T00:00:00"/>
    <d v="2012-09-24T00:00:00"/>
    <s v="unhappy"/>
    <s v="Voluntarily Terminated"/>
    <x v="2"/>
    <s v="Janet King"/>
    <n v="2"/>
    <s v="Indeed"/>
    <s v="Needs Improvement"/>
    <n v="2.34"/>
    <n v="2"/>
    <n v="0"/>
    <s v="4/12/2012"/>
    <n v="3"/>
    <n v="4"/>
    <s v="Normal"/>
    <s v="low Outlier"/>
    <n v="49"/>
    <n v="14"/>
    <n v="1"/>
    <s v="10+ Years"/>
    <s v="46-55"/>
    <s v="Senior (70-100K)"/>
    <n v="0"/>
    <x v="0"/>
    <n v="2"/>
    <s v="Q1"/>
    <s v="Feb"/>
    <s v="2011-02"/>
    <n v="2012"/>
    <s v="Production       "/>
  </r>
  <r>
    <s v="Ivey, Rose "/>
    <n v="10139"/>
    <n v="0"/>
    <n v="0"/>
    <n v="0"/>
    <n v="1"/>
    <n v="5"/>
    <n v="3"/>
    <n v="0"/>
    <n v="51908"/>
    <n v="0"/>
    <n v="19"/>
    <s v="Production Technician I"/>
    <s v="MA"/>
    <n v="1775"/>
    <d v="1991-01-28T00:00:00"/>
    <s v="F"/>
    <s v="Single"/>
    <s v="US Citizen"/>
    <s v="No"/>
    <s v="White"/>
    <d v="2013-08-19T00:00:00"/>
    <m/>
    <s v="N/A-StillEmployed"/>
    <s v="Active"/>
    <x v="2"/>
    <s v="Brannon Miller"/>
    <n v="12"/>
    <s v="Indeed"/>
    <s v="Fully Meets"/>
    <n v="3.99"/>
    <n v="3"/>
    <n v="0"/>
    <s v="1/14/2019"/>
    <n v="0"/>
    <n v="14"/>
    <s v="Normal"/>
    <s v="low Outlier"/>
    <n v="35"/>
    <n v="12"/>
    <n v="12"/>
    <s v="10+ Years"/>
    <s v="26-35"/>
    <s v="Mid (40-70K)"/>
    <n v="1"/>
    <x v="5"/>
    <n v="8"/>
    <s v="Q3"/>
    <s v="Aug"/>
    <s v="2013-08"/>
    <s v="N/A"/>
    <s v="Production       "/>
  </r>
  <r>
    <s v="Jackson, Maryellen"/>
    <n v="10227"/>
    <n v="0"/>
    <n v="0"/>
    <n v="0"/>
    <n v="1"/>
    <n v="5"/>
    <n v="3"/>
    <n v="0"/>
    <n v="61242"/>
    <n v="0"/>
    <n v="19"/>
    <s v="Production Technician I"/>
    <s v="MA"/>
    <n v="2081"/>
    <d v="1972-09-11T00:00:00"/>
    <s v="F"/>
    <s v="Single"/>
    <s v="US Citizen"/>
    <s v="No"/>
    <s v="Black or African American"/>
    <d v="2012-11-05T00:00:00"/>
    <m/>
    <s v="N/A-StillEmployed"/>
    <s v="Active"/>
    <x v="2"/>
    <s v="David Stanley"/>
    <n v="14"/>
    <s v="LinkedIn"/>
    <s v="Fully Meets"/>
    <n v="4.0999999999999996"/>
    <n v="3"/>
    <n v="0"/>
    <s v="1/17/2019"/>
    <n v="0"/>
    <n v="7"/>
    <s v="Normal"/>
    <s v="low Outlier"/>
    <n v="53"/>
    <n v="13"/>
    <n v="13"/>
    <s v="10+ Years"/>
    <s v="46-55"/>
    <s v="Mid (40-70K)"/>
    <n v="1"/>
    <x v="3"/>
    <n v="11"/>
    <s v="Q4"/>
    <s v="Nov"/>
    <s v="2012-11"/>
    <s v="N/A"/>
    <s v="Production       "/>
  </r>
  <r>
    <s v="Jacobi, Hannah  "/>
    <n v="10236"/>
    <n v="0"/>
    <n v="2"/>
    <n v="0"/>
    <n v="1"/>
    <n v="5"/>
    <n v="3"/>
    <n v="0"/>
    <n v="45069"/>
    <n v="0"/>
    <n v="19"/>
    <s v="Production Technician I"/>
    <s v="MA"/>
    <n v="1778"/>
    <d v="1966-03-22T00:00:00"/>
    <s v="F"/>
    <s v="Divorced"/>
    <s v="US Citizen"/>
    <s v="No"/>
    <s v="White"/>
    <d v="2013-09-30T00:00:00"/>
    <m/>
    <s v="N/A-StillEmployed"/>
    <s v="Active"/>
    <x v="2"/>
    <s v="Kissy Sullivan"/>
    <n v="20"/>
    <s v="Employee Referral"/>
    <s v="Fully Meets"/>
    <n v="4.3"/>
    <n v="5"/>
    <n v="0"/>
    <s v="2/22/2019"/>
    <n v="0"/>
    <n v="7"/>
    <s v="Normal"/>
    <s v="low Outlier"/>
    <n v="59"/>
    <n v="12"/>
    <n v="12"/>
    <s v="10+ Years"/>
    <s v="55+"/>
    <s v="Mid (40-70K)"/>
    <n v="1"/>
    <x v="5"/>
    <n v="9"/>
    <s v="Q3"/>
    <s v="Sep"/>
    <s v="2013-09"/>
    <s v="N/A"/>
    <s v="Production       "/>
  </r>
  <r>
    <s v="Jeannite, Tayana"/>
    <n v="10009"/>
    <n v="0"/>
    <n v="2"/>
    <n v="0"/>
    <n v="1"/>
    <n v="5"/>
    <n v="4"/>
    <n v="0"/>
    <n v="60724"/>
    <n v="0"/>
    <n v="20"/>
    <s v="Production Technician II"/>
    <s v="MA"/>
    <n v="1821"/>
    <d v="1986-11-06T00:00:00"/>
    <s v="F"/>
    <s v="Divorced"/>
    <s v="US Citizen"/>
    <s v="No"/>
    <s v="American Indian or Alaska Native"/>
    <d v="2011-07-05T00:00:00"/>
    <m/>
    <s v="N/A-StillEmployed"/>
    <s v="Active"/>
    <x v="2"/>
    <s v="Ketsia Liebig"/>
    <n v="19"/>
    <s v="LinkedIn"/>
    <s v="Exceeds"/>
    <n v="4.5999999999999996"/>
    <n v="4"/>
    <n v="0"/>
    <s v="2/25/2019"/>
    <n v="0"/>
    <n v="11"/>
    <s v="Normal"/>
    <s v="low Outlier"/>
    <n v="39"/>
    <n v="14"/>
    <n v="14"/>
    <s v="10+ Years"/>
    <s v="36-45"/>
    <s v="Mid (40-70K)"/>
    <n v="1"/>
    <x v="0"/>
    <n v="7"/>
    <s v="Q3"/>
    <s v="Jul"/>
    <s v="2011-07"/>
    <s v="N/A"/>
    <s v="Production       "/>
  </r>
  <r>
    <s v="Jhaveri, Sneha  "/>
    <n v="10060"/>
    <n v="0"/>
    <n v="3"/>
    <n v="0"/>
    <n v="1"/>
    <n v="5"/>
    <n v="3"/>
    <n v="0"/>
    <n v="60436"/>
    <n v="0"/>
    <n v="19"/>
    <s v="Production Technician I"/>
    <s v="MA"/>
    <n v="2109"/>
    <d v="1964-04-13T00:00:00"/>
    <s v="F"/>
    <s v="Separated"/>
    <s v="US Citizen"/>
    <s v="No"/>
    <s v="White"/>
    <d v="2014-01-06T00:00:00"/>
    <m/>
    <s v="N/A-StillEmployed"/>
    <s v="Active"/>
    <x v="2"/>
    <s v="Kelley Spirea"/>
    <n v="18"/>
    <s v="LinkedIn"/>
    <s v="Fully Meets"/>
    <n v="5"/>
    <n v="5"/>
    <n v="0"/>
    <s v="1/21/2019"/>
    <n v="0"/>
    <n v="9"/>
    <s v="Normal"/>
    <s v="low Outlier"/>
    <n v="61"/>
    <n v="12"/>
    <n v="12"/>
    <s v="10+ Years"/>
    <s v="55+"/>
    <s v="Mid (40-70K)"/>
    <n v="1"/>
    <x v="4"/>
    <n v="1"/>
    <s v="Q1"/>
    <s v="Jan"/>
    <s v="2014-01"/>
    <s v="N/A"/>
    <s v="Production       "/>
  </r>
  <r>
    <s v="Johnson, George"/>
    <n v="10034"/>
    <n v="1"/>
    <n v="1"/>
    <n v="1"/>
    <n v="5"/>
    <n v="5"/>
    <n v="4"/>
    <n v="0"/>
    <n v="46837"/>
    <n v="1"/>
    <n v="19"/>
    <s v="Production Technician I"/>
    <s v="MA"/>
    <n v="2445"/>
    <d v="1959-08-19T00:00:00"/>
    <s v="M "/>
    <s v="Married"/>
    <s v="US Citizen"/>
    <s v="No"/>
    <s v="White"/>
    <d v="2011-11-07T00:00:00"/>
    <d v="2018-04-29T00:00:00"/>
    <s v="more money"/>
    <s v="Voluntarily Terminated"/>
    <x v="2"/>
    <s v="Michael Albert"/>
    <n v="22"/>
    <s v="CareerBuilder"/>
    <s v="Exceeds"/>
    <n v="4.7"/>
    <n v="4"/>
    <n v="0"/>
    <s v="2/14/2018"/>
    <n v="0"/>
    <n v="9"/>
    <s v="Normal"/>
    <s v="low Outlier"/>
    <n v="66"/>
    <n v="14"/>
    <n v="6"/>
    <s v="10+ Years"/>
    <s v="55+"/>
    <s v="Mid (40-70K)"/>
    <n v="0"/>
    <x v="0"/>
    <n v="11"/>
    <s v="Q4"/>
    <s v="Nov"/>
    <s v="2011-11"/>
    <n v="2018"/>
    <s v="Production       "/>
  </r>
  <r>
    <s v="Johnson, Noelle "/>
    <n v="10156"/>
    <n v="1"/>
    <n v="1"/>
    <n v="0"/>
    <n v="3"/>
    <n v="3"/>
    <n v="3"/>
    <n v="0"/>
    <n v="105700"/>
    <n v="0"/>
    <n v="8"/>
    <s v="Database Administrator"/>
    <s v="MA"/>
    <n v="2301"/>
    <d v="1986-11-07T00:00:00"/>
    <s v="F"/>
    <s v="Married"/>
    <s v="US Citizen"/>
    <s v="No"/>
    <s v="Asian"/>
    <d v="2015-01-05T00:00:00"/>
    <m/>
    <s v="N/A-StillEmployed"/>
    <s v="Active"/>
    <x v="1"/>
    <s v="Simon Roup"/>
    <n v="4"/>
    <s v="Indeed"/>
    <s v="Fully Meets"/>
    <n v="3.75"/>
    <n v="3"/>
    <n v="5"/>
    <s v="2/11/2019"/>
    <n v="0"/>
    <n v="2"/>
    <s v="Normal"/>
    <s v="low Outlier"/>
    <n v="39"/>
    <n v="11"/>
    <n v="11"/>
    <s v="10+ Years"/>
    <s v="36-45"/>
    <s v="Executive (100K+)"/>
    <n v="1"/>
    <x v="1"/>
    <n v="1"/>
    <s v="Q1"/>
    <s v="Jan"/>
    <s v="2015-01"/>
    <s v="N/A"/>
    <s v="Production       "/>
  </r>
  <r>
    <s v="Johnston, Yen"/>
    <n v="10036"/>
    <n v="0"/>
    <n v="0"/>
    <n v="0"/>
    <n v="1"/>
    <n v="5"/>
    <n v="4"/>
    <n v="0"/>
    <n v="63322"/>
    <n v="0"/>
    <n v="20"/>
    <s v="Production Technician II"/>
    <s v="MA"/>
    <n v="2128"/>
    <d v="1969-09-08T00:00:00"/>
    <s v="F"/>
    <s v="Single"/>
    <s v="US Citizen"/>
    <s v="No"/>
    <s v="White"/>
    <d v="2014-07-07T00:00:00"/>
    <m/>
    <s v="N/A-StillEmployed"/>
    <s v="Active"/>
    <x v="2"/>
    <s v="Brannon Miller"/>
    <n v="12"/>
    <s v="LinkedIn"/>
    <s v="Exceeds"/>
    <n v="4.3"/>
    <n v="3"/>
    <n v="0"/>
    <s v="1/11/2019"/>
    <n v="0"/>
    <n v="1"/>
    <s v="Normal"/>
    <s v="low Outlier"/>
    <n v="56"/>
    <n v="11"/>
    <n v="11"/>
    <s v="10+ Years"/>
    <s v="55+"/>
    <s v="Mid (40-70K)"/>
    <n v="1"/>
    <x v="4"/>
    <n v="7"/>
    <s v="Q3"/>
    <s v="Jul"/>
    <s v="2014-07"/>
    <s v="N/A"/>
    <s v="Production       "/>
  </r>
  <r>
    <s v="Jung, Judy  "/>
    <n v="10138"/>
    <n v="1"/>
    <n v="1"/>
    <n v="0"/>
    <n v="5"/>
    <n v="5"/>
    <n v="3"/>
    <n v="0"/>
    <n v="61154"/>
    <n v="1"/>
    <n v="19"/>
    <s v="Production Technician I"/>
    <s v="MA"/>
    <n v="2446"/>
    <d v="1986-04-17T00:00:00"/>
    <s v="F"/>
    <s v="Married"/>
    <s v="US Citizen"/>
    <s v="No"/>
    <s v="Black or African American"/>
    <d v="2011-01-10T00:00:00"/>
    <d v="2016-04-01T00:00:00"/>
    <s v="unhappy"/>
    <s v="Voluntarily Terminated"/>
    <x v="2"/>
    <s v="Elijiah Gray"/>
    <n v="16"/>
    <s v="CareerBuilder"/>
    <s v="Fully Meets"/>
    <n v="4"/>
    <n v="4"/>
    <n v="0"/>
    <s v="2/3/2016"/>
    <n v="0"/>
    <n v="4"/>
    <s v="Normal"/>
    <s v="low Outlier"/>
    <n v="39"/>
    <n v="15"/>
    <n v="5"/>
    <s v="10+ Years"/>
    <s v="36-45"/>
    <s v="Mid (40-70K)"/>
    <n v="0"/>
    <x v="0"/>
    <n v="1"/>
    <s v="Q1"/>
    <s v="Jan"/>
    <s v="2011-01"/>
    <n v="2016"/>
    <s v="Production       "/>
  </r>
  <r>
    <s v="Kampew, Donysha"/>
    <n v="10244"/>
    <n v="0"/>
    <n v="0"/>
    <n v="0"/>
    <n v="5"/>
    <n v="6"/>
    <n v="3"/>
    <n v="0"/>
    <n v="68999"/>
    <n v="1"/>
    <n v="21"/>
    <s v="Sales Manager"/>
    <s v="PA"/>
    <n v="19444"/>
    <d v="1989-11-11T00:00:00"/>
    <s v="F"/>
    <s v="Single"/>
    <s v="US Citizen"/>
    <s v="No"/>
    <s v="White"/>
    <d v="2011-11-07T00:00:00"/>
    <d v="2014-04-24T00:00:00"/>
    <s v="maternity leave - did not return"/>
    <s v="Voluntarily Terminated"/>
    <x v="5"/>
    <s v="Debra Houlihan"/>
    <n v="15"/>
    <s v="Google Search"/>
    <s v="Fully Meets"/>
    <n v="4.5"/>
    <n v="5"/>
    <n v="0"/>
    <s v="3/30/2013"/>
    <n v="0"/>
    <n v="2"/>
    <s v="Normal"/>
    <s v="low Outlier"/>
    <n v="36"/>
    <n v="14"/>
    <n v="2"/>
    <s v="10+ Years"/>
    <s v="36-45"/>
    <s v="Mid (40-70K)"/>
    <n v="0"/>
    <x v="0"/>
    <n v="11"/>
    <s v="Q4"/>
    <s v="Nov"/>
    <s v="2011-11"/>
    <n v="2014"/>
    <s v="Production       "/>
  </r>
  <r>
    <s v="Keatts, Kramer "/>
    <n v="10192"/>
    <n v="0"/>
    <n v="0"/>
    <n v="1"/>
    <n v="1"/>
    <n v="5"/>
    <n v="3"/>
    <n v="0"/>
    <n v="50482"/>
    <n v="0"/>
    <n v="19"/>
    <s v="Production Technician I"/>
    <s v="MA"/>
    <n v="1887"/>
    <d v="1976-01-19T00:00:00"/>
    <s v="M "/>
    <s v="Single"/>
    <s v="US Citizen"/>
    <s v="No"/>
    <s v="White"/>
    <d v="2013-09-30T00:00:00"/>
    <m/>
    <s v="N/A-StillEmployed"/>
    <s v="Active"/>
    <x v="2"/>
    <s v="Michael Albert"/>
    <n v="22"/>
    <s v="Indeed"/>
    <s v="Fully Meets"/>
    <n v="3.07"/>
    <n v="4"/>
    <n v="0"/>
    <s v="1/23/2019"/>
    <n v="0"/>
    <n v="10"/>
    <s v="Normal"/>
    <s v="low Outlier"/>
    <n v="50"/>
    <n v="12"/>
    <n v="12"/>
    <s v="10+ Years"/>
    <s v="46-55"/>
    <s v="Mid (40-70K)"/>
    <n v="1"/>
    <x v="5"/>
    <n v="9"/>
    <s v="Q3"/>
    <s v="Sep"/>
    <s v="2013-09"/>
    <s v="N/A"/>
    <s v="Production       "/>
  </r>
  <r>
    <s v="Khemmich, Bartholemew"/>
    <n v="10231"/>
    <n v="0"/>
    <n v="0"/>
    <n v="1"/>
    <n v="1"/>
    <n v="6"/>
    <n v="3"/>
    <n v="0"/>
    <n v="65310"/>
    <n v="0"/>
    <n v="3"/>
    <s v="Area Sales Manager"/>
    <s v="CO"/>
    <n v="80820"/>
    <d v="1979-11-27T00:00:00"/>
    <s v="M "/>
    <s v="Single"/>
    <s v="US Citizen"/>
    <s v="No"/>
    <s v="White"/>
    <d v="2013-08-19T00:00:00"/>
    <m/>
    <s v="N/A-StillEmployed"/>
    <s v="Active"/>
    <x v="5"/>
    <s v="Lynn Daneault"/>
    <n v="21"/>
    <s v="Indeed"/>
    <s v="Fully Meets"/>
    <n v="4.3"/>
    <n v="5"/>
    <n v="0"/>
    <s v="1/22/2019"/>
    <n v="0"/>
    <n v="13"/>
    <s v="Normal"/>
    <s v="low Outlier"/>
    <n v="46"/>
    <n v="12"/>
    <n v="12"/>
    <s v="10+ Years"/>
    <s v="46-55"/>
    <s v="Mid (40-70K)"/>
    <n v="1"/>
    <x v="5"/>
    <n v="8"/>
    <s v="Q3"/>
    <s v="Aug"/>
    <s v="2013-08"/>
    <s v="N/A"/>
    <s v="Production       "/>
  </r>
  <r>
    <s v="King, Janet"/>
    <n v="10089"/>
    <n v="1"/>
    <n v="1"/>
    <n v="0"/>
    <n v="1"/>
    <n v="2"/>
    <n v="3"/>
    <n v="0"/>
    <n v="250000"/>
    <n v="0"/>
    <n v="16"/>
    <s v="President &amp; CEO"/>
    <s v="MA"/>
    <n v="1902"/>
    <d v="1954-09-21T00:00:00"/>
    <s v="F"/>
    <s v="Married"/>
    <s v="US Citizen"/>
    <s v="Yes"/>
    <s v="White"/>
    <d v="2012-07-02T00:00:00"/>
    <m/>
    <s v="N/A-StillEmployed"/>
    <s v="Active"/>
    <x v="6"/>
    <s v="Board of Directors"/>
    <n v="9"/>
    <s v="Indeed"/>
    <s v="Fully Meets"/>
    <n v="4.83"/>
    <n v="3"/>
    <n v="0"/>
    <s v="1/17/2019"/>
    <n v="0"/>
    <n v="10"/>
    <s v=" high Outlier"/>
    <s v="low Outlier"/>
    <n v="71"/>
    <n v="13"/>
    <n v="13"/>
    <s v="10+ Years"/>
    <s v="55+"/>
    <s v="Executive (100K+)"/>
    <n v="1"/>
    <x v="3"/>
    <n v="7"/>
    <s v="Q3"/>
    <s v="Jul"/>
    <s v="2012-07"/>
    <s v="N/A"/>
    <s v="Production       "/>
  </r>
  <r>
    <s v="Kinsella, Kathleen  "/>
    <n v="10166"/>
    <n v="1"/>
    <n v="1"/>
    <n v="0"/>
    <n v="5"/>
    <n v="5"/>
    <n v="3"/>
    <n v="0"/>
    <n v="54005"/>
    <n v="1"/>
    <n v="19"/>
    <s v="Production Technician I"/>
    <s v="MA"/>
    <n v="2170"/>
    <d v="1973-12-08T00:00:00"/>
    <s v="F"/>
    <s v="Married"/>
    <s v="US Citizen"/>
    <s v="No"/>
    <s v="White"/>
    <d v="2011-09-26T00:00:00"/>
    <d v="2015-06-04T00:00:00"/>
    <s v="more money"/>
    <s v="Voluntarily Terminated"/>
    <x v="2"/>
    <s v="Webster Butler"/>
    <n v="39"/>
    <s v="Google Search"/>
    <s v="Fully Meets"/>
    <n v="3.6"/>
    <n v="5"/>
    <n v="0"/>
    <s v="3/1/2015"/>
    <n v="0"/>
    <n v="16"/>
    <s v="Normal"/>
    <s v="low Outlier"/>
    <n v="52"/>
    <n v="14"/>
    <n v="3"/>
    <s v="10+ Years"/>
    <s v="46-55"/>
    <s v="Mid (40-70K)"/>
    <n v="0"/>
    <x v="0"/>
    <n v="9"/>
    <s v="Q3"/>
    <s v="Sep"/>
    <s v="2011-09"/>
    <n v="2015"/>
    <s v="Production       "/>
  </r>
  <r>
    <s v="Kirill, Alexandra  "/>
    <n v="10170"/>
    <n v="1"/>
    <n v="1"/>
    <n v="0"/>
    <n v="5"/>
    <n v="5"/>
    <n v="3"/>
    <n v="0"/>
    <n v="45433"/>
    <n v="1"/>
    <n v="19"/>
    <s v="Production Technician I"/>
    <s v="MA"/>
    <n v="2127"/>
    <d v="1970-10-08T00:00:00"/>
    <s v="F"/>
    <s v="Married"/>
    <s v="US Citizen"/>
    <s v="No"/>
    <s v="White"/>
    <d v="2011-09-26T00:00:00"/>
    <d v="2014-01-09T00:00:00"/>
    <s v="more money"/>
    <s v="Voluntarily Terminated"/>
    <x v="2"/>
    <s v="Amy Dunn"/>
    <n v="11"/>
    <s v="Google Search"/>
    <s v="Fully Meets"/>
    <n v="3.49"/>
    <n v="4"/>
    <n v="0"/>
    <s v="1/30/2013"/>
    <n v="0"/>
    <n v="6"/>
    <s v="Normal"/>
    <s v="low Outlier"/>
    <n v="55"/>
    <n v="14"/>
    <n v="2"/>
    <s v="10+ Years"/>
    <s v="46-55"/>
    <s v="Mid (40-70K)"/>
    <n v="0"/>
    <x v="0"/>
    <n v="9"/>
    <s v="Q3"/>
    <s v="Sep"/>
    <s v="2011-09"/>
    <n v="2014"/>
    <s v="Production       "/>
  </r>
  <r>
    <s v="Knapp, Bradley  J"/>
    <n v="10208"/>
    <n v="0"/>
    <n v="0"/>
    <n v="1"/>
    <n v="1"/>
    <n v="5"/>
    <n v="3"/>
    <n v="0"/>
    <n v="46654"/>
    <n v="0"/>
    <n v="19"/>
    <s v="Production Technician I"/>
    <s v="MA"/>
    <n v="1721"/>
    <d v="1977-11-10T00:00:00"/>
    <s v="M "/>
    <s v="Single"/>
    <s v="US Citizen"/>
    <s v="No"/>
    <s v="Black or African American"/>
    <d v="2014-02-17T00:00:00"/>
    <m/>
    <s v="N/A-StillEmployed"/>
    <s v="Active"/>
    <x v="2"/>
    <s v="Ketsia Liebig"/>
    <n v="19"/>
    <s v="LinkedIn"/>
    <s v="Fully Meets"/>
    <n v="3.1"/>
    <n v="3"/>
    <n v="0"/>
    <s v="2/6/2019"/>
    <n v="0"/>
    <n v="3"/>
    <s v="Normal"/>
    <s v="low Outlier"/>
    <n v="48"/>
    <n v="11"/>
    <n v="11"/>
    <s v="10+ Years"/>
    <s v="46-55"/>
    <s v="Mid (40-70K)"/>
    <n v="1"/>
    <x v="4"/>
    <n v="2"/>
    <s v="Q1"/>
    <s v="Feb"/>
    <s v="2014-02"/>
    <s v="N/A"/>
    <s v="Production       "/>
  </r>
  <r>
    <s v="Kretschmer, John"/>
    <n v="10176"/>
    <n v="1"/>
    <n v="1"/>
    <n v="1"/>
    <n v="1"/>
    <n v="5"/>
    <n v="3"/>
    <n v="0"/>
    <n v="63973"/>
    <n v="0"/>
    <n v="19"/>
    <s v="Production Technician I"/>
    <s v="MA"/>
    <n v="1801"/>
    <d v="1980-02-02T00:00:00"/>
    <s v="M "/>
    <s v="Married"/>
    <s v="US Citizen"/>
    <s v="No"/>
    <s v="Asian"/>
    <d v="2011-01-10T00:00:00"/>
    <m/>
    <s v="N/A-StillEmployed"/>
    <s v="Active"/>
    <x v="2"/>
    <s v="Brannon Miller"/>
    <n v="12"/>
    <s v="Indeed"/>
    <s v="Fully Meets"/>
    <n v="3.38"/>
    <n v="3"/>
    <n v="0"/>
    <s v="1/21/2019"/>
    <n v="0"/>
    <n v="17"/>
    <s v="Normal"/>
    <s v="low Outlier"/>
    <n v="46"/>
    <n v="15"/>
    <n v="15"/>
    <s v="10+ Years"/>
    <s v="46-55"/>
    <s v="Mid (40-70K)"/>
    <n v="1"/>
    <x v="0"/>
    <n v="1"/>
    <s v="Q1"/>
    <s v="Jan"/>
    <s v="2011-01"/>
    <s v="N/A"/>
    <s v="Production       "/>
  </r>
  <r>
    <s v="Kreuger, Freddy"/>
    <n v="10165"/>
    <n v="0"/>
    <n v="0"/>
    <n v="1"/>
    <n v="1"/>
    <n v="6"/>
    <n v="3"/>
    <n v="1"/>
    <n v="71339"/>
    <n v="0"/>
    <n v="3"/>
    <s v="Area Sales Manager"/>
    <s v="NY"/>
    <n v="10171"/>
    <d v="1969-02-24T00:00:00"/>
    <s v="M "/>
    <s v="Single"/>
    <s v="US Citizen"/>
    <s v="Yes"/>
    <s v="Black or African American"/>
    <d v="2011-03-07T00:00:00"/>
    <m/>
    <s v="N/A-StillEmployed"/>
    <s v="Active"/>
    <x v="5"/>
    <s v="John Smith"/>
    <n v="17"/>
    <s v="Diversity Job Fair"/>
    <s v="Fully Meets"/>
    <n v="3.65"/>
    <n v="5"/>
    <n v="0"/>
    <s v="1/17/2019"/>
    <n v="0"/>
    <n v="20"/>
    <s v="Normal"/>
    <s v="low Outlier"/>
    <n v="56"/>
    <n v="14"/>
    <n v="14"/>
    <s v="10+ Years"/>
    <s v="55+"/>
    <s v="Senior (70-100K)"/>
    <n v="1"/>
    <x v="0"/>
    <n v="3"/>
    <s v="Q1"/>
    <s v="Mar"/>
    <s v="2011-03"/>
    <s v="N/A"/>
    <s v="Production       "/>
  </r>
  <r>
    <s v="Lajiri,  Jyoti"/>
    <n v="10113"/>
    <n v="1"/>
    <n v="1"/>
    <n v="1"/>
    <n v="3"/>
    <n v="3"/>
    <n v="3"/>
    <n v="0"/>
    <n v="93206"/>
    <n v="0"/>
    <n v="28"/>
    <s v="Sr. Network Engineer"/>
    <s v="MA"/>
    <n v="2169"/>
    <d v="1986-04-23T00:00:00"/>
    <s v="M "/>
    <s v="Married"/>
    <s v="US Citizen"/>
    <s v="No"/>
    <s v="White"/>
    <d v="2014-11-10T00:00:00"/>
    <m/>
    <s v="N/A-StillEmployed"/>
    <s v="Active"/>
    <x v="1"/>
    <s v="Peter Monroe"/>
    <n v="7"/>
    <s v="Employee Referral"/>
    <s v="Fully Meets"/>
    <n v="4.46"/>
    <n v="5"/>
    <n v="6"/>
    <s v="1/7/2019"/>
    <n v="0"/>
    <n v="7"/>
    <s v="Normal"/>
    <s v="low Outlier"/>
    <n v="39"/>
    <n v="11"/>
    <n v="11"/>
    <s v="10+ Years"/>
    <s v="36-45"/>
    <s v="Senior (70-100K)"/>
    <n v="1"/>
    <x v="4"/>
    <n v="11"/>
    <s v="Q4"/>
    <s v="Nov"/>
    <s v="2014-11"/>
    <s v="N/A"/>
    <s v="Production       "/>
  </r>
  <r>
    <s v="Landa, Hans"/>
    <n v="10092"/>
    <n v="1"/>
    <n v="1"/>
    <n v="1"/>
    <n v="4"/>
    <n v="5"/>
    <n v="3"/>
    <n v="0"/>
    <n v="82758"/>
    <n v="1"/>
    <n v="18"/>
    <s v="Production Manager"/>
    <s v="MA"/>
    <n v="1890"/>
    <d v="1972-07-01T00:00:00"/>
    <s v="M "/>
    <s v="Married"/>
    <s v="US Citizen"/>
    <s v="No"/>
    <s v="White"/>
    <d v="2011-01-10T00:00:00"/>
    <d v="2015-12-12T00:00:00"/>
    <s v="attendance"/>
    <s v="Terminated for Cause"/>
    <x v="2"/>
    <s v="Janet King"/>
    <n v="2"/>
    <s v="Employee Referral"/>
    <s v="Fully Meets"/>
    <n v="4.78"/>
    <n v="4"/>
    <n v="0"/>
    <s v="2/15/2015"/>
    <n v="0"/>
    <n v="9"/>
    <s v="Normal"/>
    <s v="low Outlier"/>
    <n v="53"/>
    <n v="15"/>
    <n v="4"/>
    <s v="10+ Years"/>
    <s v="46-55"/>
    <s v="Senior (70-100K)"/>
    <n v="0"/>
    <x v="0"/>
    <n v="1"/>
    <s v="Q1"/>
    <s v="Jan"/>
    <s v="2011-01"/>
    <n v="2015"/>
    <s v="Production       "/>
  </r>
  <r>
    <s v="Langford, Lindsey"/>
    <n v="10106"/>
    <n v="0"/>
    <n v="2"/>
    <n v="0"/>
    <n v="5"/>
    <n v="5"/>
    <n v="3"/>
    <n v="0"/>
    <n v="66074"/>
    <n v="1"/>
    <n v="20"/>
    <s v="Production Technician II"/>
    <s v="MA"/>
    <n v="2090"/>
    <d v="1979-07-25T00:00:00"/>
    <s v="F"/>
    <s v="Divorced"/>
    <s v="US Citizen"/>
    <s v="No"/>
    <s v="Asian"/>
    <d v="2013-01-07T00:00:00"/>
    <d v="2014-03-31T00:00:00"/>
    <s v="Another position"/>
    <s v="Voluntarily Terminated"/>
    <x v="2"/>
    <s v="David Stanley"/>
    <n v="14"/>
    <s v="Indeed"/>
    <s v="Fully Meets"/>
    <n v="4.5199999999999996"/>
    <n v="3"/>
    <n v="0"/>
    <s v="2/20/2014"/>
    <n v="0"/>
    <n v="20"/>
    <s v="Normal"/>
    <s v="low Outlier"/>
    <n v="46"/>
    <n v="13"/>
    <n v="1"/>
    <s v="10+ Years"/>
    <s v="46-55"/>
    <s v="Mid (40-70K)"/>
    <n v="0"/>
    <x v="5"/>
    <n v="1"/>
    <s v="Q1"/>
    <s v="Jan"/>
    <s v="2013-01"/>
    <n v="2014"/>
    <s v="Production       "/>
  </r>
  <r>
    <s v="Langton, Enrico"/>
    <n v="10052"/>
    <n v="1"/>
    <n v="1"/>
    <n v="1"/>
    <n v="1"/>
    <n v="5"/>
    <n v="3"/>
    <n v="0"/>
    <n v="46120"/>
    <n v="0"/>
    <n v="19"/>
    <s v="Production Technician I"/>
    <s v="MA"/>
    <n v="2048"/>
    <d v="1986-12-09T00:00:00"/>
    <s v="M "/>
    <s v="Married"/>
    <s v="US Citizen"/>
    <s v="No"/>
    <s v="White"/>
    <d v="2012-07-09T00:00:00"/>
    <m/>
    <s v="N/A-StillEmployed"/>
    <s v="Active"/>
    <x v="2"/>
    <s v="David Stanley"/>
    <n v="14"/>
    <s v="LinkedIn"/>
    <s v="Fully Meets"/>
    <n v="5"/>
    <n v="5"/>
    <n v="0"/>
    <s v="2/4/2019"/>
    <n v="0"/>
    <n v="13"/>
    <s v="Normal"/>
    <s v="low Outlier"/>
    <n v="39"/>
    <n v="13"/>
    <n v="13"/>
    <s v="10+ Years"/>
    <s v="36-45"/>
    <s v="Mid (40-70K)"/>
    <n v="1"/>
    <x v="3"/>
    <n v="7"/>
    <s v="Q3"/>
    <s v="Jul"/>
    <s v="2012-07"/>
    <s v="N/A"/>
    <s v="Production       "/>
  </r>
  <r>
    <s v="LaRotonda, William  "/>
    <n v="10038"/>
    <n v="0"/>
    <n v="2"/>
    <n v="1"/>
    <n v="1"/>
    <n v="1"/>
    <n v="3"/>
    <n v="0"/>
    <n v="64520"/>
    <n v="0"/>
    <n v="1"/>
    <s v="Accountant I"/>
    <s v="MA"/>
    <n v="1460"/>
    <d v="1984-04-26T00:00:00"/>
    <s v="M "/>
    <s v="Divorced"/>
    <s v="US Citizen"/>
    <s v="No"/>
    <s v="Black or African American"/>
    <d v="2014-01-06T00:00:00"/>
    <m/>
    <s v="N/A-StillEmployed"/>
    <s v="Active"/>
    <x v="4"/>
    <s v="Brandon R. LeBlanc"/>
    <n v="1"/>
    <s v="Website"/>
    <s v="Fully Meets"/>
    <n v="5"/>
    <n v="4"/>
    <n v="4"/>
    <s v="1/17/2019"/>
    <n v="0"/>
    <n v="3"/>
    <s v="Normal"/>
    <s v="low Outlier"/>
    <n v="41"/>
    <n v="12"/>
    <n v="12"/>
    <s v="10+ Years"/>
    <s v="36-45"/>
    <s v="Mid (40-70K)"/>
    <n v="1"/>
    <x v="4"/>
    <n v="1"/>
    <s v="Q1"/>
    <s v="Jan"/>
    <s v="2014-01"/>
    <s v="N/A"/>
    <s v="Production       "/>
  </r>
  <r>
    <s v="Latif, Mohammed"/>
    <n v="10249"/>
    <n v="1"/>
    <n v="1"/>
    <n v="1"/>
    <n v="5"/>
    <n v="5"/>
    <n v="3"/>
    <n v="0"/>
    <n v="61962"/>
    <n v="1"/>
    <n v="20"/>
    <s v="Production Technician II"/>
    <s v="MA"/>
    <n v="2126"/>
    <d v="1984-05-09T00:00:00"/>
    <s v="M "/>
    <s v="Married"/>
    <s v="US Citizen"/>
    <s v="No"/>
    <s v="White"/>
    <d v="2012-04-02T00:00:00"/>
    <d v="2013-04-15T00:00:00"/>
    <s v="more money"/>
    <s v="Voluntarily Terminated"/>
    <x v="2"/>
    <s v="Kissy Sullivan"/>
    <n v="20"/>
    <s v="Google Search"/>
    <s v="Fully Meets"/>
    <n v="4.9000000000000004"/>
    <n v="3"/>
    <n v="0"/>
    <s v="2/20/2013"/>
    <n v="0"/>
    <n v="20"/>
    <s v="Normal"/>
    <s v="low Outlier"/>
    <n v="41"/>
    <n v="13"/>
    <n v="1"/>
    <s v="10+ Years"/>
    <s v="36-45"/>
    <s v="Mid (40-70K)"/>
    <n v="0"/>
    <x v="3"/>
    <n v="4"/>
    <s v="Q2"/>
    <s v="Apr"/>
    <s v="2012-04"/>
    <n v="2013"/>
    <s v="Production       "/>
  </r>
  <r>
    <s v="Le, Binh"/>
    <n v="10232"/>
    <n v="0"/>
    <n v="0"/>
    <n v="0"/>
    <n v="1"/>
    <n v="3"/>
    <n v="3"/>
    <n v="0"/>
    <n v="81584"/>
    <n v="0"/>
    <n v="22"/>
    <s v="Senior BI Developer"/>
    <s v="MA"/>
    <n v="1886"/>
    <d v="1987-06-14T00:00:00"/>
    <s v="F"/>
    <s v="Single"/>
    <s v="US Citizen"/>
    <s v="No"/>
    <s v="Asian"/>
    <d v="2016-10-02T00:00:00"/>
    <m/>
    <s v="N/A-StillEmployed"/>
    <s v="Active"/>
    <x v="1"/>
    <s v="Brian Champaigne"/>
    <n v="13"/>
    <s v="Indeed"/>
    <s v="Fully Meets"/>
    <n v="4.0999999999999996"/>
    <n v="5"/>
    <n v="7"/>
    <s v="1/8/2019"/>
    <n v="0"/>
    <n v="2"/>
    <s v="Normal"/>
    <s v="low Outlier"/>
    <n v="38"/>
    <n v="9"/>
    <n v="9"/>
    <s v="5-10 Years"/>
    <s v="36-45"/>
    <s v="Senior (70-100K)"/>
    <n v="1"/>
    <x v="7"/>
    <n v="10"/>
    <s v="Q4"/>
    <s v="Oct"/>
    <s v="2016-10"/>
    <s v="N/A"/>
    <s v="Production       "/>
  </r>
  <r>
    <s v="Leach, Dallas"/>
    <n v="10087"/>
    <n v="0"/>
    <n v="0"/>
    <n v="0"/>
    <n v="5"/>
    <n v="5"/>
    <n v="3"/>
    <n v="0"/>
    <n v="63676"/>
    <n v="1"/>
    <n v="19"/>
    <s v="Production Technician I"/>
    <s v="MA"/>
    <n v="1810"/>
    <d v="1979-01-17T00:00:00"/>
    <s v="F"/>
    <s v="Single"/>
    <s v="US Citizen"/>
    <s v="No"/>
    <s v="Asian"/>
    <d v="2011-09-26T00:00:00"/>
    <d v="2018-08-19T00:00:00"/>
    <s v="return to school"/>
    <s v="Voluntarily Terminated"/>
    <x v="2"/>
    <s v="Kissy Sullivan"/>
    <n v="20"/>
    <s v="CareerBuilder"/>
    <s v="Fully Meets"/>
    <n v="4.88"/>
    <n v="3"/>
    <n v="0"/>
    <s v="7/2/2017"/>
    <n v="0"/>
    <n v="17"/>
    <s v="Normal"/>
    <s v="low Outlier"/>
    <n v="47"/>
    <n v="14"/>
    <n v="6"/>
    <s v="10+ Years"/>
    <s v="46-55"/>
    <s v="Mid (40-70K)"/>
    <n v="0"/>
    <x v="0"/>
    <n v="9"/>
    <s v="Q3"/>
    <s v="Sep"/>
    <s v="2011-09"/>
    <n v="2018"/>
    <s v="Production       "/>
  </r>
  <r>
    <s v="LeBlanc, Brandon  R"/>
    <n v="10134"/>
    <n v="1"/>
    <n v="1"/>
    <n v="1"/>
    <n v="1"/>
    <n v="1"/>
    <n v="3"/>
    <n v="0"/>
    <n v="93046"/>
    <n v="0"/>
    <n v="23"/>
    <s v="Shared Services Manager"/>
    <s v="MA"/>
    <n v="1460"/>
    <d v="1984-06-10T00:00:00"/>
    <s v="M "/>
    <s v="Married"/>
    <s v="US Citizen"/>
    <s v="No"/>
    <s v="White"/>
    <d v="2016-01-05T00:00:00"/>
    <m/>
    <s v="N/A-StillEmployed"/>
    <s v="Active"/>
    <x v="4"/>
    <s v="Janet King"/>
    <n v="2"/>
    <s v="CareerBuilder"/>
    <s v="Fully Meets"/>
    <n v="4.0999999999999996"/>
    <n v="4"/>
    <n v="0"/>
    <s v="1/28/2019"/>
    <n v="0"/>
    <n v="20"/>
    <s v="Normal"/>
    <s v="low Outlier"/>
    <n v="41"/>
    <n v="10"/>
    <n v="10"/>
    <s v="10+ Years"/>
    <s v="36-45"/>
    <s v="Senior (70-100K)"/>
    <n v="1"/>
    <x v="7"/>
    <n v="1"/>
    <s v="Q1"/>
    <s v="Jan"/>
    <s v="2016-01"/>
    <s v="N/A"/>
    <s v="Production       "/>
  </r>
  <r>
    <s v="Lecter, Hannibal"/>
    <n v="10251"/>
    <n v="1"/>
    <n v="1"/>
    <n v="1"/>
    <n v="1"/>
    <n v="5"/>
    <n v="3"/>
    <n v="0"/>
    <n v="64738"/>
    <n v="0"/>
    <n v="19"/>
    <s v="Production Technician I"/>
    <s v="MA"/>
    <n v="1776"/>
    <d v="1982-09-02T00:00:00"/>
    <s v="M "/>
    <s v="Married"/>
    <s v="US Citizen"/>
    <s v="No"/>
    <s v="Asian"/>
    <d v="2012-05-14T00:00:00"/>
    <m/>
    <s v="N/A-StillEmployed"/>
    <s v="Active"/>
    <x v="2"/>
    <s v="Elijiah Gray"/>
    <n v="16"/>
    <s v="Google Search"/>
    <s v="Fully Meets"/>
    <n v="4.0999999999999996"/>
    <n v="3"/>
    <n v="0"/>
    <s v="2/22/2019"/>
    <n v="0"/>
    <n v="10"/>
    <s v="Normal"/>
    <s v="low Outlier"/>
    <n v="43"/>
    <n v="13"/>
    <n v="13"/>
    <s v="10+ Years"/>
    <s v="36-45"/>
    <s v="Mid (40-70K)"/>
    <n v="1"/>
    <x v="3"/>
    <n v="5"/>
    <s v="Q2"/>
    <s v="May"/>
    <s v="2012-05"/>
    <s v="N/A"/>
    <s v="Production       "/>
  </r>
  <r>
    <s v="Leruth, Giovanni"/>
    <n v="10103"/>
    <n v="0"/>
    <n v="3"/>
    <n v="1"/>
    <n v="1"/>
    <n v="6"/>
    <n v="3"/>
    <n v="0"/>
    <n v="70468"/>
    <n v="0"/>
    <n v="3"/>
    <s v="Area Sales Manager"/>
    <s v="UT"/>
    <n v="84111"/>
    <d v="1988-12-27T00:00:00"/>
    <s v="M "/>
    <s v="Separated"/>
    <s v="US Citizen"/>
    <s v="No"/>
    <s v="Black or African American"/>
    <d v="2012-04-30T00:00:00"/>
    <m/>
    <s v="N/A-StillEmployed"/>
    <s v="Active"/>
    <x v="5"/>
    <s v="John Smith"/>
    <n v="17"/>
    <s v="Website"/>
    <s v="Fully Meets"/>
    <n v="4.53"/>
    <n v="3"/>
    <n v="0"/>
    <s v="1/29/2019"/>
    <n v="0"/>
    <n v="16"/>
    <s v="Normal"/>
    <s v="low Outlier"/>
    <n v="37"/>
    <n v="13"/>
    <n v="13"/>
    <s v="10+ Years"/>
    <s v="36-45"/>
    <s v="Senior (70-100K)"/>
    <n v="1"/>
    <x v="3"/>
    <n v="4"/>
    <s v="Q2"/>
    <s v="Apr"/>
    <s v="2012-04"/>
    <s v="N/A"/>
    <s v="Production       "/>
  </r>
  <r>
    <s v="Liebig, Ketsia"/>
    <n v="10017"/>
    <n v="1"/>
    <n v="1"/>
    <n v="0"/>
    <n v="1"/>
    <n v="5"/>
    <n v="4"/>
    <n v="0"/>
    <n v="77915"/>
    <n v="0"/>
    <n v="18"/>
    <s v="Production Manager"/>
    <s v="MA"/>
    <n v="2110"/>
    <d v="1981-10-26T00:00:00"/>
    <s v="F"/>
    <s v="Married"/>
    <s v="US Citizen"/>
    <s v="No"/>
    <s v="White"/>
    <d v="2013-09-30T00:00:00"/>
    <m/>
    <s v="N/A-StillEmployed"/>
    <s v="Active"/>
    <x v="2"/>
    <s v="Janet King"/>
    <n v="2"/>
    <s v="Website"/>
    <s v="Exceeds"/>
    <n v="4.0999999999999996"/>
    <n v="3"/>
    <n v="0"/>
    <s v="1/21/2019"/>
    <n v="0"/>
    <n v="11"/>
    <s v="Normal"/>
    <s v="low Outlier"/>
    <n v="44"/>
    <n v="12"/>
    <n v="12"/>
    <s v="10+ Years"/>
    <s v="36-45"/>
    <s v="Senior (70-100K)"/>
    <n v="1"/>
    <x v="5"/>
    <n v="9"/>
    <s v="Q3"/>
    <s v="Sep"/>
    <s v="2013-09"/>
    <s v="N/A"/>
    <s v="Production       "/>
  </r>
  <r>
    <s v="Linares, Marilyn "/>
    <n v="10186"/>
    <n v="1"/>
    <n v="1"/>
    <n v="0"/>
    <n v="5"/>
    <n v="5"/>
    <n v="3"/>
    <n v="0"/>
    <n v="52624"/>
    <n v="1"/>
    <n v="19"/>
    <s v="Production Technician I"/>
    <s v="MA"/>
    <n v="1886"/>
    <d v="1981-03-26T00:00:00"/>
    <s v="F"/>
    <s v="Married"/>
    <s v="US Citizen"/>
    <s v="No"/>
    <s v="White"/>
    <d v="2011-07-05T00:00:00"/>
    <d v="2018-09-26T00:00:00"/>
    <s v="unhappy"/>
    <s v="Voluntarily Terminated"/>
    <x v="2"/>
    <s v="Michael Albert"/>
    <n v="22"/>
    <s v="Indeed"/>
    <s v="Fully Meets"/>
    <n v="3.18"/>
    <n v="4"/>
    <n v="0"/>
    <s v="3/2/2018"/>
    <n v="0"/>
    <n v="16"/>
    <s v="Normal"/>
    <s v="low Outlier"/>
    <n v="44"/>
    <n v="14"/>
    <n v="7"/>
    <s v="10+ Years"/>
    <s v="36-45"/>
    <s v="Mid (40-70K)"/>
    <n v="0"/>
    <x v="0"/>
    <n v="7"/>
    <s v="Q3"/>
    <s v="Jul"/>
    <s v="2011-07"/>
    <n v="2018"/>
    <s v="Production       "/>
  </r>
  <r>
    <s v="Linden, Mathew"/>
    <n v="10137"/>
    <n v="1"/>
    <n v="1"/>
    <n v="1"/>
    <n v="3"/>
    <n v="5"/>
    <n v="3"/>
    <n v="0"/>
    <n v="63450"/>
    <n v="0"/>
    <n v="20"/>
    <s v="Production Technician II"/>
    <s v="MA"/>
    <n v="1770"/>
    <d v="1979-03-19T00:00:00"/>
    <s v="M "/>
    <s v="Married"/>
    <s v="US Citizen"/>
    <s v="No"/>
    <s v="White"/>
    <d v="2013-07-08T00:00:00"/>
    <m/>
    <s v="N/A-StillEmployed"/>
    <s v="Active"/>
    <x v="2"/>
    <s v="Kelley Spirea"/>
    <n v="18"/>
    <s v="LinkedIn"/>
    <s v="Fully Meets"/>
    <n v="4"/>
    <n v="3"/>
    <n v="0"/>
    <s v="2/18/2019"/>
    <n v="0"/>
    <n v="7"/>
    <s v="Normal"/>
    <s v="low Outlier"/>
    <n v="46"/>
    <n v="12"/>
    <n v="12"/>
    <s v="10+ Years"/>
    <s v="46-55"/>
    <s v="Mid (40-70K)"/>
    <n v="1"/>
    <x v="5"/>
    <n v="7"/>
    <s v="Q3"/>
    <s v="Jul"/>
    <s v="2013-07"/>
    <s v="N/A"/>
    <s v="Production       "/>
  </r>
  <r>
    <s v="Lindsay, Leonara "/>
    <n v="10008"/>
    <n v="0"/>
    <n v="0"/>
    <n v="0"/>
    <n v="1"/>
    <n v="3"/>
    <n v="4"/>
    <n v="1"/>
    <n v="51777"/>
    <n v="0"/>
    <n v="14"/>
    <s v="IT Support"/>
    <s v="CT"/>
    <n v="6070"/>
    <d v="1988-10-05T00:00:00"/>
    <s v="F"/>
    <s v="Single"/>
    <s v="US Citizen"/>
    <s v="Yes"/>
    <s v="Black or African American"/>
    <d v="2011-01-21T00:00:00"/>
    <m/>
    <s v="N/A-StillEmployed"/>
    <s v="Active"/>
    <x v="1"/>
    <s v="Eric Dougall"/>
    <n v="6"/>
    <s v="Diversity Job Fair"/>
    <s v="Exceeds"/>
    <n v="4.6399999999999997"/>
    <n v="4"/>
    <n v="5"/>
    <s v="1/25/2019"/>
    <n v="0"/>
    <n v="14"/>
    <s v="Normal"/>
    <s v="low Outlier"/>
    <n v="37"/>
    <n v="15"/>
    <n v="15"/>
    <s v="10+ Years"/>
    <s v="36-45"/>
    <s v="Mid (40-70K)"/>
    <n v="1"/>
    <x v="0"/>
    <n v="1"/>
    <s v="Q1"/>
    <s v="Jan"/>
    <s v="2011-01"/>
    <s v="N/A"/>
    <s v="Production       "/>
  </r>
  <r>
    <s v="Lundy, Susan"/>
    <n v="10096"/>
    <n v="0"/>
    <n v="4"/>
    <n v="0"/>
    <n v="5"/>
    <n v="5"/>
    <n v="3"/>
    <n v="0"/>
    <n v="67237"/>
    <n v="1"/>
    <n v="20"/>
    <s v="Production Technician II"/>
    <s v="MA"/>
    <n v="2122"/>
    <d v="1976-12-26T00:00:00"/>
    <s v="F"/>
    <s v="Widowed"/>
    <s v="US Citizen"/>
    <s v="No"/>
    <s v="White"/>
    <d v="2013-07-08T00:00:00"/>
    <d v="2016-09-15T00:00:00"/>
    <s v="more money"/>
    <s v="Voluntarily Terminated"/>
    <x v="2"/>
    <s v="Michael Albert"/>
    <n v="22"/>
    <s v="LinkedIn"/>
    <s v="Fully Meets"/>
    <n v="4.6500000000000004"/>
    <n v="4"/>
    <n v="0"/>
    <s v="6/10/2016"/>
    <n v="0"/>
    <n v="15"/>
    <s v="Normal"/>
    <s v="low Outlier"/>
    <n v="49"/>
    <n v="12"/>
    <n v="3"/>
    <s v="10+ Years"/>
    <s v="46-55"/>
    <s v="Mid (40-70K)"/>
    <n v="0"/>
    <x v="5"/>
    <n v="7"/>
    <s v="Q3"/>
    <s v="Jul"/>
    <s v="2013-07"/>
    <n v="2016"/>
    <s v="Production       "/>
  </r>
  <r>
    <s v="Lunquist, Lisa"/>
    <n v="10035"/>
    <n v="0"/>
    <n v="0"/>
    <n v="0"/>
    <n v="1"/>
    <n v="5"/>
    <n v="4"/>
    <n v="0"/>
    <n v="73330"/>
    <n v="0"/>
    <n v="20"/>
    <s v="Production Technician II"/>
    <s v="MA"/>
    <n v="2324"/>
    <d v="1982-03-28T00:00:00"/>
    <s v="F"/>
    <s v="Single"/>
    <s v="US Citizen"/>
    <s v="No"/>
    <s v="Black or African American"/>
    <d v="2013-08-19T00:00:00"/>
    <m/>
    <s v="N/A-StillEmployed"/>
    <s v="Active"/>
    <x v="2"/>
    <s v="Elijiah Gray"/>
    <n v="16"/>
    <s v="Indeed"/>
    <s v="Exceeds"/>
    <n v="4.2"/>
    <n v="4"/>
    <n v="0"/>
    <s v="2/12/2019"/>
    <n v="0"/>
    <n v="19"/>
    <s v="Normal"/>
    <s v="low Outlier"/>
    <n v="43"/>
    <n v="12"/>
    <n v="12"/>
    <s v="10+ Years"/>
    <s v="36-45"/>
    <s v="Senior (70-100K)"/>
    <n v="1"/>
    <x v="5"/>
    <n v="8"/>
    <s v="Q3"/>
    <s v="Aug"/>
    <s v="2013-08"/>
    <s v="N/A"/>
    <s v="Production       "/>
  </r>
  <r>
    <s v="Lydon, Allison"/>
    <n v="10057"/>
    <n v="1"/>
    <n v="1"/>
    <n v="0"/>
    <n v="3"/>
    <n v="5"/>
    <n v="3"/>
    <n v="0"/>
    <n v="52057"/>
    <n v="0"/>
    <n v="19"/>
    <s v="Production Technician I"/>
    <s v="MA"/>
    <n v="2122"/>
    <d v="1975-10-22T00:00:00"/>
    <s v="F"/>
    <s v="Married"/>
    <s v="US Citizen"/>
    <s v="No"/>
    <s v="Black or African American"/>
    <d v="2015-02-16T00:00:00"/>
    <m/>
    <s v="N/A-StillEmployed"/>
    <s v="Active"/>
    <x v="2"/>
    <s v="Elijiah Gray"/>
    <n v="16"/>
    <s v="Website"/>
    <s v="Fully Meets"/>
    <n v="5"/>
    <n v="3"/>
    <n v="0"/>
    <s v="1/23/2019"/>
    <n v="0"/>
    <n v="6"/>
    <s v="Normal"/>
    <s v="low Outlier"/>
    <n v="50"/>
    <n v="11"/>
    <n v="11"/>
    <s v="10+ Years"/>
    <s v="46-55"/>
    <s v="Mid (40-70K)"/>
    <n v="1"/>
    <x v="1"/>
    <n v="2"/>
    <s v="Q1"/>
    <s v="Feb"/>
    <s v="2015-02"/>
    <s v="N/A"/>
    <s v="Production       "/>
  </r>
  <r>
    <s v="Lynch, Lindsay"/>
    <n v="10004"/>
    <n v="0"/>
    <n v="0"/>
    <n v="0"/>
    <n v="5"/>
    <n v="5"/>
    <n v="4"/>
    <n v="1"/>
    <n v="47434"/>
    <n v="1"/>
    <n v="19"/>
    <s v="Production Technician I"/>
    <s v="MA"/>
    <n v="1844"/>
    <d v="1973-02-14T00:00:00"/>
    <s v="F"/>
    <s v="Single"/>
    <s v="US Citizen"/>
    <s v="Yes"/>
    <s v="Black or African American"/>
    <d v="2011-11-07T00:00:00"/>
    <d v="2015-11-14T00:00:00"/>
    <s v="Another position"/>
    <s v="Voluntarily Terminated"/>
    <x v="2"/>
    <s v="Webster Butler"/>
    <n v="39"/>
    <s v="Diversity Job Fair"/>
    <s v="Exceeds"/>
    <n v="5"/>
    <n v="4"/>
    <n v="0"/>
    <s v="2/2/2015"/>
    <n v="0"/>
    <n v="17"/>
    <s v="Normal"/>
    <s v="low Outlier"/>
    <n v="53"/>
    <n v="14"/>
    <n v="4"/>
    <s v="10+ Years"/>
    <s v="46-55"/>
    <s v="Mid (40-70K)"/>
    <n v="0"/>
    <x v="0"/>
    <n v="11"/>
    <s v="Q4"/>
    <s v="Nov"/>
    <s v="2011-11"/>
    <n v="2015"/>
    <s v="Production       "/>
  </r>
  <r>
    <s v="MacLennan, Samuel"/>
    <n v="10191"/>
    <n v="0"/>
    <n v="4"/>
    <n v="1"/>
    <n v="5"/>
    <n v="5"/>
    <n v="3"/>
    <n v="0"/>
    <n v="52788"/>
    <n v="1"/>
    <n v="19"/>
    <s v="Production Technician I"/>
    <s v="MA"/>
    <n v="1938"/>
    <d v="1972-11-09T00:00:00"/>
    <s v="M "/>
    <s v="Widowed"/>
    <s v="US Citizen"/>
    <s v="No"/>
    <s v="White"/>
    <d v="2012-09-24T00:00:00"/>
    <d v="2017-09-26T00:00:00"/>
    <s v="hours"/>
    <s v="Voluntarily Terminated"/>
    <x v="2"/>
    <s v="Amy Dunn"/>
    <n v="11"/>
    <s v="Indeed"/>
    <s v="Fully Meets"/>
    <n v="3.08"/>
    <n v="4"/>
    <n v="0"/>
    <s v="4/1/2017"/>
    <n v="0"/>
    <n v="18"/>
    <s v="Normal"/>
    <s v="low Outlier"/>
    <n v="53"/>
    <n v="13"/>
    <n v="5"/>
    <s v="10+ Years"/>
    <s v="46-55"/>
    <s v="Mid (40-70K)"/>
    <n v="0"/>
    <x v="3"/>
    <n v="9"/>
    <s v="Q3"/>
    <s v="Sep"/>
    <s v="2012-09"/>
    <n v="2017"/>
    <s v="Production       "/>
  </r>
  <r>
    <s v="Mahoney, Lauren  "/>
    <n v="10219"/>
    <n v="0"/>
    <n v="0"/>
    <n v="0"/>
    <n v="1"/>
    <n v="5"/>
    <n v="3"/>
    <n v="0"/>
    <n v="45395"/>
    <n v="0"/>
    <n v="19"/>
    <s v="Production Technician I"/>
    <s v="MA"/>
    <n v="2189"/>
    <d v="1986-07-07T00:00:00"/>
    <s v="F"/>
    <s v="Single"/>
    <s v="US Citizen"/>
    <s v="No"/>
    <s v="White"/>
    <d v="2014-01-06T00:00:00"/>
    <m/>
    <s v="N/A-StillEmployed"/>
    <s v="Active"/>
    <x v="2"/>
    <s v="Ketsia Liebig"/>
    <n v="19"/>
    <s v="LinkedIn"/>
    <s v="Fully Meets"/>
    <n v="4.5999999999999996"/>
    <n v="4"/>
    <n v="0"/>
    <s v="2/26/2019"/>
    <n v="0"/>
    <n v="14"/>
    <s v="Normal"/>
    <s v="low Outlier"/>
    <n v="39"/>
    <n v="12"/>
    <n v="12"/>
    <s v="10+ Years"/>
    <s v="36-45"/>
    <s v="Mid (40-70K)"/>
    <n v="1"/>
    <x v="4"/>
    <n v="1"/>
    <s v="Q1"/>
    <s v="Jan"/>
    <s v="2014-01"/>
    <s v="N/A"/>
    <s v="Production       "/>
  </r>
  <r>
    <s v="Manchester, Robyn"/>
    <n v="10077"/>
    <n v="1"/>
    <n v="1"/>
    <n v="0"/>
    <n v="2"/>
    <n v="5"/>
    <n v="3"/>
    <n v="0"/>
    <n v="62385"/>
    <n v="0"/>
    <n v="20"/>
    <s v="Production Technician II"/>
    <s v="MA"/>
    <n v="2324"/>
    <d v="1976-08-25T00:00:00"/>
    <s v="F"/>
    <s v="Married"/>
    <s v="US Citizen"/>
    <s v="No"/>
    <s v="White"/>
    <d v="2016-05-11T00:00:00"/>
    <m/>
    <s v="N/A-StillEmployed"/>
    <s v="Active"/>
    <x v="2"/>
    <s v="Webster Butler"/>
    <m/>
    <s v="LinkedIn"/>
    <s v="Fully Meets"/>
    <n v="5"/>
    <n v="3"/>
    <n v="0"/>
    <s v="1/21/2019"/>
    <n v="0"/>
    <n v="4"/>
    <s v="Normal"/>
    <s v="low Outlier"/>
    <n v="49"/>
    <n v="9"/>
    <n v="9"/>
    <s v="5-10 Years"/>
    <s v="46-55"/>
    <s v="Mid (40-70K)"/>
    <n v="1"/>
    <x v="7"/>
    <n v="5"/>
    <s v="Q2"/>
    <s v="May"/>
    <s v="2016-05"/>
    <s v="N/A"/>
    <s v="Production       "/>
  </r>
  <r>
    <s v="Mancuso, Karen"/>
    <n v="10073"/>
    <n v="1"/>
    <n v="1"/>
    <n v="0"/>
    <n v="5"/>
    <n v="5"/>
    <n v="3"/>
    <n v="0"/>
    <n v="68407"/>
    <n v="1"/>
    <n v="20"/>
    <s v="Production Technician II"/>
    <s v="MA"/>
    <n v="2176"/>
    <d v="1986-12-10T00:00:00"/>
    <s v="F"/>
    <s v="Married"/>
    <s v="US Citizen"/>
    <s v="No"/>
    <s v="Two or more races"/>
    <d v="2011-07-05T00:00:00"/>
    <d v="2012-08-19T00:00:00"/>
    <s v="Another position"/>
    <s v="Voluntarily Terminated"/>
    <x v="2"/>
    <s v="Amy Dunn"/>
    <n v="11"/>
    <s v="LinkedIn"/>
    <s v="Fully Meets"/>
    <n v="5"/>
    <n v="4"/>
    <n v="0"/>
    <s v="7/2/2012"/>
    <n v="0"/>
    <n v="16"/>
    <s v="Normal"/>
    <s v="low Outlier"/>
    <n v="39"/>
    <n v="14"/>
    <n v="1"/>
    <s v="10+ Years"/>
    <s v="36-45"/>
    <s v="Mid (40-70K)"/>
    <n v="0"/>
    <x v="0"/>
    <n v="7"/>
    <s v="Q3"/>
    <s v="Jul"/>
    <s v="2011-07"/>
    <n v="2012"/>
    <s v="Production       "/>
  </r>
  <r>
    <s v="Mangal, Debbie"/>
    <n v="10279"/>
    <n v="1"/>
    <n v="1"/>
    <n v="0"/>
    <n v="1"/>
    <n v="5"/>
    <n v="3"/>
    <n v="0"/>
    <n v="61349"/>
    <n v="0"/>
    <n v="19"/>
    <s v="Production Technician I"/>
    <s v="MA"/>
    <n v="2451"/>
    <d v="1974-11-07T00:00:00"/>
    <s v="F"/>
    <s v="Married"/>
    <s v="US Citizen"/>
    <s v="No"/>
    <s v="White"/>
    <d v="2013-11-11T00:00:00"/>
    <m/>
    <s v="N/A-StillEmployed"/>
    <s v="Active"/>
    <x v="2"/>
    <s v="Brannon Miller"/>
    <n v="12"/>
    <s v="LinkedIn"/>
    <s v="Fully Meets"/>
    <n v="4.0999999999999996"/>
    <n v="3"/>
    <n v="0"/>
    <s v="1/22/2019"/>
    <n v="0"/>
    <n v="11"/>
    <s v="Normal"/>
    <s v="low Outlier"/>
    <n v="51"/>
    <n v="12"/>
    <n v="12"/>
    <s v="10+ Years"/>
    <s v="46-55"/>
    <s v="Mid (40-70K)"/>
    <n v="1"/>
    <x v="5"/>
    <n v="11"/>
    <s v="Q4"/>
    <s v="Nov"/>
    <s v="2013-11"/>
    <s v="N/A"/>
    <s v="Production       "/>
  </r>
  <r>
    <s v="Martin, Sandra"/>
    <n v="10110"/>
    <n v="0"/>
    <n v="0"/>
    <n v="0"/>
    <n v="1"/>
    <n v="4"/>
    <n v="3"/>
    <n v="0"/>
    <n v="105688"/>
    <n v="0"/>
    <n v="24"/>
    <s v="Software Engineer"/>
    <s v="MA"/>
    <n v="2135"/>
    <d v="1987-11-07T00:00:00"/>
    <s v="F"/>
    <s v="Single"/>
    <s v="US Citizen"/>
    <s v="No"/>
    <s v="Asian"/>
    <d v="2013-11-11T00:00:00"/>
    <m/>
    <s v="N/A-StillEmployed"/>
    <s v="Active"/>
    <x v="3"/>
    <s v="Alex Sweetwater"/>
    <n v="10"/>
    <s v="Google Search"/>
    <s v="Fully Meets"/>
    <n v="4.5"/>
    <n v="5"/>
    <n v="4"/>
    <s v="1/14/2019"/>
    <n v="0"/>
    <n v="14"/>
    <s v="Normal"/>
    <s v="low Outlier"/>
    <n v="38"/>
    <n v="12"/>
    <n v="12"/>
    <s v="10+ Years"/>
    <s v="36-45"/>
    <s v="Executive (100K+)"/>
    <n v="1"/>
    <x v="5"/>
    <n v="11"/>
    <s v="Q4"/>
    <s v="Nov"/>
    <s v="2013-11"/>
    <s v="N/A"/>
    <s v="Production       "/>
  </r>
  <r>
    <s v="Maurice, Shana"/>
    <n v="10053"/>
    <n v="1"/>
    <n v="1"/>
    <n v="0"/>
    <n v="1"/>
    <n v="5"/>
    <n v="3"/>
    <n v="0"/>
    <n v="54132"/>
    <n v="0"/>
    <n v="19"/>
    <s v="Production Technician I"/>
    <s v="MA"/>
    <n v="2330"/>
    <d v="1977-11-22T00:00:00"/>
    <s v="F"/>
    <s v="Married"/>
    <s v="US Citizen"/>
    <s v="No"/>
    <s v="White"/>
    <d v="2011-05-31T00:00:00"/>
    <m/>
    <s v="N/A-StillEmployed"/>
    <s v="Active"/>
    <x v="2"/>
    <s v="David Stanley"/>
    <n v="14"/>
    <s v="Indeed"/>
    <s v="Fully Meets"/>
    <n v="5"/>
    <n v="4"/>
    <n v="0"/>
    <s v="1/10/2019"/>
    <n v="0"/>
    <n v="8"/>
    <s v="Normal"/>
    <s v="low Outlier"/>
    <n v="48"/>
    <n v="14"/>
    <n v="14"/>
    <s v="10+ Years"/>
    <s v="46-55"/>
    <s v="Mid (40-70K)"/>
    <n v="1"/>
    <x v="0"/>
    <n v="5"/>
    <s v="Q2"/>
    <s v="May"/>
    <s v="2011-05"/>
    <s v="N/A"/>
    <s v="Production       "/>
  </r>
  <r>
    <s v="Carthy, B'rigit"/>
    <n v="10076"/>
    <n v="0"/>
    <n v="0"/>
    <n v="0"/>
    <n v="1"/>
    <n v="5"/>
    <n v="3"/>
    <n v="0"/>
    <n v="55315"/>
    <n v="0"/>
    <n v="20"/>
    <s v="Production Technician II"/>
    <s v="MA"/>
    <n v="2149"/>
    <d v="1987-05-21T00:00:00"/>
    <s v="F"/>
    <s v="Single"/>
    <s v="US Citizen"/>
    <s v="No"/>
    <s v="Black or African American"/>
    <d v="2015-03-30T00:00:00"/>
    <m/>
    <s v="N/A-StillEmployed"/>
    <s v="Active"/>
    <x v="2"/>
    <s v="Ketsia Liebig"/>
    <n v="19"/>
    <s v="LinkedIn"/>
    <s v="Fully Meets"/>
    <n v="5"/>
    <n v="5"/>
    <n v="0"/>
    <s v="2/7/2019"/>
    <n v="0"/>
    <n v="16"/>
    <s v="Normal"/>
    <s v="low Outlier"/>
    <n v="38"/>
    <n v="10"/>
    <n v="10"/>
    <s v="10+ Years"/>
    <s v="36-45"/>
    <s v="Mid (40-70K)"/>
    <n v="1"/>
    <x v="1"/>
    <n v="3"/>
    <s v="Q1"/>
    <s v="Mar"/>
    <s v="2015-03"/>
    <s v="N/A"/>
    <s v="Production       "/>
  </r>
  <r>
    <s v="Mckenna, Sandy"/>
    <n v="10145"/>
    <n v="1"/>
    <n v="1"/>
    <n v="0"/>
    <n v="1"/>
    <n v="5"/>
    <n v="3"/>
    <n v="0"/>
    <n v="62810"/>
    <n v="0"/>
    <n v="19"/>
    <s v="Production Technician I"/>
    <s v="MA"/>
    <n v="2184"/>
    <d v="1987-01-07T00:00:00"/>
    <s v="F"/>
    <s v="Married"/>
    <s v="US Citizen"/>
    <s v="No"/>
    <s v="Black or African American"/>
    <d v="2013-01-07T00:00:00"/>
    <m/>
    <s v="N/A-StillEmployed"/>
    <s v="Active"/>
    <x v="2"/>
    <s v="Kissy Sullivan"/>
    <n v="20"/>
    <s v="CareerBuilder"/>
    <s v="Fully Meets"/>
    <n v="3.93"/>
    <n v="3"/>
    <n v="0"/>
    <s v="1/30/2019"/>
    <n v="0"/>
    <n v="20"/>
    <s v="Normal"/>
    <s v="low Outlier"/>
    <n v="39"/>
    <n v="13"/>
    <n v="13"/>
    <s v="10+ Years"/>
    <s v="36-45"/>
    <s v="Mid (40-70K)"/>
    <n v="1"/>
    <x v="5"/>
    <n v="1"/>
    <s v="Q1"/>
    <s v="Jan"/>
    <s v="2013-01"/>
    <s v="N/A"/>
    <s v="Production       "/>
  </r>
  <r>
    <s v="McKinzie, Jac"/>
    <n v="10202"/>
    <n v="1"/>
    <n v="1"/>
    <n v="1"/>
    <n v="2"/>
    <n v="6"/>
    <n v="3"/>
    <n v="0"/>
    <n v="63291"/>
    <n v="0"/>
    <n v="3"/>
    <s v="Area Sales Manager"/>
    <s v="TX"/>
    <n v="78789"/>
    <d v="1984-07-01T00:00:00"/>
    <s v="M "/>
    <s v="Married"/>
    <s v="US Citizen"/>
    <s v="No"/>
    <s v="Two or more races"/>
    <d v="2016-07-06T00:00:00"/>
    <m/>
    <s v="N/A-StillEmployed"/>
    <s v="Active"/>
    <x v="5"/>
    <s v="Lynn Daneault"/>
    <n v="21"/>
    <s v="Website"/>
    <s v="Fully Meets"/>
    <n v="3.4"/>
    <n v="4"/>
    <n v="0"/>
    <s v="1/29/2019"/>
    <n v="0"/>
    <n v="7"/>
    <s v="Normal"/>
    <s v="low Outlier"/>
    <n v="41"/>
    <n v="9"/>
    <n v="9"/>
    <s v="5-10 Years"/>
    <s v="36-45"/>
    <s v="Mid (40-70K)"/>
    <n v="1"/>
    <x v="7"/>
    <n v="7"/>
    <s v="Q3"/>
    <s v="Jul"/>
    <s v="2016-07"/>
    <s v="N/A"/>
    <s v="Production       "/>
  </r>
  <r>
    <s v="Meads, Elizabeth"/>
    <n v="10128"/>
    <n v="0"/>
    <n v="0"/>
    <n v="0"/>
    <n v="5"/>
    <n v="5"/>
    <n v="3"/>
    <n v="1"/>
    <n v="62659"/>
    <n v="1"/>
    <n v="19"/>
    <s v="Production Technician I"/>
    <s v="MA"/>
    <n v="1760"/>
    <d v="1968-05-30T00:00:00"/>
    <s v="F"/>
    <s v="Single"/>
    <s v="US Citizen"/>
    <s v="No"/>
    <s v="Black or African American"/>
    <d v="2012-04-02T00:00:00"/>
    <d v="2016-11-11T00:00:00"/>
    <s v="Another position"/>
    <s v="Voluntarily Terminated"/>
    <x v="2"/>
    <s v="Kelley Spirea"/>
    <n v="18"/>
    <s v="Diversity Job Fair"/>
    <s v="Fully Meets"/>
    <n v="4.18"/>
    <n v="4"/>
    <n v="0"/>
    <s v="2/5/2016"/>
    <n v="0"/>
    <n v="17"/>
    <s v="Normal"/>
    <s v="low Outlier"/>
    <n v="57"/>
    <n v="13"/>
    <n v="4"/>
    <s v="10+ Years"/>
    <s v="55+"/>
    <s v="Mid (40-70K)"/>
    <n v="0"/>
    <x v="3"/>
    <n v="4"/>
    <s v="Q2"/>
    <s v="Apr"/>
    <s v="2012-04"/>
    <n v="2016"/>
    <s v="Production       "/>
  </r>
  <r>
    <s v="Medeiros, Jennifer"/>
    <n v="10068"/>
    <n v="0"/>
    <n v="0"/>
    <n v="0"/>
    <n v="1"/>
    <n v="5"/>
    <n v="3"/>
    <n v="0"/>
    <n v="55688"/>
    <n v="0"/>
    <n v="19"/>
    <s v="Production Technician I"/>
    <s v="MA"/>
    <n v="2346"/>
    <d v="1976-09-22T00:00:00"/>
    <s v="F"/>
    <s v="Single"/>
    <s v="US Citizen"/>
    <s v="No"/>
    <s v="White"/>
    <d v="2015-03-30T00:00:00"/>
    <m/>
    <s v="N/A-StillEmployed"/>
    <s v="Active"/>
    <x v="2"/>
    <s v="Michael Albert"/>
    <n v="22"/>
    <s v="CareerBuilder"/>
    <s v="Fully Meets"/>
    <n v="5"/>
    <n v="4"/>
    <n v="0"/>
    <s v="1/21/2019"/>
    <n v="0"/>
    <n v="10"/>
    <s v="Normal"/>
    <s v="low Outlier"/>
    <n v="49"/>
    <n v="10"/>
    <n v="10"/>
    <s v="10+ Years"/>
    <s v="46-55"/>
    <s v="Mid (40-70K)"/>
    <n v="1"/>
    <x v="1"/>
    <n v="3"/>
    <s v="Q1"/>
    <s v="Mar"/>
    <s v="2015-03"/>
    <s v="N/A"/>
    <s v="Production       "/>
  </r>
  <r>
    <s v="Miller, Brannon"/>
    <n v="10116"/>
    <n v="0"/>
    <n v="0"/>
    <n v="1"/>
    <n v="1"/>
    <n v="5"/>
    <n v="3"/>
    <n v="0"/>
    <n v="83667"/>
    <n v="0"/>
    <n v="18"/>
    <s v="Production Manager"/>
    <s v="MA"/>
    <n v="2045"/>
    <d v="1981-08-10T00:00:00"/>
    <s v="M "/>
    <s v="Single"/>
    <s v="US Citizen"/>
    <s v="Yes"/>
    <s v="Hispanic"/>
    <d v="2012-08-16T00:00:00"/>
    <m/>
    <s v="N/A-StillEmployed"/>
    <s v="Active"/>
    <x v="2"/>
    <s v="Janet King"/>
    <n v="2"/>
    <s v="Indeed"/>
    <s v="Fully Meets"/>
    <n v="4.37"/>
    <n v="3"/>
    <n v="0"/>
    <s v="1/14/2019"/>
    <n v="0"/>
    <n v="2"/>
    <s v="Normal"/>
    <s v="low Outlier"/>
    <n v="44"/>
    <n v="13"/>
    <n v="13"/>
    <s v="10+ Years"/>
    <s v="36-45"/>
    <s v="Senior (70-100K)"/>
    <n v="1"/>
    <x v="3"/>
    <n v="8"/>
    <s v="Q3"/>
    <s v="Aug"/>
    <s v="2012-08"/>
    <s v="N/A"/>
    <s v="Production       "/>
  </r>
  <r>
    <s v="Miller, Ned"/>
    <n v="10298"/>
    <n v="0"/>
    <n v="0"/>
    <n v="1"/>
    <n v="5"/>
    <n v="5"/>
    <n v="1"/>
    <n v="0"/>
    <n v="55800"/>
    <n v="1"/>
    <n v="20"/>
    <s v="Production Technician II"/>
    <s v="MA"/>
    <n v="2472"/>
    <d v="1985-06-29T00:00:00"/>
    <s v="M "/>
    <s v="Single"/>
    <s v="US Citizen"/>
    <s v="No"/>
    <s v="White"/>
    <d v="2011-08-15T00:00:00"/>
    <d v="2014-09-04T00:00:00"/>
    <s v="unhappy"/>
    <s v="Voluntarily Terminated"/>
    <x v="2"/>
    <s v="Brannon Miller"/>
    <n v="12"/>
    <s v="LinkedIn"/>
    <s v="PIP"/>
    <n v="3"/>
    <n v="2"/>
    <n v="0"/>
    <s v="1/14/2013"/>
    <n v="6"/>
    <n v="6"/>
    <s v="Normal"/>
    <s v="low Outlier"/>
    <n v="40"/>
    <n v="14"/>
    <n v="3"/>
    <s v="10+ Years"/>
    <s v="36-45"/>
    <s v="Mid (40-70K)"/>
    <n v="0"/>
    <x v="0"/>
    <n v="8"/>
    <s v="Q3"/>
    <s v="Aug"/>
    <s v="2011-08"/>
    <n v="2014"/>
    <s v="Production       "/>
  </r>
  <r>
    <s v="Monkfish, Erasumus"/>
    <n v="10213"/>
    <n v="1"/>
    <n v="1"/>
    <n v="1"/>
    <n v="1"/>
    <n v="5"/>
    <n v="3"/>
    <n v="0"/>
    <n v="58207"/>
    <n v="0"/>
    <n v="20"/>
    <s v="Production Technician II"/>
    <s v="MA"/>
    <n v="1450"/>
    <d v="1992-08-17T00:00:00"/>
    <s v="M "/>
    <s v="Married"/>
    <s v="US Citizen"/>
    <s v="No"/>
    <s v="White"/>
    <d v="2011-11-07T00:00:00"/>
    <m/>
    <s v="N/A-StillEmployed"/>
    <s v="Active"/>
    <x v="2"/>
    <s v="David Stanley"/>
    <n v="14"/>
    <s v="LinkedIn"/>
    <s v="Fully Meets"/>
    <n v="3.7"/>
    <n v="3"/>
    <n v="0"/>
    <s v="1/8/2019"/>
    <n v="0"/>
    <n v="14"/>
    <s v="Normal"/>
    <s v="low Outlier"/>
    <n v="33"/>
    <n v="14"/>
    <n v="14"/>
    <s v="10+ Years"/>
    <s v="26-35"/>
    <s v="Mid (40-70K)"/>
    <n v="1"/>
    <x v="0"/>
    <n v="11"/>
    <s v="Q4"/>
    <s v="Nov"/>
    <s v="2011-11"/>
    <s v="N/A"/>
    <s v="Production       "/>
  </r>
  <r>
    <s v="Monroe, Peter"/>
    <n v="10288"/>
    <n v="1"/>
    <n v="1"/>
    <n v="1"/>
    <n v="1"/>
    <n v="3"/>
    <n v="2"/>
    <n v="1"/>
    <n v="157000"/>
    <n v="0"/>
    <n v="13"/>
    <s v="IT Manager - Infra"/>
    <s v="MA"/>
    <n v="2134"/>
    <d v="1986-10-05T00:00:00"/>
    <s v="M "/>
    <s v="Married"/>
    <s v="Eligible NonCitizen"/>
    <s v="Yes"/>
    <s v="Black or African American"/>
    <d v="2012-02-15T00:00:00"/>
    <m/>
    <s v="N/A-StillEmployed"/>
    <s v="Active"/>
    <x v="1"/>
    <s v="Jennifer Zamora"/>
    <n v="5"/>
    <s v="Diversity Job Fair"/>
    <s v="Needs Improvement"/>
    <n v="2.39"/>
    <n v="3"/>
    <n v="6"/>
    <s v="2/22/2019"/>
    <n v="4"/>
    <n v="13"/>
    <s v=" high Outlier"/>
    <s v="low Outlier"/>
    <n v="39"/>
    <n v="14"/>
    <n v="14"/>
    <s v="10+ Years"/>
    <s v="36-45"/>
    <s v="Executive (100K+)"/>
    <n v="1"/>
    <x v="3"/>
    <n v="2"/>
    <s v="Q1"/>
    <s v="Feb"/>
    <s v="2012-02"/>
    <s v="N/A"/>
    <s v="Production       "/>
  </r>
  <r>
    <s v="Monterro, Luisa"/>
    <n v="10025"/>
    <n v="0"/>
    <n v="0"/>
    <n v="0"/>
    <n v="1"/>
    <n v="5"/>
    <n v="4"/>
    <n v="0"/>
    <n v="72460"/>
    <n v="0"/>
    <n v="20"/>
    <s v="Production Technician II"/>
    <s v="MA"/>
    <n v="2126"/>
    <d v="1970-04-24T00:00:00"/>
    <s v="F"/>
    <s v="Single"/>
    <s v="US Citizen"/>
    <s v="No"/>
    <s v="Black or African American"/>
    <d v="2013-05-13T00:00:00"/>
    <m/>
    <s v="N/A-StillEmployed"/>
    <s v="Active"/>
    <x v="2"/>
    <s v="Kissy Sullivan"/>
    <n v="20"/>
    <s v="Indeed"/>
    <s v="Exceeds"/>
    <n v="4.7"/>
    <n v="3"/>
    <n v="0"/>
    <s v="1/14/2019"/>
    <n v="0"/>
    <n v="1"/>
    <s v="Normal"/>
    <s v="low Outlier"/>
    <n v="55"/>
    <n v="12"/>
    <n v="12"/>
    <s v="10+ Years"/>
    <s v="46-55"/>
    <s v="Senior (70-100K)"/>
    <n v="1"/>
    <x v="5"/>
    <n v="5"/>
    <s v="Q2"/>
    <s v="May"/>
    <s v="2013-05"/>
    <s v="N/A"/>
    <s v="Production       "/>
  </r>
  <r>
    <s v="Moran, Patrick"/>
    <n v="10223"/>
    <n v="0"/>
    <n v="0"/>
    <n v="1"/>
    <n v="3"/>
    <n v="5"/>
    <n v="3"/>
    <n v="1"/>
    <n v="72106"/>
    <n v="0"/>
    <n v="20"/>
    <s v="Production Technician II"/>
    <s v="MA"/>
    <n v="2127"/>
    <d v="1976-12-03T00:00:00"/>
    <s v="M "/>
    <s v="Single"/>
    <s v="US Citizen"/>
    <s v="No"/>
    <s v="Black or African American"/>
    <d v="2012-01-09T00:00:00"/>
    <m/>
    <s v="N/A-StillEmployed"/>
    <s v="Active"/>
    <x v="2"/>
    <s v="Kelley Spirea"/>
    <n v="18"/>
    <s v="Diversity Job Fair"/>
    <s v="Fully Meets"/>
    <n v="4.0999999999999996"/>
    <n v="4"/>
    <n v="0"/>
    <s v="1/31/2019"/>
    <n v="0"/>
    <n v="12"/>
    <s v="Normal"/>
    <s v="low Outlier"/>
    <n v="49"/>
    <n v="14"/>
    <n v="14"/>
    <s v="10+ Years"/>
    <s v="46-55"/>
    <s v="Senior (70-100K)"/>
    <n v="1"/>
    <x v="3"/>
    <n v="1"/>
    <s v="Q1"/>
    <s v="Jan"/>
    <s v="2012-01"/>
    <s v="N/A"/>
    <s v="Production       "/>
  </r>
  <r>
    <s v="Morway, Tanya"/>
    <n v="10151"/>
    <n v="1"/>
    <n v="1"/>
    <n v="0"/>
    <n v="1"/>
    <n v="3"/>
    <n v="3"/>
    <n v="0"/>
    <n v="52599"/>
    <n v="0"/>
    <n v="15"/>
    <s v="Network Engineer"/>
    <s v="MA"/>
    <n v="2048"/>
    <d v="1979-04-04T00:00:00"/>
    <s v="F"/>
    <s v="Married"/>
    <s v="US Citizen"/>
    <s v="No"/>
    <s v="White"/>
    <d v="2015-02-16T00:00:00"/>
    <m/>
    <s v="N/A-StillEmployed"/>
    <s v="Active"/>
    <x v="1"/>
    <s v="Peter Monroe"/>
    <n v="7"/>
    <s v="CareerBuilder"/>
    <s v="Fully Meets"/>
    <n v="3.81"/>
    <n v="3"/>
    <n v="6"/>
    <s v="2/11/2019"/>
    <n v="0"/>
    <n v="6"/>
    <s v="Normal"/>
    <s v="low Outlier"/>
    <n v="46"/>
    <n v="11"/>
    <n v="11"/>
    <s v="10+ Years"/>
    <s v="46-55"/>
    <s v="Mid (40-70K)"/>
    <n v="1"/>
    <x v="1"/>
    <n v="2"/>
    <s v="Q1"/>
    <s v="Feb"/>
    <s v="2015-02"/>
    <s v="N/A"/>
    <s v="Production       "/>
  </r>
  <r>
    <s v="Motlagh,  Dawn"/>
    <n v="10254"/>
    <n v="0"/>
    <n v="2"/>
    <n v="0"/>
    <n v="1"/>
    <n v="5"/>
    <n v="3"/>
    <n v="0"/>
    <n v="63430"/>
    <n v="0"/>
    <n v="19"/>
    <s v="Production Technician I"/>
    <s v="MA"/>
    <n v="2453"/>
    <d v="1984-07-07T00:00:00"/>
    <s v="F"/>
    <s v="Divorced"/>
    <s v="US Citizen"/>
    <s v="No"/>
    <s v="White"/>
    <d v="2013-04-01T00:00:00"/>
    <m/>
    <s v="N/A-StillEmployed"/>
    <s v="Active"/>
    <x v="2"/>
    <s v="Elijiah Gray"/>
    <n v="16"/>
    <s v="LinkedIn"/>
    <s v="Fully Meets"/>
    <n v="4.4000000000000004"/>
    <n v="4"/>
    <n v="0"/>
    <s v="1/17/2019"/>
    <n v="0"/>
    <n v="18"/>
    <s v="Normal"/>
    <s v="low Outlier"/>
    <n v="41"/>
    <n v="12"/>
    <n v="12"/>
    <s v="10+ Years"/>
    <s v="36-45"/>
    <s v="Mid (40-70K)"/>
    <n v="1"/>
    <x v="5"/>
    <n v="4"/>
    <s v="Q2"/>
    <s v="Apr"/>
    <s v="2013-04"/>
    <s v="N/A"/>
    <s v="Production       "/>
  </r>
  <r>
    <s v="Moumanil, Maliki "/>
    <n v="10120"/>
    <n v="0"/>
    <n v="3"/>
    <n v="1"/>
    <n v="1"/>
    <n v="5"/>
    <n v="3"/>
    <n v="0"/>
    <n v="74417"/>
    <n v="0"/>
    <n v="20"/>
    <s v="Production Technician II"/>
    <s v="MA"/>
    <n v="1460"/>
    <d v="1974-12-01T00:00:00"/>
    <s v="M "/>
    <s v="Separated"/>
    <s v="US Citizen"/>
    <s v="No"/>
    <s v="Black or African American"/>
    <d v="2013-05-13T00:00:00"/>
    <m/>
    <s v="N/A-StillEmployed"/>
    <s v="Active"/>
    <x v="2"/>
    <s v="Michael Albert"/>
    <n v="22"/>
    <s v="LinkedIn"/>
    <s v="Fully Meets"/>
    <n v="4.29"/>
    <n v="5"/>
    <n v="0"/>
    <s v="1/28/2019"/>
    <n v="0"/>
    <n v="11"/>
    <s v="Normal"/>
    <s v="low Outlier"/>
    <n v="51"/>
    <n v="12"/>
    <n v="12"/>
    <s v="10+ Years"/>
    <s v="46-55"/>
    <s v="Senior (70-100K)"/>
    <n v="1"/>
    <x v="5"/>
    <n v="5"/>
    <s v="Q2"/>
    <s v="May"/>
    <s v="2013-05"/>
    <s v="N/A"/>
    <s v="Production       "/>
  </r>
  <r>
    <s v="Myers, Michael"/>
    <n v="10216"/>
    <n v="0"/>
    <n v="0"/>
    <n v="1"/>
    <n v="1"/>
    <n v="5"/>
    <n v="3"/>
    <n v="0"/>
    <n v="57575"/>
    <n v="0"/>
    <n v="19"/>
    <s v="Production Technician I"/>
    <s v="MA"/>
    <n v="1550"/>
    <d v="1980-04-18T00:00:00"/>
    <s v="M "/>
    <s v="Single"/>
    <s v="US Citizen"/>
    <s v="No"/>
    <s v="Asian"/>
    <d v="2013-07-08T00:00:00"/>
    <m/>
    <s v="N/A-StillEmployed"/>
    <s v="Active"/>
    <x v="2"/>
    <s v="Kissy Sullivan"/>
    <n v="20"/>
    <s v="LinkedIn"/>
    <s v="Fully Meets"/>
    <n v="4.0999999999999996"/>
    <n v="4"/>
    <n v="0"/>
    <s v="1/22/2019"/>
    <n v="0"/>
    <n v="13"/>
    <s v="Normal"/>
    <s v="low Outlier"/>
    <n v="45"/>
    <n v="12"/>
    <n v="12"/>
    <s v="10+ Years"/>
    <s v="36-45"/>
    <s v="Mid (40-70K)"/>
    <n v="1"/>
    <x v="5"/>
    <n v="7"/>
    <s v="Q3"/>
    <s v="Jul"/>
    <s v="2013-07"/>
    <s v="N/A"/>
    <s v="Production       "/>
  </r>
  <r>
    <s v="Navathe, Kurt"/>
    <n v="10079"/>
    <n v="0"/>
    <n v="0"/>
    <n v="1"/>
    <n v="1"/>
    <n v="3"/>
    <n v="3"/>
    <n v="0"/>
    <n v="87921"/>
    <n v="0"/>
    <n v="22"/>
    <s v="Senior BI Developer"/>
    <s v="MA"/>
    <n v="2056"/>
    <d v="1970-04-25T00:00:00"/>
    <s v="M "/>
    <s v="Single"/>
    <s v="US Citizen"/>
    <s v="No"/>
    <s v="Asian"/>
    <d v="2017-02-10T00:00:00"/>
    <m/>
    <s v="N/A-StillEmployed"/>
    <s v="Active"/>
    <x v="1"/>
    <s v="Brian Champaigne"/>
    <n v="13"/>
    <s v="Indeed"/>
    <s v="Fully Meets"/>
    <n v="5"/>
    <n v="3"/>
    <n v="6"/>
    <s v="2/25/2019"/>
    <n v="0"/>
    <n v="17"/>
    <s v="Normal"/>
    <s v="low Outlier"/>
    <n v="55"/>
    <n v="9"/>
    <n v="9"/>
    <s v="5-10 Years"/>
    <s v="46-55"/>
    <s v="Senior (70-100K)"/>
    <n v="1"/>
    <x v="10"/>
    <n v="2"/>
    <s v="Q1"/>
    <s v="Feb"/>
    <s v="2017-02"/>
    <s v="N/A"/>
    <s v="Production       "/>
  </r>
  <r>
    <s v="Ndzi, Colombui"/>
    <n v="10215"/>
    <n v="0"/>
    <n v="0"/>
    <n v="1"/>
    <n v="5"/>
    <n v="5"/>
    <n v="3"/>
    <n v="1"/>
    <n v="50470"/>
    <n v="1"/>
    <n v="19"/>
    <s v="Production Technician I"/>
    <s v="MA"/>
    <n v="2110"/>
    <d v="1989-05-02T00:00:00"/>
    <s v="M "/>
    <s v="Single"/>
    <s v="US Citizen"/>
    <s v="No"/>
    <s v="Black or African American"/>
    <d v="2011-09-26T00:00:00"/>
    <d v="2014-04-04T00:00:00"/>
    <s v="return to school"/>
    <s v="Voluntarily Terminated"/>
    <x v="2"/>
    <s v="Webster Butler"/>
    <n v="39"/>
    <s v="Diversity Job Fair"/>
    <s v="Fully Meets"/>
    <n v="4.3"/>
    <n v="3"/>
    <n v="0"/>
    <s v="3/2/2013"/>
    <n v="0"/>
    <n v="19"/>
    <s v="Normal"/>
    <s v="low Outlier"/>
    <n v="36"/>
    <n v="14"/>
    <n v="2"/>
    <s v="10+ Years"/>
    <s v="36-45"/>
    <s v="Mid (40-70K)"/>
    <n v="0"/>
    <x v="0"/>
    <n v="9"/>
    <s v="Q3"/>
    <s v="Sep"/>
    <s v="2011-09"/>
    <n v="2014"/>
    <s v="Production       "/>
  </r>
  <r>
    <s v="Ndzi, Horia"/>
    <n v="10185"/>
    <n v="1"/>
    <n v="1"/>
    <n v="1"/>
    <n v="5"/>
    <n v="5"/>
    <n v="3"/>
    <n v="0"/>
    <n v="46664"/>
    <n v="1"/>
    <n v="19"/>
    <s v="Production Technician I"/>
    <s v="MA"/>
    <n v="2421"/>
    <d v="1983-03-28T00:00:00"/>
    <s v="M "/>
    <s v="Married"/>
    <s v="US Citizen"/>
    <s v="No"/>
    <s v="White"/>
    <d v="2013-04-01T00:00:00"/>
    <d v="2016-05-25T00:00:00"/>
    <s v="more money"/>
    <s v="Voluntarily Terminated"/>
    <x v="2"/>
    <s v="Amy Dunn"/>
    <n v="11"/>
    <s v="Employee Referral"/>
    <s v="Fully Meets"/>
    <n v="3.18"/>
    <n v="3"/>
    <n v="0"/>
    <s v="3/6/2016"/>
    <n v="0"/>
    <n v="10"/>
    <s v="Normal"/>
    <s v="low Outlier"/>
    <n v="42"/>
    <n v="12"/>
    <n v="3"/>
    <s v="10+ Years"/>
    <s v="36-45"/>
    <s v="Mid (40-70K)"/>
    <n v="0"/>
    <x v="5"/>
    <n v="4"/>
    <s v="Q2"/>
    <s v="Apr"/>
    <s v="2013-04"/>
    <n v="2016"/>
    <s v="Production       "/>
  </r>
  <r>
    <s v="Newman, Richard "/>
    <n v="10063"/>
    <n v="1"/>
    <n v="1"/>
    <n v="1"/>
    <n v="3"/>
    <n v="5"/>
    <n v="3"/>
    <n v="0"/>
    <n v="48495"/>
    <n v="0"/>
    <n v="19"/>
    <s v="Production Technician I"/>
    <s v="MA"/>
    <n v="2136"/>
    <d v="1977-04-08T00:00:00"/>
    <s v="M "/>
    <s v="Married"/>
    <s v="US Citizen"/>
    <s v="No"/>
    <s v="White"/>
    <d v="2014-05-12T00:00:00"/>
    <m/>
    <s v="N/A-StillEmployed"/>
    <s v="Active"/>
    <x v="2"/>
    <s v="Ketsia Liebig"/>
    <n v="19"/>
    <s v="LinkedIn"/>
    <s v="Fully Meets"/>
    <n v="5"/>
    <n v="5"/>
    <n v="0"/>
    <s v="2/18/2019"/>
    <n v="0"/>
    <n v="11"/>
    <s v="Normal"/>
    <s v="low Outlier"/>
    <n v="48"/>
    <n v="11"/>
    <n v="11"/>
    <s v="10+ Years"/>
    <s v="46-55"/>
    <s v="Mid (40-70K)"/>
    <n v="1"/>
    <x v="4"/>
    <n v="5"/>
    <s v="Q2"/>
    <s v="May"/>
    <s v="2014-05"/>
    <s v="N/A"/>
    <s v="Production       "/>
  </r>
  <r>
    <s v="Ngodup, Shari "/>
    <n v="10037"/>
    <n v="0"/>
    <n v="3"/>
    <n v="0"/>
    <n v="1"/>
    <n v="5"/>
    <n v="4"/>
    <n v="1"/>
    <n v="52984"/>
    <n v="0"/>
    <n v="19"/>
    <s v="Production Technician I"/>
    <s v="MA"/>
    <n v="1810"/>
    <d v="1967-06-03T00:00:00"/>
    <s v="F"/>
    <s v="Separated"/>
    <s v="US Citizen"/>
    <s v="No"/>
    <s v="Black or African American"/>
    <d v="2013-04-01T00:00:00"/>
    <m/>
    <s v="N/A-StillEmployed"/>
    <s v="Active"/>
    <x v="2"/>
    <s v="Brannon Miller"/>
    <n v="12"/>
    <s v="Diversity Job Fair"/>
    <s v="Exceeds"/>
    <n v="4"/>
    <n v="3"/>
    <n v="0"/>
    <s v="2/13/2019"/>
    <n v="0"/>
    <n v="12"/>
    <s v="Normal"/>
    <s v="low Outlier"/>
    <n v="58"/>
    <n v="12"/>
    <n v="12"/>
    <s v="10+ Years"/>
    <s v="55+"/>
    <s v="Mid (40-70K)"/>
    <n v="1"/>
    <x v="5"/>
    <n v="4"/>
    <s v="Q2"/>
    <s v="Apr"/>
    <s v="2013-04"/>
    <s v="N/A"/>
    <s v="Production       "/>
  </r>
  <r>
    <s v="Nguyen, Dheepa"/>
    <n v="10042"/>
    <n v="0"/>
    <n v="0"/>
    <n v="0"/>
    <n v="1"/>
    <n v="6"/>
    <n v="3"/>
    <n v="0"/>
    <n v="63695"/>
    <n v="0"/>
    <n v="3"/>
    <s v="Area Sales Manager"/>
    <s v="GA"/>
    <n v="30428"/>
    <d v="1989-03-31T00:00:00"/>
    <s v="F"/>
    <s v="Single"/>
    <s v="US Citizen"/>
    <s v="No"/>
    <s v="Two or more races"/>
    <d v="2013-07-08T00:00:00"/>
    <m/>
    <s v="N/A-StillEmployed"/>
    <s v="Active"/>
    <x v="5"/>
    <s v="Lynn Daneault"/>
    <n v="21"/>
    <s v="Indeed"/>
    <s v="Fully Meets"/>
    <n v="5"/>
    <n v="5"/>
    <n v="0"/>
    <s v="1/25/2019"/>
    <n v="0"/>
    <n v="2"/>
    <s v="Normal"/>
    <s v="low Outlier"/>
    <n v="36"/>
    <n v="12"/>
    <n v="12"/>
    <s v="10+ Years"/>
    <s v="36-45"/>
    <s v="Mid (40-70K)"/>
    <n v="1"/>
    <x v="5"/>
    <n v="7"/>
    <s v="Q3"/>
    <s v="Jul"/>
    <s v="2013-07"/>
    <s v="N/A"/>
    <s v="Production       "/>
  </r>
  <r>
    <s v="Nguyen, Lei-Ming"/>
    <n v="10206"/>
    <n v="0"/>
    <n v="0"/>
    <n v="0"/>
    <n v="1"/>
    <n v="5"/>
    <n v="3"/>
    <n v="0"/>
    <n v="62061"/>
    <n v="0"/>
    <n v="19"/>
    <s v="Production Technician I"/>
    <s v="MA"/>
    <n v="2132"/>
    <d v="1984-07-07T00:00:00"/>
    <s v="F"/>
    <s v="Single"/>
    <s v="US Citizen"/>
    <s v="No"/>
    <s v="White"/>
    <d v="2013-07-08T00:00:00"/>
    <m/>
    <s v="N/A-StillEmployed"/>
    <s v="Active"/>
    <x v="2"/>
    <s v="David Stanley"/>
    <n v="14"/>
    <s v="LinkedIn"/>
    <s v="Fully Meets"/>
    <n v="3.6"/>
    <n v="5"/>
    <n v="0"/>
    <s v="1/2/2019"/>
    <n v="0"/>
    <n v="4"/>
    <s v="Normal"/>
    <s v="low Outlier"/>
    <n v="41"/>
    <n v="12"/>
    <n v="12"/>
    <s v="10+ Years"/>
    <s v="36-45"/>
    <s v="Mid (40-70K)"/>
    <n v="1"/>
    <x v="5"/>
    <n v="7"/>
    <s v="Q3"/>
    <s v="Jul"/>
    <s v="2013-07"/>
    <s v="N/A"/>
    <s v="Production       "/>
  </r>
  <r>
    <s v="Nowlan, Kristie"/>
    <n v="10104"/>
    <n v="0"/>
    <n v="0"/>
    <n v="0"/>
    <n v="1"/>
    <n v="5"/>
    <n v="3"/>
    <n v="0"/>
    <n v="66738"/>
    <n v="0"/>
    <n v="20"/>
    <s v="Production Technician II"/>
    <s v="MA"/>
    <n v="1040"/>
    <d v="1985-11-23T00:00:00"/>
    <s v="F"/>
    <s v="Single"/>
    <s v="US Citizen"/>
    <s v="No"/>
    <s v="White"/>
    <d v="2014-11-10T00:00:00"/>
    <m/>
    <s v="N/A-StillEmployed"/>
    <s v="Active"/>
    <x v="2"/>
    <s v="Elijiah Gray"/>
    <n v="16"/>
    <s v="Indeed"/>
    <s v="Fully Meets"/>
    <n v="4.53"/>
    <n v="5"/>
    <n v="0"/>
    <s v="1/16/2019"/>
    <n v="0"/>
    <n v="5"/>
    <s v="Normal"/>
    <s v="low Outlier"/>
    <n v="40"/>
    <n v="11"/>
    <n v="11"/>
    <s v="10+ Years"/>
    <s v="36-45"/>
    <s v="Mid (40-70K)"/>
    <n v="1"/>
    <x v="4"/>
    <n v="11"/>
    <s v="Q4"/>
    <s v="Nov"/>
    <s v="2014-11"/>
    <s v="N/A"/>
    <s v="Production       "/>
  </r>
  <r>
    <s v="O'hare, Lynn"/>
    <n v="10303"/>
    <n v="0"/>
    <n v="0"/>
    <n v="0"/>
    <n v="4"/>
    <n v="5"/>
    <n v="1"/>
    <n v="0"/>
    <n v="52674"/>
    <n v="1"/>
    <n v="19"/>
    <s v="Production Technician I"/>
    <s v="MA"/>
    <n v="2152"/>
    <d v="1980-09-30T00:00:00"/>
    <s v="F"/>
    <s v="Single"/>
    <s v="US Citizen"/>
    <s v="No"/>
    <s v="Two or more races"/>
    <d v="2014-03-31T00:00:00"/>
    <d v="2018-05-01T00:00:00"/>
    <s v="performance"/>
    <s v="Terminated for Cause"/>
    <x v="2"/>
    <s v="Kissy Sullivan"/>
    <n v="20"/>
    <s v="LinkedIn"/>
    <s v="PIP"/>
    <n v="2.33"/>
    <n v="2"/>
    <n v="0"/>
    <s v="3/9/2018"/>
    <n v="6"/>
    <n v="3"/>
    <s v="Normal"/>
    <s v="low Outlier"/>
    <n v="45"/>
    <n v="11"/>
    <n v="4"/>
    <s v="10+ Years"/>
    <s v="36-45"/>
    <s v="Mid (40-70K)"/>
    <n v="0"/>
    <x v="4"/>
    <n v="3"/>
    <s v="Q1"/>
    <s v="Mar"/>
    <s v="2014-03"/>
    <n v="2018"/>
    <s v="Production       "/>
  </r>
  <r>
    <s v="Oliver, Brooke "/>
    <n v="10078"/>
    <n v="1"/>
    <n v="1"/>
    <n v="0"/>
    <n v="5"/>
    <n v="5"/>
    <n v="3"/>
    <n v="0"/>
    <n v="71966"/>
    <n v="1"/>
    <n v="20"/>
    <s v="Production Technician II"/>
    <s v="MA"/>
    <n v="2492"/>
    <d v="1952-02-11T00:00:00"/>
    <s v="F"/>
    <s v="Married"/>
    <s v="US Citizen"/>
    <s v="No"/>
    <s v="Asian"/>
    <d v="2012-05-14T00:00:00"/>
    <d v="2013-08-19T00:00:00"/>
    <s v="unhappy"/>
    <s v="Voluntarily Terminated"/>
    <x v="2"/>
    <s v="Webster Butler"/>
    <n v="39"/>
    <s v="LinkedIn"/>
    <s v="Fully Meets"/>
    <n v="5"/>
    <n v="3"/>
    <n v="0"/>
    <s v="7/2/2013"/>
    <n v="0"/>
    <n v="17"/>
    <s v="Normal"/>
    <s v="low Outlier"/>
    <n v="74"/>
    <n v="13"/>
    <n v="1"/>
    <s v="10+ Years"/>
    <s v="55+"/>
    <s v="Senior (70-100K)"/>
    <n v="0"/>
    <x v="3"/>
    <n v="5"/>
    <s v="Q2"/>
    <s v="May"/>
    <s v="2012-05"/>
    <n v="2013"/>
    <s v="Production       "/>
  </r>
  <r>
    <s v="Onque, Jasmine"/>
    <n v="10121"/>
    <n v="0"/>
    <n v="0"/>
    <n v="0"/>
    <n v="1"/>
    <n v="6"/>
    <n v="3"/>
    <n v="0"/>
    <n v="63051"/>
    <n v="0"/>
    <n v="3"/>
    <s v="Area Sales Manager"/>
    <s v="FL"/>
    <n v="33174"/>
    <d v="1990-05-11T00:00:00"/>
    <s v="F"/>
    <s v="Single"/>
    <s v="US Citizen"/>
    <s v="Yes"/>
    <s v="White"/>
    <d v="2013-09-30T00:00:00"/>
    <m/>
    <s v="N/A-StillEmployed"/>
    <s v="Active"/>
    <x v="5"/>
    <s v="Lynn Daneault"/>
    <n v="21"/>
    <s v="Indeed"/>
    <s v="Fully Meets"/>
    <n v="4.28"/>
    <n v="3"/>
    <n v="0"/>
    <s v="1/25/2019"/>
    <n v="0"/>
    <n v="1"/>
    <s v="Normal"/>
    <s v="low Outlier"/>
    <n v="35"/>
    <n v="12"/>
    <n v="12"/>
    <s v="10+ Years"/>
    <s v="26-35"/>
    <s v="Mid (40-70K)"/>
    <n v="1"/>
    <x v="5"/>
    <n v="9"/>
    <s v="Q3"/>
    <s v="Sep"/>
    <s v="2013-09"/>
    <s v="N/A"/>
    <s v="Production       "/>
  </r>
  <r>
    <s v="Osturnka, Adeel"/>
    <n v="10021"/>
    <n v="1"/>
    <n v="1"/>
    <n v="1"/>
    <n v="1"/>
    <n v="5"/>
    <n v="4"/>
    <n v="0"/>
    <n v="47414"/>
    <n v="0"/>
    <n v="19"/>
    <s v="Production Technician I"/>
    <s v="MA"/>
    <n v="2478"/>
    <d v="1976-12-11T00:00:00"/>
    <s v="M "/>
    <s v="Married"/>
    <s v="US Citizen"/>
    <s v="No"/>
    <s v="White"/>
    <d v="2013-09-30T00:00:00"/>
    <m/>
    <s v="N/A-StillEmployed"/>
    <s v="Active"/>
    <x v="2"/>
    <s v="Kelley Spirea"/>
    <n v="18"/>
    <s v="LinkedIn"/>
    <s v="Exceeds"/>
    <n v="5"/>
    <n v="3"/>
    <n v="0"/>
    <s v="2/7/2019"/>
    <n v="0"/>
    <n v="13"/>
    <s v="Normal"/>
    <s v="low Outlier"/>
    <n v="49"/>
    <n v="12"/>
    <n v="12"/>
    <s v="10+ Years"/>
    <s v="46-55"/>
    <s v="Mid (40-70K)"/>
    <n v="1"/>
    <x v="5"/>
    <n v="9"/>
    <s v="Q3"/>
    <s v="Sep"/>
    <s v="2013-09"/>
    <s v="N/A"/>
    <s v="Production       "/>
  </r>
  <r>
    <s v="Owad, Clinton"/>
    <n v="10281"/>
    <n v="0"/>
    <n v="0"/>
    <n v="1"/>
    <n v="1"/>
    <n v="5"/>
    <n v="2"/>
    <n v="0"/>
    <n v="53060"/>
    <n v="0"/>
    <n v="19"/>
    <s v="Production Technician I"/>
    <s v="MA"/>
    <n v="1760"/>
    <d v="1979-11-24T00:00:00"/>
    <s v="M "/>
    <s v="Single"/>
    <s v="US Citizen"/>
    <s v="No"/>
    <s v="Black or African American"/>
    <d v="2014-02-17T00:00:00"/>
    <m/>
    <s v="N/A-StillEmployed"/>
    <s v="Active"/>
    <x v="2"/>
    <s v="Michael Albert"/>
    <n v="22"/>
    <s v="LinkedIn"/>
    <s v="Needs Improvement"/>
    <n v="4.25"/>
    <n v="3"/>
    <n v="0"/>
    <s v="2/4/2019"/>
    <n v="4"/>
    <n v="6"/>
    <s v="Normal"/>
    <s v="low Outlier"/>
    <n v="46"/>
    <n v="11"/>
    <n v="11"/>
    <s v="10+ Years"/>
    <s v="46-55"/>
    <s v="Mid (40-70K)"/>
    <n v="1"/>
    <x v="4"/>
    <n v="2"/>
    <s v="Q1"/>
    <s v="Feb"/>
    <s v="2014-02"/>
    <s v="N/A"/>
    <s v="Production       "/>
  </r>
  <r>
    <s v="Ozark, Travis"/>
    <n v="10041"/>
    <n v="0"/>
    <n v="0"/>
    <n v="1"/>
    <n v="1"/>
    <n v="6"/>
    <n v="3"/>
    <n v="0"/>
    <n v="68829"/>
    <n v="0"/>
    <n v="3"/>
    <s v="Area Sales Manager"/>
    <s v="NC"/>
    <n v="27229"/>
    <d v="1982-05-19T00:00:00"/>
    <s v="M "/>
    <s v="Single"/>
    <s v="US Citizen"/>
    <s v="No"/>
    <s v="White"/>
    <d v="2015-01-05T00:00:00"/>
    <m/>
    <s v="N/A-StillEmployed"/>
    <s v="Active"/>
    <x v="5"/>
    <s v="John Smith"/>
    <n v="17"/>
    <s v="Website"/>
    <s v="Fully Meets"/>
    <n v="5"/>
    <n v="5"/>
    <n v="0"/>
    <s v="1/14/2019"/>
    <n v="0"/>
    <n v="18"/>
    <s v="Normal"/>
    <s v="low Outlier"/>
    <n v="43"/>
    <n v="11"/>
    <n v="11"/>
    <s v="10+ Years"/>
    <s v="36-45"/>
    <s v="Mid (40-70K)"/>
    <n v="1"/>
    <x v="1"/>
    <n v="1"/>
    <s v="Q1"/>
    <s v="Jan"/>
    <s v="2015-01"/>
    <s v="N/A"/>
    <s v="Production       "/>
  </r>
  <r>
    <s v="Panjwani, Nina"/>
    <n v="10148"/>
    <n v="1"/>
    <n v="1"/>
    <n v="0"/>
    <n v="5"/>
    <n v="5"/>
    <n v="3"/>
    <n v="0"/>
    <n v="63515"/>
    <n v="1"/>
    <n v="19"/>
    <s v="Production Technician I"/>
    <s v="MA"/>
    <n v="2351"/>
    <d v="1979-05-01T00:00:00"/>
    <s v="F"/>
    <s v="Married"/>
    <s v="US Citizen"/>
    <s v="No"/>
    <s v="White"/>
    <d v="2011-02-07T00:00:00"/>
    <d v="2014-01-12T00:00:00"/>
    <s v="Another position"/>
    <s v="Voluntarily Terminated"/>
    <x v="2"/>
    <s v="Elijiah Gray"/>
    <n v="16"/>
    <s v="Google Search"/>
    <s v="Fully Meets"/>
    <n v="3.89"/>
    <n v="4"/>
    <n v="0"/>
    <s v="3/4/2013"/>
    <n v="0"/>
    <n v="7"/>
    <s v="Normal"/>
    <s v="low Outlier"/>
    <n v="46"/>
    <n v="15"/>
    <n v="2"/>
    <s v="10+ Years"/>
    <s v="46-55"/>
    <s v="Mid (40-70K)"/>
    <n v="0"/>
    <x v="0"/>
    <n v="2"/>
    <s v="Q1"/>
    <s v="Feb"/>
    <s v="2011-02"/>
    <n v="2014"/>
    <s v="Production       "/>
  </r>
  <r>
    <s v="Patronick, Lucas"/>
    <n v="10005"/>
    <n v="0"/>
    <n v="0"/>
    <n v="1"/>
    <n v="5"/>
    <n v="4"/>
    <n v="4"/>
    <n v="1"/>
    <n v="108987"/>
    <n v="1"/>
    <n v="24"/>
    <s v="Software Engineer"/>
    <s v="MA"/>
    <n v="1844"/>
    <d v="1979-02-20T00:00:00"/>
    <s v="M "/>
    <s v="Single"/>
    <s v="US Citizen"/>
    <s v="No"/>
    <s v="Black or African American"/>
    <d v="2011-11-07T00:00:00"/>
    <d v="2015-09-07T00:00:00"/>
    <s v="Another position"/>
    <s v="Voluntarily Terminated"/>
    <x v="3"/>
    <s v="Alex Sweetwater"/>
    <n v="10"/>
    <s v="Diversity Job Fair"/>
    <s v="Exceeds"/>
    <n v="5"/>
    <n v="5"/>
    <n v="3"/>
    <s v="8/16/2015"/>
    <n v="0"/>
    <n v="13"/>
    <s v="Normal"/>
    <s v="low Outlier"/>
    <n v="46"/>
    <n v="14"/>
    <n v="3"/>
    <s v="10+ Years"/>
    <s v="46-55"/>
    <s v="Executive (100K+)"/>
    <n v="0"/>
    <x v="0"/>
    <n v="11"/>
    <s v="Q4"/>
    <s v="Nov"/>
    <s v="2011-11"/>
    <n v="2015"/>
    <s v="Production       "/>
  </r>
  <r>
    <s v="Pearson, Randall"/>
    <n v="10259"/>
    <n v="1"/>
    <n v="1"/>
    <n v="1"/>
    <n v="5"/>
    <n v="3"/>
    <n v="3"/>
    <n v="0"/>
    <n v="93093"/>
    <n v="1"/>
    <n v="9"/>
    <s v="Data Analyst"/>
    <s v="MA"/>
    <n v="2747"/>
    <d v="1984-09-05T00:00:00"/>
    <s v="M "/>
    <s v="Married"/>
    <s v="US Citizen"/>
    <s v="No"/>
    <s v="White"/>
    <d v="2014-12-01T00:00:00"/>
    <d v="2016-05-01T00:00:00"/>
    <s v="performance"/>
    <s v="Voluntarily Terminated"/>
    <x v="1"/>
    <s v="Simon Roup"/>
    <n v="4"/>
    <s v="Employee Referral"/>
    <s v="Fully Meets"/>
    <n v="4.7"/>
    <n v="4"/>
    <n v="5"/>
    <s v="1/16/2016"/>
    <n v="0"/>
    <n v="19"/>
    <s v="Normal"/>
    <s v="low Outlier"/>
    <n v="41"/>
    <n v="11"/>
    <n v="1"/>
    <s v="10+ Years"/>
    <s v="36-45"/>
    <s v="Senior (70-100K)"/>
    <n v="0"/>
    <x v="4"/>
    <n v="12"/>
    <s v="Q4"/>
    <s v="Dec"/>
    <s v="2014-12"/>
    <n v="2016"/>
    <s v="Production       "/>
  </r>
  <r>
    <s v="Smith, Martin"/>
    <n v="10286"/>
    <n v="0"/>
    <n v="0"/>
    <n v="1"/>
    <n v="5"/>
    <n v="5"/>
    <n v="2"/>
    <n v="0"/>
    <n v="53564"/>
    <n v="1"/>
    <n v="19"/>
    <s v="Production Technician I"/>
    <s v="MA"/>
    <n v="2458"/>
    <d v="1988-03-17T00:00:00"/>
    <s v="M "/>
    <s v="Single"/>
    <s v="US Citizen"/>
    <s v="No"/>
    <s v="Black or African American"/>
    <d v="2011-01-10T00:00:00"/>
    <d v="2017-12-28T00:00:00"/>
    <s v="career change"/>
    <s v="Voluntarily Terminated"/>
    <x v="2"/>
    <s v="Webster Butler"/>
    <n v="39"/>
    <s v="Google Search"/>
    <s v="Needs Improvement"/>
    <n v="3.54"/>
    <n v="5"/>
    <n v="0"/>
    <s v="4/6/2017"/>
    <n v="4"/>
    <n v="15"/>
    <s v="Normal"/>
    <s v="low Outlier"/>
    <n v="37"/>
    <n v="15"/>
    <n v="6"/>
    <s v="10+ Years"/>
    <s v="36-45"/>
    <s v="Mid (40-70K)"/>
    <n v="0"/>
    <x v="0"/>
    <n v="1"/>
    <s v="Q1"/>
    <s v="Jan"/>
    <s v="2011-01"/>
    <n v="2017"/>
    <s v="Production       "/>
  </r>
  <r>
    <s v="Pelletier, Ermine"/>
    <n v="10297"/>
    <n v="1"/>
    <n v="1"/>
    <n v="0"/>
    <n v="5"/>
    <n v="5"/>
    <n v="2"/>
    <n v="0"/>
    <n v="60270"/>
    <n v="1"/>
    <n v="20"/>
    <s v="Production Technician II"/>
    <s v="MA"/>
    <n v="2472"/>
    <d v="1989-07-18T00:00:00"/>
    <s v="F"/>
    <s v="Married"/>
    <s v="US Citizen"/>
    <s v="No"/>
    <s v="Asian"/>
    <d v="2011-07-05T00:00:00"/>
    <d v="2015-09-15T00:00:00"/>
    <s v="unhappy"/>
    <s v="Voluntarily Terminated"/>
    <x v="2"/>
    <s v="Amy Dunn"/>
    <n v="11"/>
    <s v="CareerBuilder"/>
    <s v="Needs Improvement"/>
    <n v="2.4"/>
    <n v="5"/>
    <n v="0"/>
    <s v="2/6/2015"/>
    <n v="5"/>
    <n v="2"/>
    <s v="Normal"/>
    <s v="low Outlier"/>
    <n v="36"/>
    <n v="14"/>
    <n v="4"/>
    <s v="10+ Years"/>
    <s v="36-45"/>
    <s v="Mid (40-70K)"/>
    <n v="0"/>
    <x v="0"/>
    <n v="7"/>
    <s v="Q3"/>
    <s v="Jul"/>
    <s v="2011-07"/>
    <n v="2015"/>
    <s v="Production       "/>
  </r>
  <r>
    <s v="Perry, Shakira"/>
    <n v="10171"/>
    <n v="0"/>
    <n v="0"/>
    <n v="0"/>
    <n v="5"/>
    <n v="5"/>
    <n v="3"/>
    <n v="0"/>
    <n v="45998"/>
    <n v="1"/>
    <n v="19"/>
    <s v="Production Technician I"/>
    <s v="MA"/>
    <n v="2176"/>
    <d v="1986-07-20T00:00:00"/>
    <s v="F"/>
    <s v="Single"/>
    <s v="US Citizen"/>
    <s v="No"/>
    <s v="White"/>
    <d v="2011-05-16T00:00:00"/>
    <d v="2015-10-25T00:00:00"/>
    <s v="medical issues"/>
    <s v="Voluntarily Terminated"/>
    <x v="2"/>
    <s v="Amy Dunn"/>
    <n v="11"/>
    <s v="LinkedIn"/>
    <s v="Fully Meets"/>
    <n v="3.45"/>
    <n v="4"/>
    <n v="0"/>
    <s v="5/13/2014"/>
    <n v="0"/>
    <n v="5"/>
    <s v="Normal"/>
    <s v="low Outlier"/>
    <n v="39"/>
    <n v="14"/>
    <n v="4"/>
    <s v="10+ Years"/>
    <s v="36-45"/>
    <s v="Mid (40-70K)"/>
    <n v="0"/>
    <x v="0"/>
    <n v="5"/>
    <s v="Q2"/>
    <s v="May"/>
    <s v="2011-05"/>
    <n v="2015"/>
    <s v="Production       "/>
  </r>
  <r>
    <s v="Peters, Lauren"/>
    <n v="10032"/>
    <n v="1"/>
    <n v="1"/>
    <n v="0"/>
    <n v="5"/>
    <n v="5"/>
    <n v="4"/>
    <n v="0"/>
    <n v="57954"/>
    <n v="1"/>
    <n v="20"/>
    <s v="Production Technician II"/>
    <s v="MA"/>
    <n v="1886"/>
    <d v="1986-08-17T00:00:00"/>
    <s v="F"/>
    <s v="Married"/>
    <s v="US Citizen"/>
    <s v="No"/>
    <s v="White"/>
    <d v="2011-05-16T00:00:00"/>
    <d v="2013-02-04T00:00:00"/>
    <s v="more money"/>
    <s v="Voluntarily Terminated"/>
    <x v="2"/>
    <s v="Ketsia Liebig"/>
    <n v="19"/>
    <s v="Indeed"/>
    <s v="Exceeds"/>
    <n v="4.2"/>
    <n v="5"/>
    <n v="0"/>
    <s v="1/10/2013"/>
    <n v="0"/>
    <n v="12"/>
    <s v="Normal"/>
    <s v="low Outlier"/>
    <n v="39"/>
    <n v="14"/>
    <n v="1"/>
    <s v="10+ Years"/>
    <s v="36-45"/>
    <s v="Mid (40-70K)"/>
    <n v="0"/>
    <x v="0"/>
    <n v="5"/>
    <s v="Q2"/>
    <s v="May"/>
    <s v="2011-05"/>
    <n v="2013"/>
    <s v="Production       "/>
  </r>
  <r>
    <s v="Peterson, Ebonee  "/>
    <n v="10130"/>
    <n v="1"/>
    <n v="1"/>
    <n v="0"/>
    <n v="5"/>
    <n v="5"/>
    <n v="3"/>
    <n v="0"/>
    <n v="74669"/>
    <n v="1"/>
    <n v="18"/>
    <s v="Production Manager"/>
    <s v="MA"/>
    <n v="2030"/>
    <d v="1977-05-09T00:00:00"/>
    <s v="F"/>
    <s v="Married"/>
    <s v="US Citizen"/>
    <s v="No"/>
    <s v="White"/>
    <d v="2010-10-25T00:00:00"/>
    <d v="2016-05-18T00:00:00"/>
    <s v="Another position"/>
    <s v="Voluntarily Terminated"/>
    <x v="2"/>
    <s v="Janet King"/>
    <n v="2"/>
    <s v="Indeed"/>
    <s v="Fully Meets"/>
    <n v="4.16"/>
    <n v="5"/>
    <n v="0"/>
    <s v="3/5/2015"/>
    <n v="0"/>
    <n v="6"/>
    <s v="Normal"/>
    <s v="low Outlier"/>
    <n v="48"/>
    <n v="15"/>
    <n v="5"/>
    <s v="10+ Years"/>
    <s v="46-55"/>
    <s v="Senior (70-100K)"/>
    <n v="0"/>
    <x v="8"/>
    <n v="10"/>
    <s v="Q4"/>
    <s v="Oct"/>
    <s v="2010-10"/>
    <n v="2016"/>
    <s v="Production       "/>
  </r>
  <r>
    <s v="Petingill, Shana  "/>
    <n v="10217"/>
    <n v="1"/>
    <n v="1"/>
    <n v="0"/>
    <n v="1"/>
    <n v="5"/>
    <n v="3"/>
    <n v="0"/>
    <n v="74226"/>
    <n v="0"/>
    <n v="20"/>
    <s v="Production Technician II"/>
    <s v="MA"/>
    <n v="2050"/>
    <d v="1979-03-10T00:00:00"/>
    <s v="F"/>
    <s v="Married"/>
    <s v="Eligible NonCitizen"/>
    <s v="No"/>
    <s v="Asian"/>
    <d v="2012-04-02T00:00:00"/>
    <m/>
    <s v="N/A-StillEmployed"/>
    <s v="Active"/>
    <x v="2"/>
    <s v="Brannon Miller"/>
    <n v="12"/>
    <s v="LinkedIn"/>
    <s v="Fully Meets"/>
    <n v="4.3"/>
    <n v="3"/>
    <n v="0"/>
    <s v="1/14/2019"/>
    <n v="0"/>
    <n v="14"/>
    <s v="Normal"/>
    <s v="low Outlier"/>
    <n v="46"/>
    <n v="13"/>
    <n v="13"/>
    <s v="10+ Years"/>
    <s v="46-55"/>
    <s v="Senior (70-100K)"/>
    <n v="1"/>
    <x v="3"/>
    <n v="4"/>
    <s v="Q2"/>
    <s v="Apr"/>
    <s v="2012-04"/>
    <s v="N/A"/>
    <s v="Production       "/>
  </r>
  <r>
    <s v="Petrowsky, Thelma"/>
    <n v="10016"/>
    <n v="1"/>
    <n v="1"/>
    <n v="0"/>
    <n v="1"/>
    <n v="3"/>
    <n v="4"/>
    <n v="0"/>
    <n v="93554"/>
    <n v="0"/>
    <n v="9"/>
    <s v="Data Analyst"/>
    <s v="MA"/>
    <n v="1886"/>
    <d v="1984-09-16T00:00:00"/>
    <s v="F"/>
    <s v="Married"/>
    <s v="US Citizen"/>
    <s v="No"/>
    <s v="Black or African American"/>
    <d v="2014-11-10T00:00:00"/>
    <m/>
    <s v="N/A-StillEmployed"/>
    <s v="Active"/>
    <x v="1"/>
    <s v="Simon Roup"/>
    <n v="4"/>
    <s v="Employee Referral"/>
    <s v="Exceeds"/>
    <n v="4.5999999999999996"/>
    <n v="5"/>
    <n v="7"/>
    <s v="1/4/2019"/>
    <n v="0"/>
    <n v="16"/>
    <s v="Normal"/>
    <s v="low Outlier"/>
    <n v="41"/>
    <n v="11"/>
    <n v="11"/>
    <s v="10+ Years"/>
    <s v="36-45"/>
    <s v="Senior (70-100K)"/>
    <n v="1"/>
    <x v="4"/>
    <n v="11"/>
    <s v="Q4"/>
    <s v="Nov"/>
    <s v="2014-11"/>
    <s v="N/A"/>
    <s v="Production       "/>
  </r>
  <r>
    <s v="Pham, Hong"/>
    <n v="10050"/>
    <n v="1"/>
    <n v="1"/>
    <n v="1"/>
    <n v="5"/>
    <n v="5"/>
    <n v="3"/>
    <n v="0"/>
    <n v="64724"/>
    <n v="1"/>
    <n v="19"/>
    <s v="Production Technician I"/>
    <s v="MA"/>
    <n v="2451"/>
    <d v="1988-03-06T00:00:00"/>
    <s v="M "/>
    <s v="Married"/>
    <s v="US Citizen"/>
    <s v="No"/>
    <s v="Asian"/>
    <d v="2011-07-05T00:00:00"/>
    <d v="2012-11-30T00:00:00"/>
    <s v="more money"/>
    <s v="Voluntarily Terminated"/>
    <x v="2"/>
    <s v="Brannon Miller"/>
    <n v="12"/>
    <s v="Google Search"/>
    <s v="Fully Meets"/>
    <n v="5"/>
    <n v="3"/>
    <n v="0"/>
    <s v="2/20/2012"/>
    <n v="0"/>
    <n v="13"/>
    <s v="Normal"/>
    <s v="low Outlier"/>
    <n v="37"/>
    <n v="14"/>
    <n v="1"/>
    <s v="10+ Years"/>
    <s v="36-45"/>
    <s v="Mid (40-70K)"/>
    <n v="0"/>
    <x v="0"/>
    <n v="7"/>
    <s v="Q3"/>
    <s v="Jul"/>
    <s v="2011-07"/>
    <n v="2012"/>
    <s v="Production       "/>
  </r>
  <r>
    <s v="Pitt, Brad "/>
    <n v="10164"/>
    <n v="0"/>
    <n v="0"/>
    <n v="1"/>
    <n v="1"/>
    <n v="5"/>
    <n v="3"/>
    <n v="0"/>
    <n v="47001"/>
    <n v="0"/>
    <n v="19"/>
    <s v="Production Technician I"/>
    <s v="MA"/>
    <n v="2451"/>
    <d v="1981-11-23T00:00:00"/>
    <s v="M "/>
    <s v="Single"/>
    <s v="US Citizen"/>
    <s v="No"/>
    <s v="White"/>
    <d v="2007-11-05T00:00:00"/>
    <m/>
    <s v="N/A-StillEmployed"/>
    <s v="Active"/>
    <x v="2"/>
    <s v="David Stanley"/>
    <n v="14"/>
    <s v="Google Search"/>
    <s v="Fully Meets"/>
    <n v="3.66"/>
    <n v="3"/>
    <n v="0"/>
    <s v="2/25/2019"/>
    <n v="0"/>
    <n v="15"/>
    <s v="Normal"/>
    <s v="low Outlier"/>
    <n v="44"/>
    <n v="18"/>
    <n v="18"/>
    <s v="10+ Years"/>
    <s v="36-45"/>
    <s v="Mid (40-70K)"/>
    <n v="1"/>
    <x v="11"/>
    <n v="11"/>
    <s v="Q4"/>
    <s v="Nov"/>
    <s v="2007-11"/>
    <s v="N/A"/>
    <s v="Production       "/>
  </r>
  <r>
    <s v="Potts, Xana"/>
    <n v="10124"/>
    <n v="1"/>
    <n v="1"/>
    <n v="0"/>
    <n v="1"/>
    <n v="6"/>
    <n v="3"/>
    <n v="0"/>
    <n v="61844"/>
    <n v="0"/>
    <n v="3"/>
    <s v="Area Sales Manager"/>
    <s v="KY"/>
    <n v="40220"/>
    <d v="1988-08-29T00:00:00"/>
    <s v="F"/>
    <s v="Married"/>
    <s v="US Citizen"/>
    <s v="No"/>
    <s v="Black or African American"/>
    <d v="2012-01-09T00:00:00"/>
    <m/>
    <s v="N/A-StillEmployed"/>
    <s v="Active"/>
    <x v="5"/>
    <s v="Lynn Daneault"/>
    <n v="21"/>
    <s v="Website"/>
    <s v="Fully Meets"/>
    <n v="4.2"/>
    <n v="5"/>
    <n v="0"/>
    <s v="2/1/2019"/>
    <n v="0"/>
    <n v="9"/>
    <s v="Normal"/>
    <s v="low Outlier"/>
    <n v="37"/>
    <n v="14"/>
    <n v="14"/>
    <s v="10+ Years"/>
    <s v="36-45"/>
    <s v="Mid (40-70K)"/>
    <n v="1"/>
    <x v="3"/>
    <n v="1"/>
    <s v="Q1"/>
    <s v="Jan"/>
    <s v="2012-01"/>
    <s v="N/A"/>
    <s v="Production       "/>
  </r>
  <r>
    <s v="Power, Morissa"/>
    <n v="10187"/>
    <n v="0"/>
    <n v="2"/>
    <n v="0"/>
    <n v="5"/>
    <n v="5"/>
    <n v="3"/>
    <n v="0"/>
    <n v="46799"/>
    <n v="1"/>
    <n v="19"/>
    <s v="Production Technician I"/>
    <s v="MA"/>
    <n v="1742"/>
    <d v="1984-10-15T00:00:00"/>
    <s v="F"/>
    <s v="Divorced"/>
    <s v="Eligible NonCitizen"/>
    <s v="No"/>
    <s v="Asian"/>
    <d v="2011-05-16T00:00:00"/>
    <d v="2018-06-04T00:00:00"/>
    <s v="Another position"/>
    <s v="Voluntarily Terminated"/>
    <x v="2"/>
    <s v="Kissy Sullivan"/>
    <n v="20"/>
    <s v="Google Search"/>
    <s v="Fully Meets"/>
    <n v="3.17"/>
    <n v="4"/>
    <n v="0"/>
    <s v="4/2/2018"/>
    <n v="0"/>
    <n v="14"/>
    <s v="Normal"/>
    <s v="low Outlier"/>
    <n v="41"/>
    <n v="14"/>
    <n v="7"/>
    <s v="10+ Years"/>
    <s v="36-45"/>
    <s v="Mid (40-70K)"/>
    <n v="0"/>
    <x v="0"/>
    <n v="5"/>
    <s v="Q2"/>
    <s v="May"/>
    <s v="2011-05"/>
    <n v="2018"/>
    <s v="Production       "/>
  </r>
  <r>
    <s v="Punjabhi, Louis  "/>
    <n v="10225"/>
    <n v="0"/>
    <n v="0"/>
    <n v="1"/>
    <n v="1"/>
    <n v="5"/>
    <n v="3"/>
    <n v="0"/>
    <n v="59472"/>
    <n v="0"/>
    <n v="19"/>
    <s v="Production Technician I"/>
    <s v="MA"/>
    <n v="2109"/>
    <d v="1961-06-19T00:00:00"/>
    <s v="M "/>
    <s v="Single"/>
    <s v="US Citizen"/>
    <s v="No"/>
    <s v="White"/>
    <d v="2014-01-06T00:00:00"/>
    <m/>
    <s v="N/A-StillEmployed"/>
    <s v="Active"/>
    <x v="2"/>
    <s v="Kelley Spirea"/>
    <n v="18"/>
    <s v="Employee Referral"/>
    <s v="Fully Meets"/>
    <n v="4.8"/>
    <n v="3"/>
    <n v="0"/>
    <s v="1/7/2019"/>
    <n v="0"/>
    <n v="14"/>
    <s v="Normal"/>
    <s v="low Outlier"/>
    <n v="64"/>
    <n v="12"/>
    <n v="12"/>
    <s v="10+ Years"/>
    <s v="55+"/>
    <s v="Mid (40-70K)"/>
    <n v="1"/>
    <x v="4"/>
    <n v="1"/>
    <s v="Q1"/>
    <s v="Jan"/>
    <s v="2014-01"/>
    <s v="N/A"/>
    <s v="Production       "/>
  </r>
  <r>
    <s v="Purinton, Janine"/>
    <n v="10262"/>
    <n v="0"/>
    <n v="2"/>
    <n v="0"/>
    <n v="5"/>
    <n v="5"/>
    <n v="3"/>
    <n v="0"/>
    <n v="46430"/>
    <n v="1"/>
    <n v="19"/>
    <s v="Production Technician I"/>
    <s v="MA"/>
    <n v="2474"/>
    <d v="1970-09-22T00:00:00"/>
    <s v="F"/>
    <s v="Divorced"/>
    <s v="US Citizen"/>
    <s v="No"/>
    <s v="White"/>
    <d v="2012-09-24T00:00:00"/>
    <d v="2013-06-18T00:00:00"/>
    <s v="unhappy"/>
    <s v="Voluntarily Terminated"/>
    <x v="2"/>
    <s v="Kissy Sullivan"/>
    <n v="20"/>
    <s v="Indeed"/>
    <s v="Fully Meets"/>
    <n v="4.5"/>
    <n v="5"/>
    <n v="0"/>
    <s v="4/2/2013"/>
    <n v="0"/>
    <n v="16"/>
    <s v="Normal"/>
    <s v="low Outlier"/>
    <n v="55"/>
    <n v="13"/>
    <n v="0"/>
    <s v="10+ Years"/>
    <s v="46-55"/>
    <s v="Mid (40-70K)"/>
    <n v="0"/>
    <x v="3"/>
    <n v="9"/>
    <s v="Q3"/>
    <s v="Sep"/>
    <s v="2012-09"/>
    <n v="2013"/>
    <s v="Production       "/>
  </r>
  <r>
    <s v="Quinn, Sean"/>
    <n v="10131"/>
    <n v="1"/>
    <n v="1"/>
    <n v="1"/>
    <n v="5"/>
    <n v="1"/>
    <n v="3"/>
    <n v="1"/>
    <n v="83363"/>
    <n v="1"/>
    <n v="23"/>
    <s v="Software Engineer"/>
    <s v="MA"/>
    <n v="2045"/>
    <d v="1984-11-06T00:00:00"/>
    <s v="M "/>
    <s v="Married"/>
    <s v="Eligible NonCitizen"/>
    <s v="No"/>
    <s v="Black or African American"/>
    <d v="2011-02-21T00:00:00"/>
    <d v="2015-08-15T00:00:00"/>
    <s v="career change"/>
    <s v="Voluntarily Terminated"/>
    <x v="3"/>
    <s v="Janet King"/>
    <n v="2"/>
    <s v="Diversity Job Fair"/>
    <s v="Fully Meets"/>
    <n v="4.1500000000000004"/>
    <n v="4"/>
    <n v="0"/>
    <s v="4/19/2014"/>
    <n v="0"/>
    <n v="4"/>
    <s v="Normal"/>
    <s v="low Outlier"/>
    <n v="41"/>
    <n v="14"/>
    <n v="4"/>
    <s v="10+ Years"/>
    <s v="36-45"/>
    <s v="Senior (70-100K)"/>
    <n v="0"/>
    <x v="0"/>
    <n v="2"/>
    <s v="Q1"/>
    <s v="Feb"/>
    <s v="2011-02"/>
    <n v="2015"/>
    <s v="Production       "/>
  </r>
  <r>
    <s v="Rachael, Maggie"/>
    <n v="10239"/>
    <n v="1"/>
    <n v="1"/>
    <n v="0"/>
    <n v="1"/>
    <n v="3"/>
    <n v="3"/>
    <n v="0"/>
    <n v="95920"/>
    <n v="0"/>
    <n v="4"/>
    <s v="BI Developer"/>
    <s v="MA"/>
    <n v="2110"/>
    <d v="1980-05-12T00:00:00"/>
    <s v="F"/>
    <s v="Married"/>
    <s v="US Citizen"/>
    <s v="No"/>
    <s v="Black or African American"/>
    <d v="2016-10-02T00:00:00"/>
    <m/>
    <s v="N/A-StillEmployed"/>
    <s v="Active"/>
    <x v="1"/>
    <s v="Brian Champaigne"/>
    <n v="13"/>
    <s v="Indeed"/>
    <s v="Fully Meets"/>
    <n v="4.4000000000000004"/>
    <n v="4"/>
    <n v="6"/>
    <s v="2/6/2019"/>
    <n v="0"/>
    <n v="10"/>
    <s v="Normal"/>
    <s v="low Outlier"/>
    <n v="45"/>
    <n v="9"/>
    <n v="9"/>
    <s v="5-10 Years"/>
    <s v="36-45"/>
    <s v="Senior (70-100K)"/>
    <n v="1"/>
    <x v="7"/>
    <n v="10"/>
    <s v="Q4"/>
    <s v="Oct"/>
    <s v="2016-10"/>
    <s v="N/A"/>
    <s v="Production       "/>
  </r>
  <r>
    <s v="Rarrick, Quinn"/>
    <n v="10152"/>
    <n v="0"/>
    <n v="2"/>
    <n v="1"/>
    <n v="5"/>
    <n v="5"/>
    <n v="3"/>
    <n v="0"/>
    <n v="61729"/>
    <n v="1"/>
    <n v="19"/>
    <s v="Production Technician I"/>
    <s v="MA"/>
    <n v="2478"/>
    <d v="1984-12-31T00:00:00"/>
    <s v="M "/>
    <s v="Divorced"/>
    <s v="US Citizen"/>
    <s v="No"/>
    <s v="White"/>
    <d v="2011-09-26T00:00:00"/>
    <d v="2018-04-07T00:00:00"/>
    <s v="more money"/>
    <s v="Voluntarily Terminated"/>
    <x v="2"/>
    <s v="Michael Albert"/>
    <n v="22"/>
    <s v="Indeed"/>
    <s v="Fully Meets"/>
    <n v="3.8"/>
    <n v="5"/>
    <n v="0"/>
    <s v="2/4/2018"/>
    <n v="0"/>
    <n v="19"/>
    <s v="Normal"/>
    <s v="low Outlier"/>
    <n v="41"/>
    <n v="14"/>
    <n v="6"/>
    <s v="10+ Years"/>
    <s v="36-45"/>
    <s v="Mid (40-70K)"/>
    <n v="0"/>
    <x v="0"/>
    <n v="9"/>
    <s v="Q3"/>
    <s v="Sep"/>
    <s v="2011-09"/>
    <n v="2018"/>
    <s v="Production       "/>
  </r>
  <r>
    <s v="Ren, Kylo"/>
    <n v="10140"/>
    <n v="1"/>
    <n v="1"/>
    <n v="1"/>
    <n v="1"/>
    <n v="6"/>
    <n v="3"/>
    <n v="0"/>
    <n v="61809"/>
    <n v="0"/>
    <n v="3"/>
    <s v="Area Sales Manager"/>
    <s v="ID"/>
    <n v="83706"/>
    <d v="1954-10-12T00:00:00"/>
    <s v="M "/>
    <s v="Married"/>
    <s v="US Citizen"/>
    <s v="No"/>
    <s v="White"/>
    <d v="2014-05-12T00:00:00"/>
    <m/>
    <s v="N/A-StillEmployed"/>
    <s v="Active"/>
    <x v="5"/>
    <s v="John Smith"/>
    <n v="17"/>
    <s v="CareerBuilder"/>
    <s v="Fully Meets"/>
    <n v="3.98"/>
    <n v="3"/>
    <n v="0"/>
    <s v="1/28/2019"/>
    <n v="0"/>
    <n v="4"/>
    <s v="Normal"/>
    <s v="low Outlier"/>
    <n v="71"/>
    <n v="11"/>
    <n v="11"/>
    <s v="10+ Years"/>
    <s v="55+"/>
    <s v="Mid (40-70K)"/>
    <n v="1"/>
    <x v="4"/>
    <n v="5"/>
    <s v="Q2"/>
    <s v="May"/>
    <s v="2014-05"/>
    <s v="N/A"/>
    <s v="Production       "/>
  </r>
  <r>
    <s v="Rhoads, Thomas"/>
    <n v="10058"/>
    <n v="0"/>
    <n v="2"/>
    <n v="1"/>
    <n v="5"/>
    <n v="5"/>
    <n v="3"/>
    <n v="0"/>
    <n v="45115"/>
    <n v="1"/>
    <n v="19"/>
    <s v="Production Technician I"/>
    <s v="MA"/>
    <n v="2176"/>
    <d v="1982-07-22T00:00:00"/>
    <s v="M "/>
    <s v="Divorced"/>
    <s v="US Citizen"/>
    <s v="Yes"/>
    <s v="White"/>
    <d v="2011-05-16T00:00:00"/>
    <d v="2016-01-15T00:00:00"/>
    <s v="retiring"/>
    <s v="Voluntarily Terminated"/>
    <x v="2"/>
    <s v="Elijiah Gray"/>
    <n v="16"/>
    <s v="LinkedIn"/>
    <s v="Fully Meets"/>
    <n v="5"/>
    <n v="4"/>
    <n v="0"/>
    <s v="3/30/2015"/>
    <n v="0"/>
    <n v="11"/>
    <s v="Normal"/>
    <s v="low Outlier"/>
    <n v="43"/>
    <n v="14"/>
    <n v="4"/>
    <s v="10+ Years"/>
    <s v="36-45"/>
    <s v="Mid (40-70K)"/>
    <n v="0"/>
    <x v="0"/>
    <n v="5"/>
    <s v="Q2"/>
    <s v="May"/>
    <s v="2011-05"/>
    <n v="2016"/>
    <s v="Production       "/>
  </r>
  <r>
    <s v="Rivera, Haley  "/>
    <n v="10011"/>
    <n v="1"/>
    <n v="1"/>
    <n v="0"/>
    <n v="1"/>
    <n v="5"/>
    <n v="4"/>
    <n v="0"/>
    <n v="46738"/>
    <n v="0"/>
    <n v="19"/>
    <s v="Production Technician I"/>
    <s v="MA"/>
    <n v="2171"/>
    <d v="1973-01-12T00:00:00"/>
    <s v="F"/>
    <s v="Married"/>
    <s v="US Citizen"/>
    <s v="No"/>
    <s v="Asian"/>
    <d v="2011-11-28T00:00:00"/>
    <m/>
    <s v="N/A-StillEmployed"/>
    <s v="Active"/>
    <x v="2"/>
    <s v="Webster Butler"/>
    <m/>
    <s v="Google Search"/>
    <s v="Exceeds"/>
    <n v="4.3600000000000003"/>
    <n v="5"/>
    <n v="0"/>
    <s v="2/11/2019"/>
    <n v="0"/>
    <n v="16"/>
    <s v="Normal"/>
    <s v="low Outlier"/>
    <n v="53"/>
    <n v="14"/>
    <n v="14"/>
    <s v="10+ Years"/>
    <s v="46-55"/>
    <s v="Mid (40-70K)"/>
    <n v="1"/>
    <x v="0"/>
    <n v="11"/>
    <s v="Q4"/>
    <s v="Nov"/>
    <s v="2011-11"/>
    <s v="N/A"/>
    <s v="Production       "/>
  </r>
  <r>
    <s v="Roberson, May"/>
    <n v="10230"/>
    <n v="0"/>
    <n v="2"/>
    <n v="0"/>
    <n v="5"/>
    <n v="5"/>
    <n v="3"/>
    <n v="0"/>
    <n v="64971"/>
    <n v="1"/>
    <n v="20"/>
    <s v="Production Technician II"/>
    <s v="MA"/>
    <n v="1902"/>
    <d v="1981-09-05T00:00:00"/>
    <s v="F"/>
    <s v="Divorced"/>
    <s v="Eligible NonCitizen"/>
    <s v="No"/>
    <s v="Black or African American"/>
    <d v="2011-09-26T00:00:00"/>
    <d v="2011-10-22T00:00:00"/>
    <s v="return to school"/>
    <s v="Voluntarily Terminated"/>
    <x v="2"/>
    <s v="David Stanley"/>
    <n v="14"/>
    <s v="Google Search"/>
    <s v="Fully Meets"/>
    <n v="4.5"/>
    <n v="4"/>
    <n v="0"/>
    <s v="10/22/2011"/>
    <n v="0"/>
    <n v="10"/>
    <s v="Normal"/>
    <s v="low Outlier"/>
    <n v="44"/>
    <n v="14"/>
    <n v="0"/>
    <s v="10+ Years"/>
    <s v="36-45"/>
    <s v="Mid (40-70K)"/>
    <n v="0"/>
    <x v="0"/>
    <n v="9"/>
    <s v="Q3"/>
    <s v="Sep"/>
    <s v="2011-09"/>
    <n v="2011"/>
    <s v="Production       "/>
  </r>
  <r>
    <s v="Robertson, Peter"/>
    <n v="10224"/>
    <n v="1"/>
    <n v="1"/>
    <n v="1"/>
    <n v="5"/>
    <n v="5"/>
    <n v="3"/>
    <n v="0"/>
    <n v="55578"/>
    <n v="1"/>
    <n v="20"/>
    <s v="Production Technician II"/>
    <s v="MA"/>
    <n v="2138"/>
    <d v="1972-07-03T00:00:00"/>
    <s v="M "/>
    <s v="Married"/>
    <s v="US Citizen"/>
    <s v="No"/>
    <s v="White"/>
    <d v="2011-07-05T00:00:00"/>
    <d v="2012-02-08T00:00:00"/>
    <s v="Another position"/>
    <s v="Voluntarily Terminated"/>
    <x v="2"/>
    <s v="Kissy Sullivan"/>
    <n v="20"/>
    <s v="Indeed"/>
    <s v="Fully Meets"/>
    <n v="4.2"/>
    <n v="5"/>
    <n v="0"/>
    <s v="1/6/2012"/>
    <n v="0"/>
    <n v="13"/>
    <s v="Normal"/>
    <s v="low Outlier"/>
    <n v="53"/>
    <n v="14"/>
    <n v="0"/>
    <s v="10+ Years"/>
    <s v="46-55"/>
    <s v="Mid (40-70K)"/>
    <n v="0"/>
    <x v="0"/>
    <n v="7"/>
    <s v="Q3"/>
    <s v="Jul"/>
    <s v="2011-07"/>
    <n v="2012"/>
    <s v="Production       "/>
  </r>
  <r>
    <s v="Robinson, Alain  "/>
    <n v="10047"/>
    <n v="1"/>
    <n v="1"/>
    <n v="1"/>
    <n v="5"/>
    <n v="5"/>
    <n v="3"/>
    <n v="0"/>
    <n v="50428"/>
    <n v="1"/>
    <n v="19"/>
    <s v="Production Technician I"/>
    <s v="MA"/>
    <n v="1420"/>
    <d v="1974-01-07T00:00:00"/>
    <s v="M "/>
    <s v="Married"/>
    <s v="US Citizen"/>
    <s v="No"/>
    <s v="Black or African American"/>
    <d v="2011-01-10T00:00:00"/>
    <d v="2016-01-26T00:00:00"/>
    <s v="attendance"/>
    <s v="Voluntarily Terminated"/>
    <x v="2"/>
    <s v="Amy Dunn"/>
    <n v="11"/>
    <s v="Indeed"/>
    <s v="Fully Meets"/>
    <n v="5"/>
    <n v="3"/>
    <n v="0"/>
    <s v="1/10/2015"/>
    <n v="0"/>
    <n v="11"/>
    <s v="Normal"/>
    <s v="low Outlier"/>
    <n v="52"/>
    <n v="15"/>
    <n v="5"/>
    <s v="10+ Years"/>
    <s v="46-55"/>
    <s v="Mid (40-70K)"/>
    <n v="0"/>
    <x v="0"/>
    <n v="1"/>
    <s v="Q1"/>
    <s v="Jan"/>
    <s v="2011-01"/>
    <n v="2016"/>
    <s v="Production       "/>
  </r>
  <r>
    <s v="Robinson, Cherly"/>
    <n v="10285"/>
    <n v="1"/>
    <n v="1"/>
    <n v="0"/>
    <n v="4"/>
    <n v="5"/>
    <n v="2"/>
    <n v="0"/>
    <n v="61422"/>
    <n v="1"/>
    <n v="19"/>
    <s v="Production Technician I"/>
    <s v="MA"/>
    <n v="1460"/>
    <d v="1985-01-07T00:00:00"/>
    <s v="F"/>
    <s v="Married"/>
    <s v="US Citizen"/>
    <s v="No"/>
    <s v="White"/>
    <d v="2011-01-10T00:00:00"/>
    <d v="2016-05-17T00:00:00"/>
    <s v="attendance"/>
    <s v="Terminated for Cause"/>
    <x v="2"/>
    <s v="Ketsia Liebig"/>
    <n v="19"/>
    <s v="Indeed"/>
    <s v="Needs Improvement"/>
    <n v="3.6"/>
    <n v="3"/>
    <n v="0"/>
    <s v="4/5/2016"/>
    <n v="4"/>
    <n v="16"/>
    <s v="Normal"/>
    <s v="low Outlier"/>
    <n v="41"/>
    <n v="15"/>
    <n v="5"/>
    <s v="10+ Years"/>
    <s v="36-45"/>
    <s v="Mid (40-70K)"/>
    <n v="0"/>
    <x v="0"/>
    <n v="1"/>
    <s v="Q1"/>
    <s v="Jan"/>
    <s v="2011-01"/>
    <n v="2016"/>
    <s v="Production       "/>
  </r>
  <r>
    <s v="Robinson, Elias"/>
    <n v="10020"/>
    <n v="0"/>
    <n v="4"/>
    <n v="1"/>
    <n v="1"/>
    <n v="5"/>
    <n v="4"/>
    <n v="0"/>
    <n v="63353"/>
    <n v="0"/>
    <n v="19"/>
    <s v="Production Technician I"/>
    <s v="MA"/>
    <n v="1730"/>
    <d v="1985-01-28T00:00:00"/>
    <s v="M "/>
    <s v="Widowed"/>
    <s v="US Citizen"/>
    <s v="No"/>
    <s v="White"/>
    <d v="2013-07-08T00:00:00"/>
    <m/>
    <s v="N/A-StillEmployed"/>
    <s v="Active"/>
    <x v="2"/>
    <s v="Brannon Miller"/>
    <n v="12"/>
    <s v="Employee Referral"/>
    <s v="Exceeds"/>
    <n v="3.6"/>
    <n v="5"/>
    <n v="0"/>
    <s v="2/11/2019"/>
    <n v="0"/>
    <n v="4"/>
    <s v="Normal"/>
    <s v="low Outlier"/>
    <n v="41"/>
    <n v="12"/>
    <n v="12"/>
    <s v="10+ Years"/>
    <s v="36-45"/>
    <s v="Mid (40-70K)"/>
    <n v="1"/>
    <x v="5"/>
    <n v="7"/>
    <s v="Q3"/>
    <s v="Jul"/>
    <s v="2013-07"/>
    <s v="N/A"/>
    <s v="Production       "/>
  </r>
  <r>
    <s v="Roby, Lori "/>
    <n v="10162"/>
    <n v="1"/>
    <n v="1"/>
    <n v="0"/>
    <n v="1"/>
    <n v="3"/>
    <n v="3"/>
    <n v="0"/>
    <n v="89883"/>
    <n v="0"/>
    <n v="9"/>
    <s v="Data Analyst"/>
    <s v="MA"/>
    <n v="1886"/>
    <d v="1981-10-11T00:00:00"/>
    <s v="F"/>
    <s v="Married"/>
    <s v="US Citizen"/>
    <s v="No"/>
    <s v="White"/>
    <d v="2015-02-16T00:00:00"/>
    <m/>
    <s v="N/A-StillEmployed"/>
    <s v="Active"/>
    <x v="1"/>
    <s v="Simon Roup"/>
    <n v="4"/>
    <s v="Employee Referral"/>
    <s v="Fully Meets"/>
    <n v="3.69"/>
    <n v="5"/>
    <n v="6"/>
    <s v="2/14/2019"/>
    <n v="0"/>
    <n v="15"/>
    <s v="Normal"/>
    <s v="low Outlier"/>
    <n v="44"/>
    <n v="11"/>
    <n v="11"/>
    <s v="10+ Years"/>
    <s v="36-45"/>
    <s v="Senior (70-100K)"/>
    <n v="1"/>
    <x v="1"/>
    <n v="2"/>
    <s v="Q1"/>
    <s v="Feb"/>
    <s v="2015-02"/>
    <s v="N/A"/>
    <s v="Production       "/>
  </r>
  <r>
    <s v="Roehrich, Bianca"/>
    <n v="10149"/>
    <n v="0"/>
    <n v="0"/>
    <n v="0"/>
    <n v="5"/>
    <n v="3"/>
    <n v="3"/>
    <n v="0"/>
    <n v="120000"/>
    <n v="1"/>
    <n v="29"/>
    <s v="Principal Data Architect"/>
    <s v="MA"/>
    <n v="2703"/>
    <d v="1973-05-27T00:00:00"/>
    <s v="F"/>
    <s v="Single"/>
    <s v="US Citizen"/>
    <s v="Yes"/>
    <s v="White"/>
    <d v="2015-01-05T00:00:00"/>
    <d v="2018-11-10T00:00:00"/>
    <s v="Another position"/>
    <s v="Voluntarily Terminated"/>
    <x v="1"/>
    <s v="Simon Roup"/>
    <n v="4"/>
    <s v="LinkedIn"/>
    <s v="Fully Meets"/>
    <n v="3.88"/>
    <n v="3"/>
    <n v="7"/>
    <s v="2/13/2018"/>
    <n v="0"/>
    <n v="12"/>
    <s v="Normal"/>
    <s v="low Outlier"/>
    <n v="52"/>
    <n v="11"/>
    <n v="3"/>
    <s v="10+ Years"/>
    <s v="46-55"/>
    <s v="Executive (100K+)"/>
    <n v="0"/>
    <x v="1"/>
    <n v="1"/>
    <s v="Q1"/>
    <s v="Jan"/>
    <s v="2015-01"/>
    <n v="2018"/>
    <s v="Production       "/>
  </r>
  <r>
    <s v="Roper, Katie"/>
    <n v="10086"/>
    <n v="0"/>
    <n v="0"/>
    <n v="0"/>
    <n v="1"/>
    <n v="3"/>
    <n v="3"/>
    <n v="0"/>
    <n v="150290"/>
    <n v="0"/>
    <n v="7"/>
    <s v="Data Architect"/>
    <s v="MA"/>
    <n v="2056"/>
    <d v="1972-11-21T00:00:00"/>
    <s v="F"/>
    <s v="Single"/>
    <s v="US Citizen"/>
    <s v="No"/>
    <s v="Black or African American"/>
    <d v="2017-01-07T00:00:00"/>
    <m/>
    <s v="N/A-StillEmployed"/>
    <s v="Active"/>
    <x v="1"/>
    <s v="Brian Champaigne"/>
    <n v="13"/>
    <s v="Indeed"/>
    <s v="Fully Meets"/>
    <n v="4.9400000000000004"/>
    <n v="3"/>
    <n v="5"/>
    <s v="2/6/2019"/>
    <n v="0"/>
    <n v="17"/>
    <s v=" high Outlier"/>
    <s v="low Outlier"/>
    <n v="53"/>
    <n v="9"/>
    <n v="9"/>
    <s v="5-10 Years"/>
    <s v="46-55"/>
    <s v="Executive (100K+)"/>
    <n v="1"/>
    <x v="10"/>
    <n v="1"/>
    <s v="Q1"/>
    <s v="Jan"/>
    <s v="2017-01"/>
    <s v="N/A"/>
    <s v="Production       "/>
  </r>
  <r>
    <s v="Rose, Ashley  "/>
    <n v="10054"/>
    <n v="0"/>
    <n v="3"/>
    <n v="0"/>
    <n v="1"/>
    <n v="5"/>
    <n v="3"/>
    <n v="0"/>
    <n v="60627"/>
    <n v="0"/>
    <n v="19"/>
    <s v="Production Technician I"/>
    <s v="MA"/>
    <n v="1886"/>
    <d v="1974-12-05T00:00:00"/>
    <s v="F"/>
    <s v="Separated"/>
    <s v="US Citizen"/>
    <s v="No"/>
    <s v="White"/>
    <d v="2014-01-06T00:00:00"/>
    <m/>
    <s v="N/A-StillEmployed"/>
    <s v="Active"/>
    <x v="2"/>
    <s v="David Stanley"/>
    <n v="14"/>
    <s v="Website"/>
    <s v="Fully Meets"/>
    <n v="5"/>
    <n v="4"/>
    <n v="0"/>
    <s v="1/31/2019"/>
    <n v="0"/>
    <n v="8"/>
    <s v="Normal"/>
    <s v="low Outlier"/>
    <n v="51"/>
    <n v="12"/>
    <n v="12"/>
    <s v="10+ Years"/>
    <s v="46-55"/>
    <s v="Mid (40-70K)"/>
    <n v="1"/>
    <x v="4"/>
    <n v="1"/>
    <s v="Q1"/>
    <s v="Jan"/>
    <s v="2014-01"/>
    <s v="N/A"/>
    <s v="Production       "/>
  </r>
  <r>
    <s v="Rossetti, Bruno"/>
    <n v="10065"/>
    <n v="0"/>
    <n v="0"/>
    <n v="1"/>
    <n v="5"/>
    <n v="5"/>
    <n v="3"/>
    <n v="0"/>
    <n v="53180"/>
    <n v="1"/>
    <n v="19"/>
    <s v="Production Technician I"/>
    <s v="MA"/>
    <n v="2155"/>
    <d v="1987-03-18T00:00:00"/>
    <s v="M "/>
    <s v="Single"/>
    <s v="US Citizen"/>
    <s v="No"/>
    <s v="White"/>
    <d v="2011-04-04T00:00:00"/>
    <d v="2018-08-13T00:00:00"/>
    <s v="Another position"/>
    <s v="Voluntarily Terminated"/>
    <x v="2"/>
    <s v="Kissy Sullivan"/>
    <n v="20"/>
    <s v="Google Search"/>
    <s v="Fully Meets"/>
    <n v="5"/>
    <n v="5"/>
    <n v="0"/>
    <s v="7/2/2018"/>
    <n v="0"/>
    <n v="4"/>
    <s v="Normal"/>
    <s v="low Outlier"/>
    <n v="38"/>
    <n v="14"/>
    <n v="7"/>
    <s v="10+ Years"/>
    <s v="36-45"/>
    <s v="Mid (40-70K)"/>
    <n v="0"/>
    <x v="0"/>
    <n v="4"/>
    <s v="Q2"/>
    <s v="Apr"/>
    <s v="2011-04"/>
    <n v="2018"/>
    <s v="Production       "/>
  </r>
  <r>
    <s v="Roup,Simon"/>
    <n v="10198"/>
    <n v="0"/>
    <n v="0"/>
    <n v="1"/>
    <n v="1"/>
    <n v="3"/>
    <n v="3"/>
    <n v="0"/>
    <n v="140920"/>
    <n v="0"/>
    <n v="13"/>
    <s v="IT Manager - DB"/>
    <s v="MA"/>
    <n v="2481"/>
    <d v="1973-04-05T00:00:00"/>
    <s v="M "/>
    <s v="Single"/>
    <s v="US Citizen"/>
    <s v="No"/>
    <s v="White"/>
    <d v="2013-01-20T00:00:00"/>
    <m/>
    <s v="N/A-StillEmployed"/>
    <s v="Active"/>
    <x v="1"/>
    <s v="Jennifer Zamora"/>
    <n v="5"/>
    <s v="Indeed"/>
    <s v="Fully Meets"/>
    <n v="3.6"/>
    <n v="5"/>
    <n v="7"/>
    <s v="2/18/2019"/>
    <n v="0"/>
    <n v="13"/>
    <s v=" high Outlier"/>
    <s v="low Outlier"/>
    <n v="52"/>
    <n v="13"/>
    <n v="13"/>
    <s v="10+ Years"/>
    <s v="46-55"/>
    <s v="Executive (100K+)"/>
    <n v="1"/>
    <x v="5"/>
    <n v="1"/>
    <s v="Q1"/>
    <s v="Jan"/>
    <s v="2013-01"/>
    <s v="N/A"/>
    <s v="Production       "/>
  </r>
  <r>
    <s v="Ruiz, Ricardo"/>
    <n v="10222"/>
    <n v="0"/>
    <n v="2"/>
    <n v="1"/>
    <n v="5"/>
    <n v="3"/>
    <n v="3"/>
    <n v="1"/>
    <n v="148999"/>
    <n v="1"/>
    <n v="13"/>
    <s v="IT Manager - DB"/>
    <s v="MA"/>
    <n v="1915"/>
    <d v="1964-01-04T00:00:00"/>
    <s v="M "/>
    <s v="Divorced"/>
    <s v="US Citizen"/>
    <s v="No"/>
    <s v="Black or African American"/>
    <d v="2012-01-09T00:00:00"/>
    <d v="2015-11-04T00:00:00"/>
    <s v="hours"/>
    <s v="Voluntarily Terminated"/>
    <x v="1"/>
    <s v="Jennifer Zamora"/>
    <n v="5"/>
    <s v="Diversity Job Fair"/>
    <s v="Fully Meets"/>
    <n v="4.3"/>
    <n v="4"/>
    <n v="6"/>
    <s v="1/4/2015"/>
    <n v="0"/>
    <n v="8"/>
    <s v=" high Outlier"/>
    <s v="low Outlier"/>
    <n v="62"/>
    <n v="14"/>
    <n v="3"/>
    <s v="10+ Years"/>
    <s v="55+"/>
    <s v="Executive (100K+)"/>
    <n v="0"/>
    <x v="3"/>
    <n v="1"/>
    <s v="Q1"/>
    <s v="Jan"/>
    <s v="2012-01"/>
    <n v="2015"/>
    <s v="Production       "/>
  </r>
  <r>
    <s v="Saada, Adell"/>
    <n v="10126"/>
    <n v="1"/>
    <n v="1"/>
    <n v="0"/>
    <n v="1"/>
    <n v="4"/>
    <n v="3"/>
    <n v="0"/>
    <n v="86214"/>
    <n v="0"/>
    <n v="24"/>
    <s v="Software Engineer"/>
    <s v="MA"/>
    <n v="2132"/>
    <d v="1986-07-24T00:00:00"/>
    <s v="F"/>
    <s v="Married"/>
    <s v="US Citizen"/>
    <s v="No"/>
    <s v="White"/>
    <d v="2012-11-05T00:00:00"/>
    <m/>
    <s v="N/A-StillEmployed"/>
    <s v="Active"/>
    <x v="3"/>
    <s v="Alex Sweetwater"/>
    <n v="10"/>
    <s v="Indeed"/>
    <s v="Fully Meets"/>
    <n v="4.2"/>
    <n v="3"/>
    <n v="6"/>
    <s v="2/13/2019"/>
    <n v="0"/>
    <n v="2"/>
    <s v="Normal"/>
    <s v="low Outlier"/>
    <n v="39"/>
    <n v="13"/>
    <n v="13"/>
    <s v="10+ Years"/>
    <s v="36-45"/>
    <s v="Senior (70-100K)"/>
    <n v="1"/>
    <x v="3"/>
    <n v="11"/>
    <s v="Q4"/>
    <s v="Nov"/>
    <s v="2012-11"/>
    <s v="N/A"/>
    <s v="Production       "/>
  </r>
  <r>
    <s v="Saar-Beckles, Melinda"/>
    <n v="10295"/>
    <n v="0"/>
    <n v="0"/>
    <n v="0"/>
    <n v="2"/>
    <n v="5"/>
    <n v="2"/>
    <n v="1"/>
    <n v="47750"/>
    <n v="0"/>
    <n v="19"/>
    <s v="Production Technician I"/>
    <s v="MA"/>
    <n v="1801"/>
    <d v="1968-06-06T00:00:00"/>
    <s v="F"/>
    <s v="Single"/>
    <s v="US Citizen"/>
    <s v="No"/>
    <s v="Black or African American"/>
    <d v="2016-07-04T00:00:00"/>
    <m/>
    <s v="N/A-StillEmployed"/>
    <s v="Active"/>
    <x v="2"/>
    <s v="Kelley Spirea"/>
    <n v="18"/>
    <s v="Diversity Job Fair"/>
    <s v="Needs Improvement"/>
    <n v="2.6"/>
    <n v="4"/>
    <n v="0"/>
    <s v="2/18/2019"/>
    <n v="5"/>
    <n v="4"/>
    <s v="Normal"/>
    <s v="low Outlier"/>
    <n v="57"/>
    <n v="9"/>
    <n v="9"/>
    <s v="5-10 Years"/>
    <s v="55+"/>
    <s v="Mid (40-70K)"/>
    <n v="1"/>
    <x v="7"/>
    <n v="7"/>
    <s v="Q3"/>
    <s v="Jul"/>
    <s v="2016-07"/>
    <s v="N/A"/>
    <s v="Production       "/>
  </r>
  <r>
    <s v="Sadki, Nore  "/>
    <n v="10260"/>
    <n v="0"/>
    <n v="0"/>
    <n v="1"/>
    <n v="5"/>
    <n v="5"/>
    <n v="3"/>
    <n v="0"/>
    <n v="46428"/>
    <n v="1"/>
    <n v="19"/>
    <s v="Production Technician I"/>
    <s v="MA"/>
    <n v="2148"/>
    <d v="1974-12-21T00:00:00"/>
    <s v="M "/>
    <s v="Single"/>
    <s v="US Citizen"/>
    <s v="No"/>
    <s v="White"/>
    <d v="2009-01-05T00:00:00"/>
    <d v="2018-07-30T00:00:00"/>
    <s v="relocation out of area"/>
    <s v="Voluntarily Terminated"/>
    <x v="2"/>
    <s v="Michael Albert"/>
    <n v="22"/>
    <s v="Google Search"/>
    <s v="Fully Meets"/>
    <n v="4.5999999999999996"/>
    <n v="5"/>
    <n v="0"/>
    <s v="2/5/2018"/>
    <n v="0"/>
    <n v="7"/>
    <s v="Normal"/>
    <s v="low Outlier"/>
    <n v="51"/>
    <n v="17"/>
    <n v="9"/>
    <s v="10+ Years"/>
    <s v="46-55"/>
    <s v="Mid (40-70K)"/>
    <n v="0"/>
    <x v="6"/>
    <n v="1"/>
    <s v="Q1"/>
    <s v="Jan"/>
    <s v="2009-01"/>
    <n v="2018"/>
    <s v="Production       "/>
  </r>
  <r>
    <s v="Sahoo, Adil"/>
    <n v="10233"/>
    <n v="1"/>
    <n v="1"/>
    <n v="1"/>
    <n v="1"/>
    <n v="5"/>
    <n v="3"/>
    <n v="0"/>
    <n v="57975"/>
    <n v="0"/>
    <n v="20"/>
    <s v="Production Technician II"/>
    <s v="MA"/>
    <n v="2062"/>
    <d v="1986-04-26T00:00:00"/>
    <s v="M "/>
    <s v="Married"/>
    <s v="US Citizen"/>
    <s v="No"/>
    <s v="White"/>
    <d v="2010-08-30T00:00:00"/>
    <m/>
    <s v="N/A-StillEmployed"/>
    <s v="Active"/>
    <x v="2"/>
    <s v="Kelley Spirea"/>
    <n v="18"/>
    <s v="CareerBuilder"/>
    <s v="Fully Meets"/>
    <n v="4.0999999999999996"/>
    <n v="3"/>
    <n v="0"/>
    <s v="1/10/2019"/>
    <n v="0"/>
    <n v="13"/>
    <s v="Normal"/>
    <s v="low Outlier"/>
    <n v="39"/>
    <n v="15"/>
    <n v="15"/>
    <s v="10+ Years"/>
    <s v="36-45"/>
    <s v="Mid (40-70K)"/>
    <n v="1"/>
    <x v="8"/>
    <n v="8"/>
    <s v="Q3"/>
    <s v="Aug"/>
    <s v="2010-08"/>
    <s v="N/A"/>
    <s v="Production       "/>
  </r>
  <r>
    <s v="Salter, Jason"/>
    <n v="10229"/>
    <n v="0"/>
    <n v="2"/>
    <n v="1"/>
    <n v="5"/>
    <n v="3"/>
    <n v="3"/>
    <n v="0"/>
    <n v="88527"/>
    <n v="1"/>
    <n v="9"/>
    <s v="Data Analyst "/>
    <s v="MA"/>
    <n v="2452"/>
    <d v="1987-12-17T00:00:00"/>
    <s v="M "/>
    <s v="Divorced"/>
    <s v="US Citizen"/>
    <s v="No"/>
    <s v="Black or African American"/>
    <d v="2015-01-05T00:00:00"/>
    <d v="2015-10-31T00:00:00"/>
    <s v="hours"/>
    <s v="Voluntarily Terminated"/>
    <x v="1"/>
    <s v="Simon Roup"/>
    <n v="4"/>
    <s v="LinkedIn"/>
    <s v="Fully Meets"/>
    <n v="4.2"/>
    <n v="3"/>
    <n v="5"/>
    <s v="4/20/2015"/>
    <n v="0"/>
    <n v="2"/>
    <s v="Normal"/>
    <s v="low Outlier"/>
    <n v="38"/>
    <n v="11"/>
    <n v="0"/>
    <s v="10+ Years"/>
    <s v="36-45"/>
    <s v="Senior (70-100K)"/>
    <n v="0"/>
    <x v="1"/>
    <n v="1"/>
    <s v="Q1"/>
    <s v="Jan"/>
    <s v="2015-01"/>
    <n v="2015"/>
    <s v="Production       "/>
  </r>
  <r>
    <s v="Sander, Kamrin"/>
    <n v="10169"/>
    <n v="1"/>
    <n v="1"/>
    <n v="0"/>
    <n v="1"/>
    <n v="5"/>
    <n v="3"/>
    <n v="0"/>
    <n v="56147"/>
    <n v="0"/>
    <n v="19"/>
    <s v="Production Technician I"/>
    <s v="MA"/>
    <n v="2154"/>
    <d v="1988-07-10T00:00:00"/>
    <s v="F"/>
    <s v="Married"/>
    <s v="US Citizen"/>
    <s v="No"/>
    <s v="Black or African American"/>
    <d v="2014-09-29T00:00:00"/>
    <m/>
    <s v="N/A-StillEmployed"/>
    <s v="Active"/>
    <x v="2"/>
    <s v="Elijiah Gray"/>
    <n v="16"/>
    <s v="LinkedIn"/>
    <s v="Fully Meets"/>
    <n v="3.51"/>
    <n v="3"/>
    <n v="0"/>
    <s v="2/18/2019"/>
    <n v="0"/>
    <n v="2"/>
    <s v="Normal"/>
    <s v="low Outlier"/>
    <n v="37"/>
    <n v="11"/>
    <n v="11"/>
    <s v="10+ Years"/>
    <s v="36-45"/>
    <s v="Mid (40-70K)"/>
    <n v="1"/>
    <x v="4"/>
    <n v="9"/>
    <s v="Q3"/>
    <s v="Sep"/>
    <s v="2014-09"/>
    <s v="N/A"/>
    <s v="Production       "/>
  </r>
  <r>
    <s v="Sewkumar, Nori"/>
    <n v="10071"/>
    <n v="0"/>
    <n v="0"/>
    <n v="0"/>
    <n v="3"/>
    <n v="5"/>
    <n v="3"/>
    <n v="0"/>
    <n v="50923"/>
    <n v="0"/>
    <n v="19"/>
    <s v="Production Technician I"/>
    <s v="MA"/>
    <n v="2191"/>
    <d v="1975-03-10T00:00:00"/>
    <s v="F"/>
    <s v="Single"/>
    <s v="US Citizen"/>
    <s v="No"/>
    <s v="Asian"/>
    <d v="2013-09-30T00:00:00"/>
    <m/>
    <s v="N/A-StillEmployed"/>
    <s v="Active"/>
    <x v="2"/>
    <s v="Webster Butler"/>
    <m/>
    <s v="Google Search"/>
    <s v="Fully Meets"/>
    <n v="5"/>
    <n v="5"/>
    <n v="0"/>
    <s v="2/6/2019"/>
    <n v="0"/>
    <n v="14"/>
    <s v="Normal"/>
    <s v="low Outlier"/>
    <n v="50"/>
    <n v="12"/>
    <n v="12"/>
    <s v="10+ Years"/>
    <s v="46-55"/>
    <s v="Mid (40-70K)"/>
    <n v="1"/>
    <x v="5"/>
    <n v="9"/>
    <s v="Q3"/>
    <s v="Sep"/>
    <s v="2013-09"/>
    <s v="N/A"/>
    <s v="Production       "/>
  </r>
  <r>
    <s v="Shepard, Anita "/>
    <n v="10179"/>
    <n v="1"/>
    <n v="1"/>
    <n v="0"/>
    <n v="1"/>
    <n v="3"/>
    <n v="3"/>
    <n v="0"/>
    <n v="50750"/>
    <n v="0"/>
    <n v="15"/>
    <s v="Network Engineer"/>
    <s v="MA"/>
    <n v="1773"/>
    <d v="1981-04-14T00:00:00"/>
    <s v="F"/>
    <s v="Married"/>
    <s v="US Citizen"/>
    <s v="No"/>
    <s v="White"/>
    <d v="2014-09-30T00:00:00"/>
    <m/>
    <s v="N/A-StillEmployed"/>
    <s v="Active"/>
    <x v="1"/>
    <s v="Peter Monroe"/>
    <n v="7"/>
    <s v="LinkedIn"/>
    <s v="Fully Meets"/>
    <n v="3.31"/>
    <n v="3"/>
    <n v="6"/>
    <s v="1/7/2019"/>
    <n v="0"/>
    <n v="7"/>
    <s v="Normal"/>
    <s v="low Outlier"/>
    <n v="44"/>
    <n v="11"/>
    <n v="11"/>
    <s v="10+ Years"/>
    <s v="36-45"/>
    <s v="Mid (40-70K)"/>
    <n v="1"/>
    <x v="4"/>
    <n v="9"/>
    <s v="Q3"/>
    <s v="Sep"/>
    <s v="2014-09"/>
    <s v="N/A"/>
    <s v="Production       "/>
  </r>
  <r>
    <s v="Shields, Seffi"/>
    <n v="10091"/>
    <n v="1"/>
    <n v="1"/>
    <n v="0"/>
    <n v="1"/>
    <n v="5"/>
    <n v="3"/>
    <n v="0"/>
    <n v="52087"/>
    <n v="0"/>
    <n v="19"/>
    <s v="Production Technician I"/>
    <s v="MA"/>
    <n v="2149"/>
    <d v="1985-08-24T00:00:00"/>
    <s v="F"/>
    <s v="Married"/>
    <s v="US Citizen"/>
    <s v="No"/>
    <s v="White"/>
    <d v="2013-08-19T00:00:00"/>
    <m/>
    <s v="N/A-StillEmployed"/>
    <s v="Active"/>
    <x v="2"/>
    <s v="Amy Dunn"/>
    <n v="11"/>
    <s v="LinkedIn"/>
    <s v="Fully Meets"/>
    <n v="4.8099999999999996"/>
    <n v="4"/>
    <n v="0"/>
    <s v="2/15/2019"/>
    <n v="0"/>
    <n v="15"/>
    <s v="Normal"/>
    <s v="low Outlier"/>
    <n v="40"/>
    <n v="12"/>
    <n v="12"/>
    <s v="10+ Years"/>
    <s v="36-45"/>
    <s v="Mid (40-70K)"/>
    <n v="1"/>
    <x v="5"/>
    <n v="8"/>
    <s v="Q3"/>
    <s v="Aug"/>
    <s v="2013-08"/>
    <s v="N/A"/>
    <s v="Production       "/>
  </r>
  <r>
    <s v="Simard, Kramer"/>
    <n v="10178"/>
    <n v="1"/>
    <n v="1"/>
    <n v="1"/>
    <n v="1"/>
    <n v="3"/>
    <n v="3"/>
    <n v="0"/>
    <n v="87826"/>
    <n v="0"/>
    <n v="9"/>
    <s v="Data Analyst"/>
    <s v="MA"/>
    <n v="2110"/>
    <d v="1970-02-08T00:00:00"/>
    <s v="M "/>
    <s v="Married"/>
    <s v="US Citizen"/>
    <s v="Yes"/>
    <s v="White"/>
    <d v="2015-01-05T00:00:00"/>
    <m/>
    <s v="N/A-StillEmployed"/>
    <s v="Active"/>
    <x v="1"/>
    <s v="Simon Roup"/>
    <n v="4"/>
    <s v="Employee Referral"/>
    <s v="Fully Meets"/>
    <n v="3.32"/>
    <n v="3"/>
    <n v="7"/>
    <s v="1/14/2019"/>
    <n v="0"/>
    <n v="16"/>
    <s v="Normal"/>
    <s v="low Outlier"/>
    <n v="56"/>
    <n v="11"/>
    <n v="11"/>
    <s v="10+ Years"/>
    <s v="55+"/>
    <s v="Senior (70-100K)"/>
    <n v="1"/>
    <x v="1"/>
    <n v="1"/>
    <s v="Q1"/>
    <s v="Jan"/>
    <s v="2015-01"/>
    <s v="N/A"/>
    <s v="Production       "/>
  </r>
  <r>
    <s v="Singh, Nan "/>
    <n v="10039"/>
    <n v="0"/>
    <n v="0"/>
    <n v="0"/>
    <n v="1"/>
    <n v="1"/>
    <n v="3"/>
    <n v="0"/>
    <n v="51920"/>
    <n v="0"/>
    <n v="2"/>
    <s v="Administrative Assistant"/>
    <s v="MA"/>
    <n v="2330"/>
    <d v="1988-05-19T00:00:00"/>
    <s v="F"/>
    <s v="Single"/>
    <s v="US Citizen"/>
    <s v="No"/>
    <s v="White"/>
    <d v="2015-05-01T00:00:00"/>
    <m/>
    <s v="N/A-StillEmployed"/>
    <s v="Active"/>
    <x v="4"/>
    <s v="Brandon R. LeBlanc"/>
    <n v="1"/>
    <s v="Website"/>
    <s v="Fully Meets"/>
    <n v="5"/>
    <n v="3"/>
    <n v="5"/>
    <s v="1/15/2019"/>
    <n v="0"/>
    <n v="2"/>
    <s v="Normal"/>
    <s v="low Outlier"/>
    <n v="37"/>
    <n v="10"/>
    <n v="10"/>
    <s v="10+ Years"/>
    <s v="36-45"/>
    <s v="Mid (40-70K)"/>
    <n v="1"/>
    <x v="1"/>
    <n v="5"/>
    <s v="Q2"/>
    <s v="May"/>
    <s v="2015-05"/>
    <s v="N/A"/>
    <s v="Production       "/>
  </r>
  <r>
    <s v="Sloan, Constance"/>
    <n v="10095"/>
    <n v="0"/>
    <n v="0"/>
    <n v="0"/>
    <n v="5"/>
    <n v="5"/>
    <n v="3"/>
    <n v="0"/>
    <n v="63878"/>
    <n v="1"/>
    <n v="20"/>
    <s v="Production Technician II"/>
    <s v="MA"/>
    <n v="1851"/>
    <d v="1987-11-25T00:00:00"/>
    <s v="F"/>
    <s v="Single"/>
    <s v="US Citizen"/>
    <s v="No"/>
    <s v="White"/>
    <d v="2009-10-26T00:00:00"/>
    <d v="2015-04-08T00:00:00"/>
    <s v="maternity leave - did not return"/>
    <s v="Voluntarily Terminated"/>
    <x v="2"/>
    <s v="Michael Albert"/>
    <n v="22"/>
    <s v="CareerBuilder"/>
    <s v="Fully Meets"/>
    <n v="4.68"/>
    <n v="4"/>
    <n v="0"/>
    <s v="4/2/2015"/>
    <n v="0"/>
    <n v="20"/>
    <s v="Normal"/>
    <s v="low Outlier"/>
    <n v="38"/>
    <n v="16"/>
    <n v="5"/>
    <s v="10+ Years"/>
    <s v="36-45"/>
    <s v="Mid (40-70K)"/>
    <n v="0"/>
    <x v="6"/>
    <n v="10"/>
    <s v="Q4"/>
    <s v="Oct"/>
    <s v="2009-10"/>
    <n v="2015"/>
    <s v="Production       "/>
  </r>
  <r>
    <s v="Smith, Joe"/>
    <n v="10027"/>
    <n v="0"/>
    <n v="0"/>
    <n v="1"/>
    <n v="1"/>
    <n v="5"/>
    <n v="4"/>
    <n v="0"/>
    <n v="60656"/>
    <n v="0"/>
    <n v="20"/>
    <s v="Production Technician II"/>
    <s v="MA"/>
    <n v="2045"/>
    <d v="1963-10-30T00:00:00"/>
    <s v="M "/>
    <s v="Single"/>
    <s v="US Citizen"/>
    <s v="No"/>
    <s v="White"/>
    <d v="2014-09-29T00:00:00"/>
    <m/>
    <s v="N/A-StillEmployed"/>
    <s v="Active"/>
    <x v="2"/>
    <s v="Elijiah Gray"/>
    <n v="16"/>
    <s v="Indeed"/>
    <s v="Exceeds"/>
    <n v="4.3"/>
    <n v="3"/>
    <n v="0"/>
    <s v="1/28/2019"/>
    <n v="0"/>
    <n v="4"/>
    <s v="Normal"/>
    <s v="low Outlier"/>
    <n v="62"/>
    <n v="11"/>
    <n v="11"/>
    <s v="10+ Years"/>
    <s v="55+"/>
    <s v="Mid (40-70K)"/>
    <n v="1"/>
    <x v="4"/>
    <n v="9"/>
    <s v="Q3"/>
    <s v="Sep"/>
    <s v="2014-09"/>
    <s v="N/A"/>
    <s v="Production       "/>
  </r>
  <r>
    <s v="Smith, John"/>
    <n v="10291"/>
    <n v="0"/>
    <n v="2"/>
    <n v="1"/>
    <n v="1"/>
    <n v="6"/>
    <n v="2"/>
    <n v="1"/>
    <n v="72992"/>
    <n v="0"/>
    <n v="21"/>
    <s v="Sales Manager"/>
    <s v="MA"/>
    <n v="1886"/>
    <d v="1984-08-16T00:00:00"/>
    <s v="M "/>
    <s v="Divorced"/>
    <s v="US Citizen"/>
    <s v="No"/>
    <s v="Black or African American"/>
    <d v="2014-05-18T00:00:00"/>
    <m/>
    <s v="N/A-StillEmployed"/>
    <s v="Active"/>
    <x v="5"/>
    <s v="Debra Houlihan"/>
    <n v="15"/>
    <s v="Diversity Job Fair"/>
    <s v="Needs Improvement"/>
    <n v="2.4"/>
    <n v="4"/>
    <n v="0"/>
    <s v="1/16/2019"/>
    <n v="2"/>
    <n v="16"/>
    <s v="Normal"/>
    <s v="low Outlier"/>
    <n v="41"/>
    <n v="11"/>
    <n v="11"/>
    <s v="10+ Years"/>
    <s v="36-45"/>
    <s v="Senior (70-100K)"/>
    <n v="1"/>
    <x v="4"/>
    <n v="5"/>
    <s v="Q2"/>
    <s v="May"/>
    <s v="2014-05"/>
    <s v="N/A"/>
    <s v="Production       "/>
  </r>
  <r>
    <s v="Smith, Leigh Ann"/>
    <n v="10153"/>
    <n v="1"/>
    <n v="1"/>
    <n v="0"/>
    <n v="5"/>
    <n v="1"/>
    <n v="3"/>
    <n v="1"/>
    <n v="55000"/>
    <n v="1"/>
    <n v="2"/>
    <s v="Administrative Assistant"/>
    <s v="MA"/>
    <n v="1844"/>
    <d v="1987-06-14T00:00:00"/>
    <s v="F"/>
    <s v="Married"/>
    <s v="US Citizen"/>
    <s v="No"/>
    <s v="Black or African American"/>
    <d v="2011-09-26T00:00:00"/>
    <d v="2013-09-25T00:00:00"/>
    <s v="career change"/>
    <s v="Voluntarily Terminated"/>
    <x v="4"/>
    <s v="Brandon R. LeBlanc"/>
    <n v="1"/>
    <s v="Diversity Job Fair"/>
    <s v="Fully Meets"/>
    <n v="3.8"/>
    <n v="4"/>
    <n v="4"/>
    <s v="8/15/2013"/>
    <n v="0"/>
    <n v="17"/>
    <s v="Normal"/>
    <s v="low Outlier"/>
    <n v="38"/>
    <n v="14"/>
    <n v="1"/>
    <s v="10+ Years"/>
    <s v="36-45"/>
    <s v="Mid (40-70K)"/>
    <n v="0"/>
    <x v="0"/>
    <n v="9"/>
    <s v="Q3"/>
    <s v="Sep"/>
    <s v="2011-09"/>
    <n v="2013"/>
    <s v="Production       "/>
  </r>
  <r>
    <s v="Smith, Sade"/>
    <n v="10157"/>
    <n v="0"/>
    <n v="0"/>
    <n v="0"/>
    <n v="1"/>
    <n v="5"/>
    <n v="3"/>
    <n v="0"/>
    <n v="58939"/>
    <n v="0"/>
    <n v="19"/>
    <s v="Production Technician I"/>
    <s v="MA"/>
    <n v="2130"/>
    <d v="1965-02-02T00:00:00"/>
    <s v="F"/>
    <s v="Single"/>
    <s v="US Citizen"/>
    <s v="No"/>
    <s v="White"/>
    <d v="2013-11-11T00:00:00"/>
    <m/>
    <s v="N/A-StillEmployed"/>
    <s v="Active"/>
    <x v="2"/>
    <s v="Ketsia Liebig"/>
    <n v="19"/>
    <s v="Employee Referral"/>
    <s v="Fully Meets"/>
    <n v="3.73"/>
    <n v="3"/>
    <n v="0"/>
    <s v="1/24/2019"/>
    <n v="0"/>
    <n v="16"/>
    <s v="Normal"/>
    <s v="low Outlier"/>
    <n v="61"/>
    <n v="12"/>
    <n v="12"/>
    <s v="10+ Years"/>
    <s v="55+"/>
    <s v="Mid (40-70K)"/>
    <n v="1"/>
    <x v="5"/>
    <n v="11"/>
    <s v="Q4"/>
    <s v="Nov"/>
    <s v="2013-11"/>
    <s v="N/A"/>
    <s v="Production       "/>
  </r>
  <r>
    <s v="Soto, Julia "/>
    <n v="10119"/>
    <n v="1"/>
    <n v="1"/>
    <n v="0"/>
    <n v="1"/>
    <n v="3"/>
    <n v="3"/>
    <n v="0"/>
    <n v="66593"/>
    <n v="0"/>
    <n v="14"/>
    <s v="IT Support"/>
    <s v="MA"/>
    <n v="2360"/>
    <d v="1973-03-12T00:00:00"/>
    <s v="F"/>
    <s v="Married"/>
    <s v="US Citizen"/>
    <s v="No"/>
    <s v="Black or African American"/>
    <d v="2011-06-10T00:00:00"/>
    <m/>
    <s v="N/A-StillEmployed"/>
    <s v="Active"/>
    <x v="1"/>
    <s v="Eric Dougall"/>
    <n v="6"/>
    <s v="LinkedIn"/>
    <s v="Fully Meets"/>
    <n v="4.3"/>
    <n v="3"/>
    <n v="5"/>
    <s v="2/8/2019"/>
    <n v="0"/>
    <n v="19"/>
    <s v="Normal"/>
    <s v="low Outlier"/>
    <n v="52"/>
    <n v="14"/>
    <n v="14"/>
    <s v="10+ Years"/>
    <s v="46-55"/>
    <s v="Mid (40-70K)"/>
    <n v="1"/>
    <x v="0"/>
    <n v="6"/>
    <s v="Q2"/>
    <s v="Jun"/>
    <s v="2011-06"/>
    <s v="N/A"/>
    <s v="Production       "/>
  </r>
  <r>
    <s v="Soze, Keyser"/>
    <n v="10180"/>
    <n v="1"/>
    <n v="1"/>
    <n v="1"/>
    <n v="2"/>
    <n v="3"/>
    <n v="3"/>
    <n v="0"/>
    <n v="87565"/>
    <n v="0"/>
    <n v="28"/>
    <s v="Sr. Network Engineer"/>
    <s v="MA"/>
    <n v="1545"/>
    <d v="1983-02-09T00:00:00"/>
    <s v="M "/>
    <s v="Married"/>
    <s v="US Citizen"/>
    <s v="No"/>
    <s v="Asian"/>
    <d v="2016-06-30T00:00:00"/>
    <m/>
    <s v="N/A-StillEmployed"/>
    <s v="Active"/>
    <x v="1"/>
    <s v="Peter Monroe"/>
    <n v="7"/>
    <s v="LinkedIn"/>
    <s v="Fully Meets"/>
    <n v="3.27"/>
    <n v="4"/>
    <n v="5"/>
    <s v="1/14/2019"/>
    <n v="0"/>
    <n v="13"/>
    <s v="Normal"/>
    <s v="low Outlier"/>
    <n v="43"/>
    <n v="9"/>
    <n v="9"/>
    <s v="5-10 Years"/>
    <s v="36-45"/>
    <s v="Senior (70-100K)"/>
    <n v="1"/>
    <x v="7"/>
    <n v="6"/>
    <s v="Q2"/>
    <s v="Jun"/>
    <s v="2016-06"/>
    <s v="N/A"/>
    <s v="Production       "/>
  </r>
  <r>
    <s v="Sparks, Taylor  "/>
    <n v="10302"/>
    <n v="1"/>
    <n v="1"/>
    <n v="0"/>
    <n v="1"/>
    <n v="5"/>
    <n v="1"/>
    <n v="0"/>
    <n v="64021"/>
    <n v="0"/>
    <n v="19"/>
    <s v="Production Technician I"/>
    <s v="MA"/>
    <n v="2093"/>
    <d v="1968-07-20T00:00:00"/>
    <s v="F"/>
    <s v="Married"/>
    <s v="US Citizen"/>
    <s v="No"/>
    <s v="White"/>
    <d v="2012-02-20T00:00:00"/>
    <m/>
    <s v="N/A-StillEmployed"/>
    <s v="Active"/>
    <x v="2"/>
    <s v="Brannon Miller"/>
    <n v="12"/>
    <s v="Indeed"/>
    <s v="PIP"/>
    <n v="2.4"/>
    <n v="2"/>
    <n v="1"/>
    <s v="2/25/2019"/>
    <n v="6"/>
    <n v="20"/>
    <s v="Normal"/>
    <s v="low Outlier"/>
    <n v="57"/>
    <n v="13"/>
    <n v="13"/>
    <s v="10+ Years"/>
    <s v="55+"/>
    <s v="Mid (40-70K)"/>
    <n v="1"/>
    <x v="3"/>
    <n v="2"/>
    <s v="Q1"/>
    <s v="Feb"/>
    <s v="2012-02"/>
    <s v="N/A"/>
    <s v="Production       "/>
  </r>
  <r>
    <s v="Spirea, Kelley"/>
    <n v="10090"/>
    <n v="1"/>
    <n v="1"/>
    <n v="0"/>
    <n v="1"/>
    <n v="5"/>
    <n v="3"/>
    <n v="0"/>
    <n v="65714"/>
    <n v="0"/>
    <n v="18"/>
    <s v="Production Manager"/>
    <s v="MA"/>
    <n v="2451"/>
    <d v="1975-09-30T00:00:00"/>
    <s v="F"/>
    <s v="Married"/>
    <s v="US Citizen"/>
    <s v="No"/>
    <s v="White"/>
    <d v="2012-10-02T00:00:00"/>
    <m/>
    <s v="N/A-StillEmployed"/>
    <s v="Active"/>
    <x v="2"/>
    <s v="Janet King"/>
    <n v="2"/>
    <s v="LinkedIn"/>
    <s v="Fully Meets"/>
    <n v="4.83"/>
    <n v="5"/>
    <n v="0"/>
    <s v="2/14/2019"/>
    <n v="0"/>
    <n v="15"/>
    <s v="Normal"/>
    <s v="low Outlier"/>
    <n v="50"/>
    <n v="13"/>
    <n v="13"/>
    <s v="10+ Years"/>
    <s v="46-55"/>
    <s v="Mid (40-70K)"/>
    <n v="1"/>
    <x v="3"/>
    <n v="10"/>
    <s v="Q4"/>
    <s v="Oct"/>
    <s v="2012-10"/>
    <s v="N/A"/>
    <s v="Production       "/>
  </r>
  <r>
    <s v="Squatrito, Kristen"/>
    <n v="10030"/>
    <n v="0"/>
    <n v="2"/>
    <n v="0"/>
    <n v="5"/>
    <n v="5"/>
    <n v="4"/>
    <n v="0"/>
    <n v="62425"/>
    <n v="1"/>
    <n v="19"/>
    <s v="Production Technician I"/>
    <s v="MA"/>
    <n v="2359"/>
    <d v="1973-03-26T00:00:00"/>
    <s v="F"/>
    <s v="Divorced"/>
    <s v="US Citizen"/>
    <s v="No"/>
    <s v="White"/>
    <d v="2013-05-13T00:00:00"/>
    <d v="2015-06-29T00:00:00"/>
    <s v="unhappy"/>
    <s v="Voluntarily Terminated"/>
    <x v="2"/>
    <s v="David Stanley"/>
    <n v="14"/>
    <s v="LinkedIn"/>
    <s v="Exceeds"/>
    <n v="4.0999999999999996"/>
    <n v="4"/>
    <n v="0"/>
    <s v="3/2/2015"/>
    <n v="0"/>
    <n v="16"/>
    <s v="Normal"/>
    <s v="low Outlier"/>
    <n v="52"/>
    <n v="12"/>
    <n v="2"/>
    <s v="10+ Years"/>
    <s v="46-55"/>
    <s v="Mid (40-70K)"/>
    <n v="0"/>
    <x v="5"/>
    <n v="5"/>
    <s v="Q2"/>
    <s v="May"/>
    <s v="2013-05"/>
    <n v="2015"/>
    <s v="Production       "/>
  </r>
  <r>
    <s v="Stanford,Barbara  M"/>
    <n v="10278"/>
    <n v="0"/>
    <n v="2"/>
    <n v="0"/>
    <n v="1"/>
    <n v="5"/>
    <n v="3"/>
    <n v="0"/>
    <n v="47961"/>
    <n v="0"/>
    <n v="19"/>
    <s v="Production Technician I"/>
    <s v="MA"/>
    <n v="2050"/>
    <d v="1982-08-25T00:00:00"/>
    <s v="F"/>
    <s v="Divorced"/>
    <s v="US Citizen"/>
    <s v="No"/>
    <s v="Two or more races"/>
    <d v="2011-01-10T00:00:00"/>
    <m/>
    <s v="N/A-StillEmployed"/>
    <s v="Active"/>
    <x v="2"/>
    <s v="Kissy Sullivan"/>
    <n v="20"/>
    <s v="Google Search"/>
    <s v="Fully Meets"/>
    <n v="4.0999999999999996"/>
    <n v="4"/>
    <n v="0"/>
    <s v="2/7/2019"/>
    <n v="0"/>
    <n v="9"/>
    <s v="Normal"/>
    <s v="low Outlier"/>
    <n v="43"/>
    <n v="15"/>
    <n v="15"/>
    <s v="10+ Years"/>
    <s v="36-45"/>
    <s v="Mid (40-70K)"/>
    <n v="1"/>
    <x v="0"/>
    <n v="1"/>
    <s v="Q1"/>
    <s v="Jan"/>
    <s v="2011-01"/>
    <s v="N/A"/>
    <s v="Production       "/>
  </r>
  <r>
    <s v="Stansfield, Norman"/>
    <n v="10307"/>
    <n v="1"/>
    <n v="1"/>
    <n v="1"/>
    <n v="1"/>
    <n v="6"/>
    <n v="1"/>
    <n v="0"/>
    <n v="58273"/>
    <n v="0"/>
    <n v="3"/>
    <s v="Area Sales Manager"/>
    <s v="NV"/>
    <n v="89139"/>
    <d v="1974-05-09T00:00:00"/>
    <s v="M "/>
    <s v="Married"/>
    <s v="US Citizen"/>
    <s v="No"/>
    <s v="White"/>
    <d v="2014-05-12T00:00:00"/>
    <m/>
    <s v="N/A-StillEmployed"/>
    <s v="Active"/>
    <x v="5"/>
    <s v="Lynn Daneault"/>
    <n v="21"/>
    <s v="Website"/>
    <s v="PIP"/>
    <n v="1.81"/>
    <n v="2"/>
    <n v="0"/>
    <s v="1/17/2019"/>
    <n v="3"/>
    <n v="5"/>
    <s v="Normal"/>
    <s v="low Outlier"/>
    <n v="51"/>
    <n v="11"/>
    <n v="11"/>
    <s v="10+ Years"/>
    <s v="46-55"/>
    <s v="Mid (40-70K)"/>
    <n v="1"/>
    <x v="4"/>
    <n v="5"/>
    <s v="Q2"/>
    <s v="May"/>
    <s v="2014-05"/>
    <s v="N/A"/>
    <s v="Production       "/>
  </r>
  <r>
    <s v="Steans, Tyrone  "/>
    <n v="10147"/>
    <n v="0"/>
    <n v="0"/>
    <n v="1"/>
    <n v="1"/>
    <n v="1"/>
    <n v="3"/>
    <n v="0"/>
    <n v="63003"/>
    <n v="0"/>
    <n v="1"/>
    <s v="Accountant I"/>
    <s v="MA"/>
    <n v="2703"/>
    <d v="1986-09-01T00:00:00"/>
    <s v="M "/>
    <s v="Single"/>
    <s v="US Citizen"/>
    <s v="No"/>
    <s v="White"/>
    <d v="2014-09-29T00:00:00"/>
    <m/>
    <s v="N/A-StillEmployed"/>
    <s v="Active"/>
    <x v="4"/>
    <s v="Brandon R. LeBlanc"/>
    <n v="1"/>
    <s v="Indeed"/>
    <s v="Fully Meets"/>
    <n v="3.9"/>
    <n v="5"/>
    <n v="5"/>
    <s v="1/18/2019"/>
    <n v="0"/>
    <n v="9"/>
    <s v="Normal"/>
    <s v="low Outlier"/>
    <n v="39"/>
    <n v="11"/>
    <n v="11"/>
    <s v="10+ Years"/>
    <s v="36-45"/>
    <s v="Mid (40-70K)"/>
    <n v="1"/>
    <x v="4"/>
    <n v="9"/>
    <s v="Q3"/>
    <s v="Sep"/>
    <s v="2014-09"/>
    <s v="N/A"/>
    <s v="Production       "/>
  </r>
  <r>
    <s v="Stoica, Rick"/>
    <n v="10266"/>
    <n v="1"/>
    <n v="1"/>
    <n v="1"/>
    <n v="1"/>
    <n v="5"/>
    <n v="3"/>
    <n v="0"/>
    <n v="61355"/>
    <n v="0"/>
    <n v="19"/>
    <s v="Production Technician I"/>
    <s v="MA"/>
    <n v="2301"/>
    <d v="1985-03-14T00:00:00"/>
    <s v="M "/>
    <s v="Married"/>
    <s v="US Citizen"/>
    <s v="No"/>
    <s v="Asian"/>
    <d v="2014-02-17T00:00:00"/>
    <m/>
    <s v="N/A-StillEmployed"/>
    <s v="Active"/>
    <x v="2"/>
    <s v="Kelley Spirea"/>
    <n v="18"/>
    <s v="LinkedIn"/>
    <s v="Fully Meets"/>
    <n v="4.7"/>
    <n v="3"/>
    <n v="0"/>
    <s v="1/11/2019"/>
    <n v="0"/>
    <n v="4"/>
    <s v="Normal"/>
    <s v="low Outlier"/>
    <n v="40"/>
    <n v="11"/>
    <n v="11"/>
    <s v="10+ Years"/>
    <s v="36-45"/>
    <s v="Mid (40-70K)"/>
    <n v="1"/>
    <x v="4"/>
    <n v="2"/>
    <s v="Q1"/>
    <s v="Feb"/>
    <s v="2014-02"/>
    <s v="N/A"/>
    <s v="Production       "/>
  </r>
  <r>
    <s v="Strong, Caitrin"/>
    <n v="10241"/>
    <n v="1"/>
    <n v="1"/>
    <n v="0"/>
    <n v="1"/>
    <n v="6"/>
    <n v="3"/>
    <n v="0"/>
    <n v="60120"/>
    <n v="0"/>
    <n v="3"/>
    <s v="Area Sales Manager"/>
    <s v="MT"/>
    <n v="59102"/>
    <d v="1989-05-12T00:00:00"/>
    <s v="F"/>
    <s v="Married"/>
    <s v="US Citizen"/>
    <s v="No"/>
    <s v="Black or African American"/>
    <d v="2010-09-27T00:00:00"/>
    <m/>
    <s v="N/A-StillEmployed"/>
    <s v="Active"/>
    <x v="5"/>
    <s v="John Smith"/>
    <n v="17"/>
    <s v="Indeed"/>
    <s v="Fully Meets"/>
    <n v="4.0999999999999996"/>
    <n v="4"/>
    <n v="0"/>
    <s v="1/31/2019"/>
    <n v="0"/>
    <n v="18"/>
    <s v="Normal"/>
    <s v="low Outlier"/>
    <n v="36"/>
    <n v="15"/>
    <n v="15"/>
    <s v="10+ Years"/>
    <s v="36-45"/>
    <s v="Mid (40-70K)"/>
    <n v="1"/>
    <x v="8"/>
    <n v="9"/>
    <s v="Q3"/>
    <s v="Sep"/>
    <s v="2010-09"/>
    <s v="N/A"/>
    <s v="Production       "/>
  </r>
  <r>
    <s v="Sullivan, Kissy "/>
    <n v="10158"/>
    <n v="1"/>
    <n v="1"/>
    <n v="0"/>
    <n v="1"/>
    <n v="5"/>
    <n v="3"/>
    <n v="0"/>
    <n v="63682"/>
    <n v="0"/>
    <n v="18"/>
    <s v="Production Manager"/>
    <s v="MA"/>
    <n v="1776"/>
    <d v="1978-03-28T00:00:00"/>
    <s v="F"/>
    <s v="Married"/>
    <s v="US Citizen"/>
    <s v="No"/>
    <s v="Black or African American"/>
    <d v="2009-01-08T00:00:00"/>
    <m/>
    <s v="N/A-StillEmployed"/>
    <s v="Active"/>
    <x v="2"/>
    <s v="Janet King"/>
    <n v="2"/>
    <s v="Indeed"/>
    <s v="Fully Meets"/>
    <n v="3.73"/>
    <n v="4"/>
    <n v="0"/>
    <s v="1/24/2019"/>
    <n v="0"/>
    <n v="12"/>
    <s v="Normal"/>
    <s v="low Outlier"/>
    <n v="47"/>
    <n v="17"/>
    <n v="17"/>
    <s v="10+ Years"/>
    <s v="46-55"/>
    <s v="Mid (40-70K)"/>
    <n v="1"/>
    <x v="6"/>
    <n v="1"/>
    <s v="Q1"/>
    <s v="Jan"/>
    <s v="2009-01"/>
    <s v="N/A"/>
    <s v="Production       "/>
  </r>
  <r>
    <s v="Sullivan, Timothy"/>
    <n v="10117"/>
    <n v="1"/>
    <n v="1"/>
    <n v="1"/>
    <n v="1"/>
    <n v="5"/>
    <n v="3"/>
    <n v="0"/>
    <n v="63025"/>
    <n v="0"/>
    <n v="19"/>
    <s v="Production Technician I"/>
    <s v="MA"/>
    <n v="2747"/>
    <d v="1982-10-07T00:00:00"/>
    <s v="M "/>
    <s v="Married"/>
    <s v="US Citizen"/>
    <s v="Yes"/>
    <s v="White"/>
    <d v="2015-01-05T00:00:00"/>
    <m/>
    <s v="N/A-StillEmployed"/>
    <s v="Active"/>
    <x v="2"/>
    <s v="Michael Albert"/>
    <n v="22"/>
    <s v="Google Search"/>
    <s v="Fully Meets"/>
    <n v="4.3600000000000003"/>
    <n v="5"/>
    <n v="0"/>
    <s v="1/24/2019"/>
    <n v="0"/>
    <n v="10"/>
    <s v="Normal"/>
    <s v="low Outlier"/>
    <n v="43"/>
    <n v="11"/>
    <n v="11"/>
    <s v="10+ Years"/>
    <s v="36-45"/>
    <s v="Mid (40-70K)"/>
    <n v="1"/>
    <x v="1"/>
    <n v="1"/>
    <s v="Q1"/>
    <s v="Jan"/>
    <s v="2015-01"/>
    <s v="N/A"/>
    <s v="Production       "/>
  </r>
  <r>
    <s v="Sutwell, Barbara"/>
    <n v="10209"/>
    <n v="0"/>
    <n v="0"/>
    <n v="0"/>
    <n v="1"/>
    <n v="5"/>
    <n v="3"/>
    <n v="0"/>
    <n v="59238"/>
    <n v="0"/>
    <n v="19"/>
    <s v="Production Technician I"/>
    <s v="MA"/>
    <n v="2718"/>
    <d v="1968-08-15T00:00:00"/>
    <s v="F"/>
    <s v="Single"/>
    <s v="Eligible NonCitizen"/>
    <s v="No"/>
    <s v="Asian"/>
    <d v="2012-05-14T00:00:00"/>
    <m/>
    <s v="N/A-StillEmployed"/>
    <s v="Active"/>
    <x v="2"/>
    <s v="Elijiah Gray"/>
    <n v="16"/>
    <s v="Indeed"/>
    <s v="Fully Meets"/>
    <n v="3.4"/>
    <n v="5"/>
    <n v="0"/>
    <s v="1/31/2019"/>
    <n v="0"/>
    <n v="13"/>
    <s v="Normal"/>
    <s v="low Outlier"/>
    <n v="57"/>
    <n v="13"/>
    <n v="13"/>
    <s v="10+ Years"/>
    <s v="55+"/>
    <s v="Mid (40-70K)"/>
    <n v="1"/>
    <x v="3"/>
    <n v="5"/>
    <s v="Q2"/>
    <s v="May"/>
    <s v="2012-05"/>
    <s v="N/A"/>
    <s v="Production       "/>
  </r>
  <r>
    <s v="Szabo, Andrew"/>
    <n v="10024"/>
    <n v="0"/>
    <n v="0"/>
    <n v="1"/>
    <n v="1"/>
    <n v="4"/>
    <n v="4"/>
    <n v="0"/>
    <n v="92989"/>
    <n v="0"/>
    <n v="24"/>
    <s v="Software Engineer"/>
    <s v="MA"/>
    <n v="2140"/>
    <d v="1983-05-06T00:00:00"/>
    <s v="M "/>
    <s v="Single"/>
    <s v="US Citizen"/>
    <s v="No"/>
    <s v="White"/>
    <d v="2014-07-07T00:00:00"/>
    <m/>
    <s v="N/A-StillEmployed"/>
    <s v="Active"/>
    <x v="3"/>
    <s v="Alex Sweetwater"/>
    <n v="10"/>
    <s v="LinkedIn"/>
    <s v="Exceeds"/>
    <n v="4.5"/>
    <n v="5"/>
    <n v="5"/>
    <s v="2/18/2019"/>
    <n v="0"/>
    <n v="1"/>
    <s v="Normal"/>
    <s v="low Outlier"/>
    <n v="42"/>
    <n v="11"/>
    <n v="11"/>
    <s v="10+ Years"/>
    <s v="36-45"/>
    <s v="Senior (70-100K)"/>
    <n v="1"/>
    <x v="4"/>
    <n v="7"/>
    <s v="Q3"/>
    <s v="Jul"/>
    <s v="2014-07"/>
    <s v="N/A"/>
    <s v="Production       "/>
  </r>
  <r>
    <s v="Tannen, Biff"/>
    <n v="10173"/>
    <n v="1"/>
    <n v="1"/>
    <n v="1"/>
    <n v="1"/>
    <n v="3"/>
    <n v="3"/>
    <n v="0"/>
    <n v="90100"/>
    <n v="0"/>
    <n v="4"/>
    <s v="BI Developer"/>
    <s v="MA"/>
    <n v="2134"/>
    <d v="1987-10-24T00:00:00"/>
    <s v="M "/>
    <s v="Married"/>
    <s v="US Citizen"/>
    <s v="No"/>
    <s v="White"/>
    <d v="2017-04-20T00:00:00"/>
    <m/>
    <s v="N/A-StillEmployed"/>
    <s v="Active"/>
    <x v="1"/>
    <s v="Brian Champaigne"/>
    <n v="13"/>
    <s v="Indeed"/>
    <s v="Fully Meets"/>
    <n v="3.4"/>
    <n v="3"/>
    <n v="6"/>
    <s v="1/2/2019"/>
    <n v="0"/>
    <n v="14"/>
    <s v="Normal"/>
    <s v="low Outlier"/>
    <n v="38"/>
    <n v="8"/>
    <n v="8"/>
    <s v="5-10 Years"/>
    <s v="36-45"/>
    <s v="Senior (70-100K)"/>
    <n v="1"/>
    <x v="10"/>
    <n v="4"/>
    <s v="Q2"/>
    <s v="Apr"/>
    <s v="2017-04"/>
    <s v="N/A"/>
    <s v="Production       "/>
  </r>
  <r>
    <s v="Tavares, Desiree  "/>
    <n v="10221"/>
    <n v="1"/>
    <n v="1"/>
    <n v="0"/>
    <n v="5"/>
    <n v="5"/>
    <n v="3"/>
    <n v="1"/>
    <n v="60754"/>
    <n v="1"/>
    <n v="19"/>
    <s v="Production Technician I"/>
    <s v="MA"/>
    <n v="1801"/>
    <d v="1975-04-03T00:00:00"/>
    <s v="F"/>
    <s v="Married"/>
    <s v="Non-Citizen"/>
    <s v="No"/>
    <s v="Black or African American"/>
    <d v="2009-04-27T00:00:00"/>
    <d v="2013-04-01T00:00:00"/>
    <s v="Another position"/>
    <s v="Voluntarily Terminated"/>
    <x v="2"/>
    <s v="Webster Butler"/>
    <n v="39"/>
    <s v="Diversity Job Fair"/>
    <s v="Fully Meets"/>
    <n v="4.5"/>
    <n v="5"/>
    <n v="0"/>
    <s v="2/15/2012"/>
    <n v="0"/>
    <n v="11"/>
    <s v="Normal"/>
    <s v="low Outlier"/>
    <n v="50"/>
    <n v="16"/>
    <n v="3"/>
    <s v="10+ Years"/>
    <s v="46-55"/>
    <s v="Mid (40-70K)"/>
    <n v="0"/>
    <x v="6"/>
    <n v="4"/>
    <s v="Q2"/>
    <s v="Apr"/>
    <s v="2009-04"/>
    <n v="2013"/>
    <s v="Production       "/>
  </r>
  <r>
    <s v="Tejeda, Lenora "/>
    <n v="10146"/>
    <n v="1"/>
    <n v="1"/>
    <n v="0"/>
    <n v="5"/>
    <n v="5"/>
    <n v="3"/>
    <n v="0"/>
    <n v="72202"/>
    <n v="1"/>
    <n v="20"/>
    <s v="Production Technician II"/>
    <s v="MA"/>
    <n v="2129"/>
    <d v="1953-05-24T00:00:00"/>
    <s v="F"/>
    <s v="Married"/>
    <s v="US Citizen"/>
    <s v="No"/>
    <s v="White"/>
    <d v="2011-05-16T00:00:00"/>
    <d v="2017-07-08T00:00:00"/>
    <s v="Another position"/>
    <s v="Voluntarily Terminated"/>
    <x v="2"/>
    <s v="Elijiah Gray"/>
    <n v="16"/>
    <s v="Google Search"/>
    <s v="Fully Meets"/>
    <n v="3.93"/>
    <n v="3"/>
    <n v="0"/>
    <s v="4/18/2017"/>
    <n v="0"/>
    <n v="3"/>
    <s v="Normal"/>
    <s v="low Outlier"/>
    <n v="72"/>
    <n v="14"/>
    <n v="6"/>
    <s v="10+ Years"/>
    <s v="55+"/>
    <s v="Senior (70-100K)"/>
    <n v="0"/>
    <x v="0"/>
    <n v="5"/>
    <s v="Q2"/>
    <s v="May"/>
    <s v="2011-05"/>
    <n v="2017"/>
    <s v="Production       "/>
  </r>
  <r>
    <s v="Terry, Sharlene "/>
    <n v="10161"/>
    <n v="0"/>
    <n v="0"/>
    <n v="0"/>
    <n v="1"/>
    <n v="6"/>
    <n v="3"/>
    <n v="0"/>
    <n v="58370"/>
    <n v="0"/>
    <n v="3"/>
    <s v="Area Sales Manager"/>
    <s v="OR"/>
    <n v="97756"/>
    <d v="1965-05-07T00:00:00"/>
    <s v="F"/>
    <s v="Single"/>
    <s v="US Citizen"/>
    <s v="No"/>
    <s v="Black or African American"/>
    <d v="2014-09-29T00:00:00"/>
    <m/>
    <s v="N/A-StillEmployed"/>
    <s v="Active"/>
    <x v="5"/>
    <s v="Lynn Daneault"/>
    <n v="21"/>
    <s v="Indeed"/>
    <s v="Fully Meets"/>
    <n v="3.69"/>
    <n v="3"/>
    <n v="0"/>
    <s v="1/28/2019"/>
    <n v="0"/>
    <n v="18"/>
    <s v="Normal"/>
    <s v="low Outlier"/>
    <n v="60"/>
    <n v="11"/>
    <n v="11"/>
    <s v="10+ Years"/>
    <s v="55+"/>
    <s v="Mid (40-70K)"/>
    <n v="1"/>
    <x v="4"/>
    <n v="9"/>
    <s v="Q3"/>
    <s v="Sep"/>
    <s v="2014-09"/>
    <s v="N/A"/>
    <s v="Production       "/>
  </r>
  <r>
    <s v="Theamstern, Sophia"/>
    <n v="10141"/>
    <n v="0"/>
    <n v="0"/>
    <n v="0"/>
    <n v="5"/>
    <n v="5"/>
    <n v="3"/>
    <n v="0"/>
    <n v="48413"/>
    <n v="1"/>
    <n v="19"/>
    <s v="Production Technician I"/>
    <s v="MA"/>
    <n v="2066"/>
    <d v="1965-05-09T00:00:00"/>
    <s v="F"/>
    <s v="Single"/>
    <s v="US Citizen"/>
    <s v="No"/>
    <s v="White"/>
    <d v="2011-07-05T00:00:00"/>
    <d v="2016-09-05T00:00:00"/>
    <s v="return to school"/>
    <s v="Voluntarily Terminated"/>
    <x v="2"/>
    <s v="Amy Dunn"/>
    <n v="11"/>
    <s v="Indeed"/>
    <s v="Fully Meets"/>
    <n v="3.98"/>
    <n v="4"/>
    <n v="0"/>
    <s v="3/2/2016"/>
    <n v="0"/>
    <n v="1"/>
    <s v="Normal"/>
    <s v="low Outlier"/>
    <n v="60"/>
    <n v="14"/>
    <n v="5"/>
    <s v="10+ Years"/>
    <s v="55+"/>
    <s v="Mid (40-70K)"/>
    <n v="0"/>
    <x v="0"/>
    <n v="7"/>
    <s v="Q3"/>
    <s v="Jul"/>
    <s v="2011-07"/>
    <n v="2016"/>
    <s v="Production       "/>
  </r>
  <r>
    <s v="Thibaud, Kenneth"/>
    <n v="10268"/>
    <n v="0"/>
    <n v="4"/>
    <n v="1"/>
    <n v="5"/>
    <n v="5"/>
    <n v="3"/>
    <n v="0"/>
    <n v="67176"/>
    <n v="1"/>
    <n v="20"/>
    <s v="Production Technician II"/>
    <s v="MA"/>
    <n v="2472"/>
    <d v="1975-09-16T00:00:00"/>
    <s v="M "/>
    <s v="Widowed"/>
    <s v="US Citizen"/>
    <s v="No"/>
    <s v="White"/>
    <d v="2007-06-25T00:00:00"/>
    <d v="2010-08-30T00:00:00"/>
    <s v="military"/>
    <s v="Voluntarily Terminated"/>
    <x v="2"/>
    <s v="Webster Butler"/>
    <n v="39"/>
    <s v="Other"/>
    <s v="Fully Meets"/>
    <n v="4.0999999999999996"/>
    <n v="4"/>
    <n v="0"/>
    <s v="7/14/2010"/>
    <n v="0"/>
    <n v="15"/>
    <s v="Normal"/>
    <s v="low Outlier"/>
    <n v="50"/>
    <n v="18"/>
    <n v="3"/>
    <s v="10+ Years"/>
    <s v="46-55"/>
    <s v="Mid (40-70K)"/>
    <n v="0"/>
    <x v="11"/>
    <n v="6"/>
    <s v="Q2"/>
    <s v="Jun"/>
    <s v="2007-06"/>
    <n v="2010"/>
    <s v="Production       "/>
  </r>
  <r>
    <s v="Tippett, Jeanette"/>
    <n v="10123"/>
    <n v="0"/>
    <n v="2"/>
    <n v="0"/>
    <n v="1"/>
    <n v="5"/>
    <n v="3"/>
    <n v="0"/>
    <n v="56339"/>
    <n v="0"/>
    <n v="19"/>
    <s v="Production Technician I"/>
    <s v="MA"/>
    <n v="2093"/>
    <d v="1967-06-05T00:00:00"/>
    <s v="F"/>
    <s v="Divorced"/>
    <s v="US Citizen"/>
    <s v="No"/>
    <s v="Black or African American"/>
    <d v="2013-02-18T00:00:00"/>
    <m/>
    <s v="N/A-StillEmployed"/>
    <s v="Active"/>
    <x v="2"/>
    <s v="Brannon Miller"/>
    <n v="12"/>
    <s v="Indeed"/>
    <s v="Fully Meets"/>
    <n v="4.21"/>
    <n v="5"/>
    <n v="0"/>
    <s v="1/14/2019"/>
    <n v="0"/>
    <n v="4"/>
    <s v="Normal"/>
    <s v="low Outlier"/>
    <n v="58"/>
    <n v="12"/>
    <n v="12"/>
    <s v="10+ Years"/>
    <s v="55+"/>
    <s v="Mid (40-70K)"/>
    <n v="1"/>
    <x v="5"/>
    <n v="2"/>
    <s v="Q1"/>
    <s v="Feb"/>
    <s v="2013-02"/>
    <s v="N/A"/>
    <s v="Production       "/>
  </r>
  <r>
    <s v="Torrence, Jack"/>
    <n v="10013"/>
    <n v="0"/>
    <n v="3"/>
    <n v="1"/>
    <n v="1"/>
    <n v="6"/>
    <n v="4"/>
    <n v="0"/>
    <n v="64397"/>
    <n v="0"/>
    <n v="3"/>
    <s v="Area Sales Manager"/>
    <s v="ND"/>
    <n v="58782"/>
    <d v="1968-01-15T00:00:00"/>
    <s v="M "/>
    <s v="Separated"/>
    <s v="US Citizen"/>
    <s v="No"/>
    <s v="White"/>
    <d v="2006-01-09T00:00:00"/>
    <m/>
    <s v="N/A-StillEmployed"/>
    <s v="Active"/>
    <x v="5"/>
    <s v="Lynn Daneault"/>
    <n v="21"/>
    <s v="Indeed"/>
    <s v="Exceeds"/>
    <n v="4.0999999999999996"/>
    <n v="3"/>
    <n v="0"/>
    <s v="1/4/2019"/>
    <n v="0"/>
    <n v="6"/>
    <s v="Normal"/>
    <s v="low Outlier"/>
    <n v="58"/>
    <n v="20"/>
    <n v="20"/>
    <s v="10+ Years"/>
    <s v="55+"/>
    <s v="Mid (40-70K)"/>
    <n v="1"/>
    <x v="12"/>
    <n v="1"/>
    <s v="Q1"/>
    <s v="Jan"/>
    <s v="2006-01"/>
    <s v="N/A"/>
    <s v="Production       "/>
  </r>
  <r>
    <s v="Trang, Mei"/>
    <n v="10287"/>
    <n v="0"/>
    <n v="0"/>
    <n v="0"/>
    <n v="1"/>
    <n v="5"/>
    <n v="2"/>
    <n v="0"/>
    <n v="63025"/>
    <n v="0"/>
    <n v="19"/>
    <s v="Production Technician I"/>
    <s v="MA"/>
    <n v="2021"/>
    <d v="1983-05-16T00:00:00"/>
    <s v="F"/>
    <s v="Single"/>
    <s v="US Citizen"/>
    <s v="No"/>
    <s v="White"/>
    <d v="2014-02-17T00:00:00"/>
    <m/>
    <s v="N/A-StillEmployed"/>
    <s v="Active"/>
    <x v="2"/>
    <s v="David Stanley"/>
    <n v="14"/>
    <s v="LinkedIn"/>
    <s v="Needs Improvement"/>
    <n v="2.44"/>
    <n v="5"/>
    <n v="0"/>
    <s v="2/11/2019"/>
    <n v="4"/>
    <n v="18"/>
    <s v="Normal"/>
    <s v="low Outlier"/>
    <n v="42"/>
    <n v="11"/>
    <n v="11"/>
    <s v="10+ Years"/>
    <s v="36-45"/>
    <s v="Mid (40-70K)"/>
    <n v="1"/>
    <x v="4"/>
    <n v="2"/>
    <s v="Q1"/>
    <s v="Feb"/>
    <s v="2014-02"/>
    <s v="N/A"/>
    <s v="Production       "/>
  </r>
  <r>
    <s v="Tredinnick, Neville "/>
    <n v="10044"/>
    <n v="1"/>
    <n v="1"/>
    <n v="1"/>
    <n v="5"/>
    <n v="3"/>
    <n v="3"/>
    <n v="0"/>
    <n v="75281"/>
    <n v="1"/>
    <n v="15"/>
    <s v="Network Engineer"/>
    <s v="MA"/>
    <n v="1420"/>
    <d v="1988-05-05T00:00:00"/>
    <s v="M "/>
    <s v="Married"/>
    <s v="US Citizen"/>
    <s v="No"/>
    <s v="White"/>
    <d v="2015-01-05T00:00:00"/>
    <d v="2016-02-12T00:00:00"/>
    <s v="medical issues"/>
    <s v="Voluntarily Terminated"/>
    <x v="1"/>
    <s v="Peter Monroe"/>
    <n v="7"/>
    <s v="CareerBuilder"/>
    <s v="Fully Meets"/>
    <n v="5"/>
    <n v="3"/>
    <n v="5"/>
    <s v="4/15/2015"/>
    <n v="0"/>
    <n v="11"/>
    <s v="Normal"/>
    <s v="low Outlier"/>
    <n v="37"/>
    <n v="11"/>
    <n v="1"/>
    <s v="10+ Years"/>
    <s v="36-45"/>
    <s v="Senior (70-100K)"/>
    <n v="0"/>
    <x v="1"/>
    <n v="1"/>
    <s v="Q1"/>
    <s v="Jan"/>
    <s v="2015-01"/>
    <n v="2016"/>
    <s v="Production       "/>
  </r>
  <r>
    <s v="True, Edward"/>
    <n v="10102"/>
    <n v="0"/>
    <n v="0"/>
    <n v="1"/>
    <n v="5"/>
    <n v="4"/>
    <n v="3"/>
    <n v="1"/>
    <n v="100416"/>
    <n v="1"/>
    <n v="24"/>
    <s v="Software Engineer"/>
    <s v="MA"/>
    <n v="2451"/>
    <d v="1983-06-14T00:00:00"/>
    <s v="M "/>
    <s v="Single"/>
    <s v="Non-Citizen"/>
    <s v="No"/>
    <s v="Black or African American"/>
    <d v="2013-02-18T00:00:00"/>
    <d v="2018-04-15T00:00:00"/>
    <s v="medical issues"/>
    <s v="Voluntarily Terminated"/>
    <x v="3"/>
    <s v="Alex Sweetwater"/>
    <n v="10"/>
    <s v="Diversity Job Fair"/>
    <s v="Fully Meets"/>
    <n v="4.5999999999999996"/>
    <n v="3"/>
    <n v="4"/>
    <s v="2/12/2017"/>
    <n v="0"/>
    <n v="9"/>
    <s v="Normal"/>
    <s v="low Outlier"/>
    <n v="42"/>
    <n v="12"/>
    <n v="5"/>
    <s v="10+ Years"/>
    <s v="36-45"/>
    <s v="Executive (100K+)"/>
    <n v="0"/>
    <x v="5"/>
    <n v="2"/>
    <s v="Q1"/>
    <s v="Feb"/>
    <s v="2013-02"/>
    <n v="2018"/>
    <s v="Production       "/>
  </r>
  <r>
    <s v="Trzeciak, Cybil"/>
    <n v="10270"/>
    <n v="0"/>
    <n v="0"/>
    <n v="0"/>
    <n v="5"/>
    <n v="5"/>
    <n v="3"/>
    <n v="0"/>
    <n v="74813"/>
    <n v="1"/>
    <n v="20"/>
    <s v="Production Technician II"/>
    <s v="MA"/>
    <n v="1778"/>
    <d v="1985-03-15T00:00:00"/>
    <s v="F"/>
    <s v="Single"/>
    <s v="US Citizen"/>
    <s v="No"/>
    <s v="White"/>
    <d v="2011-01-10T00:00:00"/>
    <d v="2014-07-02T00:00:00"/>
    <s v="unhappy"/>
    <s v="Voluntarily Terminated"/>
    <x v="2"/>
    <s v="Amy Dunn"/>
    <n v="11"/>
    <s v="LinkedIn"/>
    <s v="Fully Meets"/>
    <n v="4.4000000000000004"/>
    <n v="3"/>
    <n v="0"/>
    <s v="1/5/2014"/>
    <n v="0"/>
    <n v="5"/>
    <s v="Normal"/>
    <s v="low Outlier"/>
    <n v="40"/>
    <n v="15"/>
    <n v="3"/>
    <s v="10+ Years"/>
    <s v="36-45"/>
    <s v="Senior (70-100K)"/>
    <n v="0"/>
    <x v="0"/>
    <n v="1"/>
    <s v="Q1"/>
    <s v="Jan"/>
    <s v="2011-01"/>
    <n v="2014"/>
    <s v="Production       "/>
  </r>
  <r>
    <s v="Turpin, Jumil"/>
    <n v="10045"/>
    <n v="1"/>
    <n v="1"/>
    <n v="1"/>
    <n v="1"/>
    <n v="3"/>
    <n v="3"/>
    <n v="0"/>
    <n v="76029"/>
    <n v="0"/>
    <n v="15"/>
    <s v="Network Engineer"/>
    <s v="MA"/>
    <n v="2343"/>
    <d v="1969-03-31T00:00:00"/>
    <s v="M "/>
    <s v="Married"/>
    <s v="Eligible NonCitizen"/>
    <s v="No"/>
    <s v="White"/>
    <d v="2015-03-30T00:00:00"/>
    <m/>
    <s v="N/A-StillEmployed"/>
    <s v="Active"/>
    <x v="1"/>
    <s v="Peter Monroe"/>
    <n v="7"/>
    <s v="Employee Referral"/>
    <s v="Fully Meets"/>
    <n v="5"/>
    <n v="4"/>
    <n v="7"/>
    <s v="1/14/2019"/>
    <n v="0"/>
    <n v="8"/>
    <s v="Normal"/>
    <s v="low Outlier"/>
    <n v="56"/>
    <n v="10"/>
    <n v="10"/>
    <s v="10+ Years"/>
    <s v="55+"/>
    <s v="Senior (70-100K)"/>
    <n v="1"/>
    <x v="1"/>
    <n v="3"/>
    <s v="Q1"/>
    <s v="Mar"/>
    <s v="2015-03"/>
    <s v="N/A"/>
    <s v="Production       "/>
  </r>
  <r>
    <s v="Valentin,Jackie"/>
    <n v="10205"/>
    <n v="1"/>
    <n v="1"/>
    <n v="0"/>
    <n v="1"/>
    <n v="6"/>
    <n v="3"/>
    <n v="0"/>
    <n v="57859"/>
    <n v="0"/>
    <n v="3"/>
    <s v="Area Sales Manager"/>
    <s v="AZ"/>
    <n v="85006"/>
    <d v="1991-05-23T00:00:00"/>
    <s v="F"/>
    <s v="Married"/>
    <s v="US Citizen"/>
    <s v="No"/>
    <s v="Two or more races"/>
    <d v="2011-07-05T00:00:00"/>
    <m/>
    <s v="N/A-StillEmployed"/>
    <s v="Active"/>
    <x v="5"/>
    <s v="John Smith"/>
    <n v="17"/>
    <s v="Indeed"/>
    <s v="Fully Meets"/>
    <n v="2.81"/>
    <n v="3"/>
    <n v="0"/>
    <s v="1/17/2019"/>
    <n v="0"/>
    <n v="16"/>
    <s v="Normal"/>
    <s v="low Outlier"/>
    <n v="34"/>
    <n v="14"/>
    <n v="14"/>
    <s v="10+ Years"/>
    <s v="26-35"/>
    <s v="Mid (40-70K)"/>
    <n v="1"/>
    <x v="0"/>
    <n v="7"/>
    <s v="Q3"/>
    <s v="Jul"/>
    <s v="2011-07"/>
    <s v="N/A"/>
    <s v="Production       "/>
  </r>
  <r>
    <s v="Veera, Abdellah "/>
    <n v="10014"/>
    <n v="0"/>
    <n v="2"/>
    <n v="1"/>
    <n v="5"/>
    <n v="5"/>
    <n v="4"/>
    <n v="0"/>
    <n v="58523"/>
    <n v="1"/>
    <n v="19"/>
    <s v="Production Technician I"/>
    <s v="MA"/>
    <n v="2171"/>
    <d v="1987-01-31T00:00:00"/>
    <s v="M "/>
    <s v="Divorced"/>
    <s v="US Citizen"/>
    <s v="No"/>
    <s v="White"/>
    <d v="2012-08-13T00:00:00"/>
    <d v="2016-02-05T00:00:00"/>
    <s v="maternity leave - did not return"/>
    <s v="Voluntarily Terminated"/>
    <x v="2"/>
    <s v="Kissy Sullivan"/>
    <n v="20"/>
    <s v="LinkedIn"/>
    <s v="Exceeds"/>
    <n v="4.5"/>
    <n v="5"/>
    <n v="0"/>
    <s v="2/1/2016"/>
    <n v="0"/>
    <n v="15"/>
    <s v="Normal"/>
    <s v="low Outlier"/>
    <n v="39"/>
    <n v="13"/>
    <n v="3"/>
    <s v="10+ Years"/>
    <s v="36-45"/>
    <s v="Mid (40-70K)"/>
    <n v="0"/>
    <x v="3"/>
    <n v="8"/>
    <s v="Q3"/>
    <s v="Aug"/>
    <s v="2012-08"/>
    <n v="2016"/>
    <s v="Production       "/>
  </r>
  <r>
    <s v="Vega, Vincent"/>
    <n v="10144"/>
    <n v="0"/>
    <n v="2"/>
    <n v="1"/>
    <n v="1"/>
    <n v="5"/>
    <n v="3"/>
    <n v="0"/>
    <n v="88976"/>
    <n v="0"/>
    <n v="17"/>
    <s v="Production Manager"/>
    <s v="MA"/>
    <n v="2169"/>
    <d v="1968-10-10T00:00:00"/>
    <s v="M "/>
    <s v="Divorced"/>
    <s v="US Citizen"/>
    <s v="No"/>
    <s v="White"/>
    <d v="2011-08-01T00:00:00"/>
    <m/>
    <s v="N/A-StillEmployed"/>
    <s v="Active"/>
    <x v="2"/>
    <s v="Janet King"/>
    <n v="2"/>
    <s v="Employee Referral"/>
    <s v="Fully Meets"/>
    <n v="3.93"/>
    <n v="3"/>
    <n v="0"/>
    <s v="2/27/2019"/>
    <n v="0"/>
    <n v="19"/>
    <s v="Normal"/>
    <s v="low Outlier"/>
    <n v="57"/>
    <n v="14"/>
    <n v="14"/>
    <s v="10+ Years"/>
    <s v="55+"/>
    <s v="Senior (70-100K)"/>
    <n v="1"/>
    <x v="0"/>
    <n v="8"/>
    <s v="Q3"/>
    <s v="Aug"/>
    <s v="2011-08"/>
    <s v="N/A"/>
    <s v="Production       "/>
  </r>
  <r>
    <s v="Villanueva, Noah"/>
    <n v="10253"/>
    <n v="0"/>
    <n v="0"/>
    <n v="1"/>
    <n v="1"/>
    <n v="6"/>
    <n v="3"/>
    <n v="0"/>
    <n v="55875"/>
    <n v="0"/>
    <n v="3"/>
    <s v="Area Sales Manager"/>
    <s v="ME"/>
    <n v="4063"/>
    <d v="1989-07-11T00:00:00"/>
    <s v="M "/>
    <s v="Single"/>
    <s v="US Citizen"/>
    <s v="No"/>
    <s v="Asian"/>
    <d v="2012-03-05T00:00:00"/>
    <m/>
    <s v="N/A-StillEmployed"/>
    <s v="Active"/>
    <x v="5"/>
    <s v="John Smith"/>
    <n v="17"/>
    <s v="Website"/>
    <s v="Fully Meets"/>
    <n v="4.5"/>
    <n v="4"/>
    <n v="0"/>
    <s v="1/18/2019"/>
    <n v="0"/>
    <n v="11"/>
    <s v="Normal"/>
    <s v="low Outlier"/>
    <n v="36"/>
    <n v="13"/>
    <n v="13"/>
    <s v="10+ Years"/>
    <s v="36-45"/>
    <s v="Mid (40-70K)"/>
    <n v="1"/>
    <x v="3"/>
    <n v="3"/>
    <s v="Q1"/>
    <s v="Mar"/>
    <s v="2012-03"/>
    <s v="N/A"/>
    <s v="Production       "/>
  </r>
  <r>
    <s v="Voldemort, Lord"/>
    <n v="10118"/>
    <n v="1"/>
    <n v="1"/>
    <n v="1"/>
    <n v="4"/>
    <n v="3"/>
    <n v="3"/>
    <n v="0"/>
    <n v="113999"/>
    <n v="1"/>
    <n v="8"/>
    <s v="Database Administrator"/>
    <s v="MA"/>
    <n v="1960"/>
    <d v="1986-08-07T00:00:00"/>
    <s v="M "/>
    <s v="Married"/>
    <s v="US Citizen"/>
    <s v="No"/>
    <s v="Black or African American"/>
    <d v="2015-02-16T00:00:00"/>
    <d v="2017-02-22T00:00:00"/>
    <s v="no-call, no-show"/>
    <s v="Terminated for Cause"/>
    <x v="1"/>
    <s v="Simon Roup"/>
    <n v="4"/>
    <s v="Employee Referral"/>
    <s v="Fully Meets"/>
    <n v="4.33"/>
    <n v="3"/>
    <n v="7"/>
    <s v="2/15/2017"/>
    <n v="0"/>
    <n v="9"/>
    <s v="Normal"/>
    <s v="low Outlier"/>
    <n v="39"/>
    <n v="11"/>
    <n v="2"/>
    <s v="10+ Years"/>
    <s v="36-45"/>
    <s v="Executive (100K+)"/>
    <n v="0"/>
    <x v="1"/>
    <n v="2"/>
    <s v="Q1"/>
    <s v="Feb"/>
    <s v="2015-02"/>
    <n v="2017"/>
    <s v="Production       "/>
  </r>
  <r>
    <s v="Volk, Colleen"/>
    <n v="10022"/>
    <n v="1"/>
    <n v="1"/>
    <n v="0"/>
    <n v="4"/>
    <n v="5"/>
    <n v="4"/>
    <n v="0"/>
    <n v="49773"/>
    <n v="1"/>
    <n v="19"/>
    <s v="Production Technician I"/>
    <s v="MA"/>
    <n v="2747"/>
    <d v="1986-06-03T00:00:00"/>
    <s v="F"/>
    <s v="Married"/>
    <s v="US Citizen"/>
    <s v="No"/>
    <s v="White"/>
    <d v="2011-09-26T00:00:00"/>
    <d v="2016-02-08T00:00:00"/>
    <s v="gross misconduct"/>
    <s v="Terminated for Cause"/>
    <x v="2"/>
    <s v="Kelley Spirea"/>
    <n v="18"/>
    <s v="Google Search"/>
    <s v="Exceeds"/>
    <n v="4.3"/>
    <n v="5"/>
    <n v="0"/>
    <s v="2/1/2015"/>
    <n v="0"/>
    <n v="18"/>
    <s v="Normal"/>
    <s v="low Outlier"/>
    <n v="39"/>
    <n v="14"/>
    <n v="4"/>
    <s v="10+ Years"/>
    <s v="36-45"/>
    <s v="Mid (40-70K)"/>
    <n v="0"/>
    <x v="0"/>
    <n v="9"/>
    <s v="Q3"/>
    <s v="Sep"/>
    <s v="2011-09"/>
    <n v="2016"/>
    <s v="Production       "/>
  </r>
  <r>
    <s v="Von Massenbach, Anna"/>
    <n v="10183"/>
    <n v="0"/>
    <n v="0"/>
    <n v="0"/>
    <n v="2"/>
    <n v="5"/>
    <n v="3"/>
    <n v="0"/>
    <n v="62068"/>
    <n v="0"/>
    <n v="19"/>
    <s v="Production Technician I"/>
    <s v="MA"/>
    <n v="2124"/>
    <d v="1985-04-06T00:00:00"/>
    <s v="F"/>
    <s v="Single"/>
    <s v="US Citizen"/>
    <s v="No"/>
    <s v="White"/>
    <d v="2015-07-05T00:00:00"/>
    <m/>
    <s v="N/A-StillEmployed"/>
    <s v="Active"/>
    <x v="2"/>
    <s v="Michael Albert"/>
    <n v="22"/>
    <s v="LinkedIn"/>
    <s v="Fully Meets"/>
    <n v="3.21"/>
    <n v="3"/>
    <n v="0"/>
    <s v="1/29/2019"/>
    <n v="0"/>
    <n v="7"/>
    <s v="Normal"/>
    <s v="low Outlier"/>
    <n v="40"/>
    <n v="10"/>
    <n v="10"/>
    <s v="10+ Years"/>
    <s v="36-45"/>
    <s v="Mid (40-70K)"/>
    <n v="1"/>
    <x v="1"/>
    <n v="7"/>
    <s v="Q3"/>
    <s v="Jul"/>
    <s v="2015-07"/>
    <s v="N/A"/>
    <s v="Production       "/>
  </r>
  <r>
    <s v="Walker, Roger"/>
    <n v="10190"/>
    <n v="0"/>
    <n v="0"/>
    <n v="1"/>
    <n v="1"/>
    <n v="5"/>
    <n v="3"/>
    <n v="0"/>
    <n v="66541"/>
    <n v="0"/>
    <n v="20"/>
    <s v="Production Technician II"/>
    <s v="MA"/>
    <n v="2459"/>
    <d v="1976-02-10T00:00:00"/>
    <s v="M "/>
    <s v="Single"/>
    <s v="US Citizen"/>
    <s v="No"/>
    <s v="Black or African American"/>
    <d v="2014-08-18T00:00:00"/>
    <m/>
    <s v="N/A-StillEmployed"/>
    <s v="Active"/>
    <x v="2"/>
    <s v="Ketsia Liebig"/>
    <n v="19"/>
    <s v="Employee Referral"/>
    <s v="Fully Meets"/>
    <n v="3.11"/>
    <n v="5"/>
    <n v="0"/>
    <s v="2/12/2019"/>
    <n v="0"/>
    <n v="4"/>
    <s v="Normal"/>
    <s v="low Outlier"/>
    <n v="50"/>
    <n v="11"/>
    <n v="11"/>
    <s v="10+ Years"/>
    <s v="46-55"/>
    <s v="Mid (40-70K)"/>
    <n v="1"/>
    <x v="4"/>
    <n v="8"/>
    <s v="Q3"/>
    <s v="Aug"/>
    <s v="2014-08"/>
    <s v="N/A"/>
    <s v="Production       "/>
  </r>
  <r>
    <s v="Wallace, Courtney  E"/>
    <n v="10274"/>
    <n v="1"/>
    <n v="1"/>
    <n v="0"/>
    <n v="5"/>
    <n v="5"/>
    <n v="3"/>
    <n v="1"/>
    <n v="80512"/>
    <n v="1"/>
    <n v="18"/>
    <s v="Production Manager"/>
    <s v="MA"/>
    <n v="2478"/>
    <d v="1955-11-14T00:00:00"/>
    <s v="F"/>
    <s v="Married"/>
    <s v="US Citizen"/>
    <s v="No"/>
    <s v="Black or African American"/>
    <d v="2011-09-26T00:00:00"/>
    <d v="2012-01-02T00:00:00"/>
    <s v="Another position"/>
    <s v="Voluntarily Terminated"/>
    <x v="2"/>
    <s v="Janet King"/>
    <n v="2"/>
    <s v="Diversity Job Fair"/>
    <s v="Fully Meets"/>
    <n v="4.5"/>
    <n v="3"/>
    <n v="0"/>
    <s v="1/2/2012"/>
    <n v="0"/>
    <n v="5"/>
    <s v="Normal"/>
    <s v="low Outlier"/>
    <n v="70"/>
    <n v="14"/>
    <n v="0"/>
    <s v="10+ Years"/>
    <s v="55+"/>
    <s v="Senior (70-100K)"/>
    <n v="0"/>
    <x v="0"/>
    <n v="9"/>
    <s v="Q3"/>
    <s v="Sep"/>
    <s v="2011-09"/>
    <n v="2012"/>
    <s v="Production       "/>
  </r>
  <r>
    <s v="Wallace, Theresa"/>
    <n v="10293"/>
    <n v="0"/>
    <n v="0"/>
    <n v="0"/>
    <n v="5"/>
    <n v="5"/>
    <n v="2"/>
    <n v="0"/>
    <n v="50274"/>
    <n v="1"/>
    <n v="19"/>
    <s v="Production Technician I"/>
    <s v="MA"/>
    <n v="1887"/>
    <d v="1980-08-02T00:00:00"/>
    <s v="F"/>
    <s v="Single"/>
    <s v="US Citizen"/>
    <s v="No"/>
    <s v="White"/>
    <d v="2012-08-13T00:00:00"/>
    <d v="2015-09-01T00:00:00"/>
    <s v="career change"/>
    <s v="Voluntarily Terminated"/>
    <x v="2"/>
    <s v="Elijiah Gray"/>
    <n v="16"/>
    <s v="CareerBuilder"/>
    <s v="Needs Improvement"/>
    <n v="2.5"/>
    <n v="3"/>
    <n v="0"/>
    <s v="9/5/2014"/>
    <n v="6"/>
    <n v="13"/>
    <s v="Normal"/>
    <s v="low Outlier"/>
    <n v="45"/>
    <n v="13"/>
    <n v="3"/>
    <s v="10+ Years"/>
    <s v="36-45"/>
    <s v="Mid (40-70K)"/>
    <n v="0"/>
    <x v="3"/>
    <n v="8"/>
    <s v="Q3"/>
    <s v="Aug"/>
    <s v="2012-08"/>
    <n v="2015"/>
    <s v="Production       "/>
  </r>
  <r>
    <s v="Wang, Charlie"/>
    <n v="10172"/>
    <n v="0"/>
    <n v="0"/>
    <n v="1"/>
    <n v="1"/>
    <n v="3"/>
    <n v="3"/>
    <n v="0"/>
    <n v="84903"/>
    <n v="0"/>
    <n v="22"/>
    <s v="Senior BI Developer"/>
    <s v="MA"/>
    <n v="1887"/>
    <d v="1981-07-08T00:00:00"/>
    <s v="M "/>
    <s v="Single"/>
    <s v="US Citizen"/>
    <s v="No"/>
    <s v="Asian"/>
    <d v="2017-02-15T00:00:00"/>
    <m/>
    <s v="N/A-StillEmployed"/>
    <s v="Active"/>
    <x v="1"/>
    <s v="Brian Champaigne"/>
    <n v="13"/>
    <s v="Indeed"/>
    <s v="Fully Meets"/>
    <n v="3.42"/>
    <n v="4"/>
    <n v="7"/>
    <s v="1/4/2019"/>
    <n v="0"/>
    <n v="17"/>
    <s v="Normal"/>
    <s v="low Outlier"/>
    <n v="44"/>
    <n v="9"/>
    <n v="9"/>
    <s v="5-10 Years"/>
    <s v="36-45"/>
    <s v="Senior (70-100K)"/>
    <n v="1"/>
    <x v="10"/>
    <n v="2"/>
    <s v="Q1"/>
    <s v="Feb"/>
    <s v="2017-02"/>
    <s v="N/A"/>
    <s v="Production       "/>
  </r>
  <r>
    <s v="Warfield, Sarah"/>
    <n v="10127"/>
    <n v="0"/>
    <n v="4"/>
    <n v="0"/>
    <n v="1"/>
    <n v="3"/>
    <n v="3"/>
    <n v="0"/>
    <n v="107226"/>
    <n v="0"/>
    <n v="28"/>
    <s v="Sr. Network Engineer"/>
    <s v="MA"/>
    <n v="2453"/>
    <d v="1978-05-02T00:00:00"/>
    <s v="F"/>
    <s v="Widowed"/>
    <s v="US Citizen"/>
    <s v="No"/>
    <s v="Asian"/>
    <d v="2015-03-30T00:00:00"/>
    <m/>
    <s v="N/A-StillEmployed"/>
    <s v="Active"/>
    <x v="1"/>
    <s v="Peter Monroe"/>
    <n v="7"/>
    <s v="Employee Referral"/>
    <s v="Fully Meets"/>
    <n v="4.2"/>
    <n v="4"/>
    <n v="8"/>
    <s v="2/5/2019"/>
    <n v="0"/>
    <n v="7"/>
    <s v="Normal"/>
    <s v="low Outlier"/>
    <n v="47"/>
    <n v="10"/>
    <n v="10"/>
    <s v="10+ Years"/>
    <s v="46-55"/>
    <s v="Executive (100K+)"/>
    <n v="1"/>
    <x v="1"/>
    <n v="3"/>
    <s v="Q1"/>
    <s v="Mar"/>
    <s v="2015-03"/>
    <s v="N/A"/>
    <s v="Production       "/>
  </r>
  <r>
    <s v="Whittier, Scott"/>
    <n v="10072"/>
    <n v="0"/>
    <n v="0"/>
    <n v="1"/>
    <n v="5"/>
    <n v="5"/>
    <n v="3"/>
    <n v="0"/>
    <n v="58371"/>
    <n v="1"/>
    <n v="19"/>
    <s v="Production Technician I"/>
    <s v="MA"/>
    <n v="2030"/>
    <d v="1987-05-24T00:00:00"/>
    <s v="M "/>
    <s v="Single"/>
    <s v="US Citizen"/>
    <s v="Yes"/>
    <s v="White"/>
    <d v="2011-01-10T00:00:00"/>
    <d v="2014-05-15T00:00:00"/>
    <s v="hours"/>
    <s v="Voluntarily Terminated"/>
    <x v="2"/>
    <s v="Webster Butler"/>
    <n v="39"/>
    <s v="LinkedIn"/>
    <s v="Fully Meets"/>
    <n v="5"/>
    <n v="5"/>
    <n v="0"/>
    <s v="5/15/2014"/>
    <n v="0"/>
    <n v="11"/>
    <s v="Normal"/>
    <s v="low Outlier"/>
    <n v="38"/>
    <n v="15"/>
    <n v="3"/>
    <s v="10+ Years"/>
    <s v="36-45"/>
    <s v="Mid (40-70K)"/>
    <n v="0"/>
    <x v="0"/>
    <n v="1"/>
    <s v="Q1"/>
    <s v="Jan"/>
    <s v="2011-01"/>
    <n v="2014"/>
    <s v="Production       "/>
  </r>
  <r>
    <s v="Wilber, Barry"/>
    <n v="10048"/>
    <n v="1"/>
    <n v="1"/>
    <n v="1"/>
    <n v="5"/>
    <n v="5"/>
    <n v="3"/>
    <n v="0"/>
    <n v="55140"/>
    <n v="1"/>
    <n v="19"/>
    <s v="Production Technician I"/>
    <s v="MA"/>
    <n v="2324"/>
    <d v="1965-09-09T00:00:00"/>
    <s v="M "/>
    <s v="Married"/>
    <s v="Eligible NonCitizen"/>
    <s v="No"/>
    <s v="White"/>
    <d v="2011-05-16T00:00:00"/>
    <d v="2015-09-07T00:00:00"/>
    <s v="unhappy"/>
    <s v="Voluntarily Terminated"/>
    <x v="2"/>
    <s v="Amy Dunn"/>
    <n v="11"/>
    <s v="Website"/>
    <s v="Fully Meets"/>
    <n v="5"/>
    <n v="3"/>
    <n v="0"/>
    <s v="2/15/2015"/>
    <n v="0"/>
    <n v="7"/>
    <s v="Normal"/>
    <s v="low Outlier"/>
    <n v="60"/>
    <n v="14"/>
    <n v="4"/>
    <s v="10+ Years"/>
    <s v="55+"/>
    <s v="Mid (40-70K)"/>
    <n v="0"/>
    <x v="0"/>
    <n v="5"/>
    <s v="Q2"/>
    <s v="May"/>
    <s v="2011-05"/>
    <n v="2015"/>
    <s v="Production       "/>
  </r>
  <r>
    <s v="Wilkes, Annie"/>
    <n v="10204"/>
    <n v="0"/>
    <n v="2"/>
    <n v="0"/>
    <n v="5"/>
    <n v="5"/>
    <n v="3"/>
    <n v="0"/>
    <n v="58062"/>
    <n v="1"/>
    <n v="19"/>
    <s v="Production Technician I"/>
    <s v="MA"/>
    <n v="1876"/>
    <d v="1983-07-30T00:00:00"/>
    <s v="F"/>
    <s v="Divorced"/>
    <s v="US Citizen"/>
    <s v="No"/>
    <s v="White"/>
    <d v="2011-01-10T00:00:00"/>
    <d v="2012-05-14T00:00:00"/>
    <s v="Another position"/>
    <s v="Voluntarily Terminated"/>
    <x v="2"/>
    <s v="Ketsia Liebig"/>
    <n v="19"/>
    <s v="Google Search"/>
    <s v="Fully Meets"/>
    <n v="3.6"/>
    <n v="5"/>
    <n v="0"/>
    <s v="2/6/2011"/>
    <n v="0"/>
    <n v="9"/>
    <s v="Normal"/>
    <s v="low Outlier"/>
    <n v="42"/>
    <n v="15"/>
    <n v="1"/>
    <s v="10+ Years"/>
    <s v="36-45"/>
    <s v="Mid (40-70K)"/>
    <n v="0"/>
    <x v="0"/>
    <n v="1"/>
    <s v="Q1"/>
    <s v="Jan"/>
    <s v="2011-01"/>
    <n v="2012"/>
    <s v="Production       "/>
  </r>
  <r>
    <s v="Williams, Jacquelyn  "/>
    <n v="10264"/>
    <n v="0"/>
    <n v="0"/>
    <n v="0"/>
    <n v="5"/>
    <n v="5"/>
    <n v="3"/>
    <n v="1"/>
    <n v="59728"/>
    <n v="1"/>
    <n v="19"/>
    <s v="Production Technician I"/>
    <s v="MA"/>
    <n v="2109"/>
    <d v="1969-10-02T00:00:00"/>
    <s v="F"/>
    <s v="Single"/>
    <s v="US Citizen"/>
    <s v="Yes"/>
    <s v="Black or African American"/>
    <d v="2012-01-09T00:00:00"/>
    <d v="2015-06-27T00:00:00"/>
    <s v="relocation out of area"/>
    <s v="Voluntarily Terminated"/>
    <x v="2"/>
    <s v="Ketsia Liebig"/>
    <n v="19"/>
    <s v="Diversity Job Fair"/>
    <s v="Fully Meets"/>
    <n v="4.3"/>
    <n v="4"/>
    <n v="0"/>
    <s v="6/2/2014"/>
    <n v="0"/>
    <n v="16"/>
    <s v="Normal"/>
    <s v="low Outlier"/>
    <n v="56"/>
    <n v="14"/>
    <n v="3"/>
    <s v="10+ Years"/>
    <s v="55+"/>
    <s v="Mid (40-70K)"/>
    <n v="0"/>
    <x v="3"/>
    <n v="1"/>
    <s v="Q1"/>
    <s v="Jan"/>
    <s v="2012-01"/>
    <n v="2015"/>
    <s v="Production       "/>
  </r>
  <r>
    <s v="Winthrop, Jordan  "/>
    <n v="10033"/>
    <n v="0"/>
    <n v="0"/>
    <n v="1"/>
    <n v="5"/>
    <n v="5"/>
    <n v="4"/>
    <n v="0"/>
    <n v="70507"/>
    <n v="1"/>
    <n v="20"/>
    <s v="Production Technician II"/>
    <s v="MA"/>
    <n v="2045"/>
    <d v="1958-11-07T00:00:00"/>
    <s v="M "/>
    <s v="Single"/>
    <s v="US Citizen"/>
    <s v="No"/>
    <s v="White"/>
    <d v="2013-01-07T00:00:00"/>
    <d v="2016-02-21T00:00:00"/>
    <s v="retiring"/>
    <s v="Voluntarily Terminated"/>
    <x v="2"/>
    <s v="Brannon Miller"/>
    <n v="12"/>
    <s v="LinkedIn"/>
    <s v="Exceeds"/>
    <n v="5"/>
    <n v="3"/>
    <n v="0"/>
    <s v="1/19/2016"/>
    <n v="0"/>
    <n v="7"/>
    <s v="Normal"/>
    <s v="low Outlier"/>
    <n v="67"/>
    <n v="13"/>
    <n v="3"/>
    <s v="10+ Years"/>
    <s v="55+"/>
    <s v="Senior (70-100K)"/>
    <n v="0"/>
    <x v="5"/>
    <n v="1"/>
    <s v="Q1"/>
    <s v="Jan"/>
    <s v="2013-01"/>
    <n v="2016"/>
    <s v="Production       "/>
  </r>
  <r>
    <s v="Wolk, Hang  T"/>
    <n v="10174"/>
    <n v="0"/>
    <n v="0"/>
    <n v="0"/>
    <n v="1"/>
    <n v="5"/>
    <n v="3"/>
    <n v="0"/>
    <n v="60446"/>
    <n v="0"/>
    <n v="20"/>
    <s v="Production Technician II"/>
    <s v="MA"/>
    <n v="2302"/>
    <d v="1985-04-20T00:00:00"/>
    <s v="F"/>
    <s v="Single"/>
    <s v="US Citizen"/>
    <s v="No"/>
    <s v="White"/>
    <d v="2014-09-29T00:00:00"/>
    <m/>
    <s v="N/A-StillEmployed"/>
    <s v="Active"/>
    <x v="2"/>
    <s v="David Stanley"/>
    <n v="14"/>
    <s v="LinkedIn"/>
    <s v="Fully Meets"/>
    <n v="3.4"/>
    <n v="4"/>
    <n v="0"/>
    <s v="2/21/2019"/>
    <n v="0"/>
    <n v="14"/>
    <s v="Normal"/>
    <s v="low Outlier"/>
    <n v="40"/>
    <n v="11"/>
    <n v="11"/>
    <s v="10+ Years"/>
    <s v="36-45"/>
    <s v="Mid (40-70K)"/>
    <n v="1"/>
    <x v="4"/>
    <n v="9"/>
    <s v="Q3"/>
    <s v="Sep"/>
    <s v="2014-09"/>
    <s v="N/A"/>
    <s v="Production       "/>
  </r>
  <r>
    <s v="Woodson, Jason"/>
    <n v="10135"/>
    <n v="0"/>
    <n v="0"/>
    <n v="1"/>
    <n v="1"/>
    <n v="5"/>
    <n v="3"/>
    <n v="0"/>
    <n v="65893"/>
    <n v="0"/>
    <n v="20"/>
    <s v="Production Technician II"/>
    <s v="MA"/>
    <n v="1810"/>
    <d v="1985-05-11T00:00:00"/>
    <s v="M "/>
    <s v="Single"/>
    <s v="US Citizen"/>
    <s v="No"/>
    <s v="White"/>
    <d v="2014-07-07T00:00:00"/>
    <m/>
    <s v="N/A-StillEmployed"/>
    <s v="Active"/>
    <x v="2"/>
    <s v="Kissy Sullivan"/>
    <n v="20"/>
    <s v="LinkedIn"/>
    <s v="Fully Meets"/>
    <n v="4.07"/>
    <n v="4"/>
    <n v="0"/>
    <s v="2/28/2019"/>
    <n v="0"/>
    <n v="13"/>
    <s v="Normal"/>
    <s v="low Outlier"/>
    <n v="40"/>
    <n v="11"/>
    <n v="11"/>
    <s v="10+ Years"/>
    <s v="36-45"/>
    <s v="Mid (40-70K)"/>
    <n v="1"/>
    <x v="4"/>
    <n v="7"/>
    <s v="Q3"/>
    <s v="Jul"/>
    <s v="2014-07"/>
    <s v="N/A"/>
    <s v="Production       "/>
  </r>
  <r>
    <s v="Ybarra, Catherine "/>
    <n v="10301"/>
    <n v="0"/>
    <n v="0"/>
    <n v="0"/>
    <n v="5"/>
    <n v="5"/>
    <n v="1"/>
    <n v="0"/>
    <n v="48513"/>
    <n v="1"/>
    <n v="19"/>
    <s v="Production Technician I"/>
    <s v="MA"/>
    <n v="2458"/>
    <d v="1982-05-04T00:00:00"/>
    <s v="F"/>
    <s v="Single"/>
    <s v="US Citizen"/>
    <s v="No"/>
    <s v="Asian"/>
    <d v="2008-09-02T00:00:00"/>
    <d v="2015-09-29T00:00:00"/>
    <s v="Another position"/>
    <s v="Voluntarily Terminated"/>
    <x v="2"/>
    <s v="Brannon Miller"/>
    <n v="12"/>
    <s v="Google Search"/>
    <s v="PIP"/>
    <n v="3.2"/>
    <n v="2"/>
    <n v="0"/>
    <s v="9/2/2015"/>
    <n v="5"/>
    <n v="4"/>
    <s v="Normal"/>
    <s v="low Outlier"/>
    <n v="43"/>
    <n v="17"/>
    <n v="7"/>
    <s v="10+ Years"/>
    <s v="36-45"/>
    <s v="Mid (40-70K)"/>
    <n v="0"/>
    <x v="2"/>
    <n v="9"/>
    <s v="Q3"/>
    <s v="Sep"/>
    <s v="2008-09"/>
    <n v="2015"/>
    <s v="Production       "/>
  </r>
  <r>
    <s v="Zamora, Jennifer"/>
    <n v="10010"/>
    <n v="0"/>
    <n v="0"/>
    <n v="0"/>
    <n v="1"/>
    <n v="3"/>
    <n v="4"/>
    <n v="0"/>
    <n v="220450"/>
    <n v="0"/>
    <n v="6"/>
    <s v="CIO"/>
    <s v="MA"/>
    <n v="2067"/>
    <d v="1979-08-30T00:00:00"/>
    <s v="F"/>
    <s v="Single"/>
    <s v="US Citizen"/>
    <s v="No"/>
    <s v="White"/>
    <d v="2010-04-10T00:00:00"/>
    <m/>
    <s v="N/A-StillEmployed"/>
    <s v="Active"/>
    <x v="1"/>
    <s v="Janet King"/>
    <n v="2"/>
    <s v="Employee Referral"/>
    <s v="Exceeds"/>
    <n v="4.5999999999999996"/>
    <n v="5"/>
    <n v="6"/>
    <s v="2/21/2019"/>
    <n v="0"/>
    <n v="16"/>
    <s v=" high Outlier"/>
    <s v="low Outlier"/>
    <n v="46"/>
    <n v="15"/>
    <n v="15"/>
    <s v="10+ Years"/>
    <s v="46-55"/>
    <s v="Executive (100K+)"/>
    <n v="1"/>
    <x v="8"/>
    <n v="4"/>
    <s v="Q2"/>
    <s v="Apr"/>
    <s v="2010-04"/>
    <s v="N/A"/>
    <s v="IT/IS"/>
  </r>
  <r>
    <s v="Zhou, Julia"/>
    <n v="10043"/>
    <n v="0"/>
    <n v="0"/>
    <n v="0"/>
    <n v="1"/>
    <n v="3"/>
    <n v="3"/>
    <n v="0"/>
    <n v="89292"/>
    <n v="0"/>
    <n v="9"/>
    <s v="Data Analyst"/>
    <s v="MA"/>
    <n v="2148"/>
    <d v="1979-02-24T00:00:00"/>
    <s v="F"/>
    <s v="Single"/>
    <s v="US Citizen"/>
    <s v="No"/>
    <s v="White"/>
    <d v="2015-03-30T00:00:00"/>
    <m/>
    <s v="N/A-StillEmployed"/>
    <s v="Active"/>
    <x v="1"/>
    <s v="Simon Roup"/>
    <n v="4"/>
    <s v="Employee Referral"/>
    <s v="Fully Meets"/>
    <n v="5"/>
    <n v="3"/>
    <n v="5"/>
    <s v="2/1/2019"/>
    <n v="0"/>
    <n v="11"/>
    <s v="Normal"/>
    <s v="low Outlier"/>
    <n v="46"/>
    <n v="10"/>
    <n v="10"/>
    <s v="10+ Years"/>
    <s v="46-55"/>
    <s v="Senior (70-100K)"/>
    <n v="1"/>
    <x v="1"/>
    <n v="3"/>
    <s v="Q1"/>
    <s v="Mar"/>
    <s v="2015-03"/>
    <s v="N/A"/>
    <s v="IT/IS"/>
  </r>
  <r>
    <s v="Zima, Colleen"/>
    <n v="10271"/>
    <n v="0"/>
    <n v="4"/>
    <n v="0"/>
    <n v="1"/>
    <n v="5"/>
    <n v="3"/>
    <n v="0"/>
    <n v="45046"/>
    <n v="0"/>
    <n v="19"/>
    <s v="Production Technician I"/>
    <s v="MA"/>
    <n v="1730"/>
    <d v="1978-08-17T00:00:00"/>
    <s v="F"/>
    <s v="Widowed"/>
    <s v="US Citizen"/>
    <s v="No"/>
    <s v="Asian"/>
    <d v="2014-09-29T00:00:00"/>
    <m/>
    <s v="N/A-StillEmployed"/>
    <s v="Active"/>
    <x v="2"/>
    <s v="David Stanley"/>
    <n v="14"/>
    <s v="LinkedIn"/>
    <s v="Fully Meets"/>
    <n v="4.5"/>
    <n v="5"/>
    <n v="0"/>
    <s v="1/30/2019"/>
    <n v="0"/>
    <n v="2"/>
    <s v="Normal"/>
    <s v="low Outlier"/>
    <n v="47"/>
    <n v="11"/>
    <n v="11"/>
    <s v="10+ Years"/>
    <s v="46-55"/>
    <s v="Mid (40-70K)"/>
    <n v="1"/>
    <x v="4"/>
    <n v="9"/>
    <s v="Q3"/>
    <s v="Sep"/>
    <s v="2014-09"/>
    <s v="N/A"/>
    <s v="Production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x v="0"/>
    <n v="0"/>
    <n v="19"/>
    <s v="Production Technician I"/>
    <s v="MA"/>
    <n v="1960"/>
    <d v="1983-07-10T00:00:00"/>
    <s v="M "/>
    <s v="Single"/>
    <s v="US Citizen"/>
    <s v="No"/>
    <s v="White"/>
    <d v="2011-07-05T00:00:00"/>
    <m/>
    <s v="N/A-StillEmployed"/>
    <s v="Active"/>
    <x v="0"/>
    <s v="Michael Albert"/>
    <n v="22"/>
    <s v="LinkedIn"/>
    <s v="Exceeds"/>
    <n v="4.5999999999999996"/>
    <n v="5"/>
    <n v="0"/>
    <s v="1/17/2019"/>
    <n v="0"/>
    <n v="1"/>
    <s v="Normal"/>
    <s v="low Outlier"/>
    <n v="42"/>
    <x v="0"/>
    <n v="14"/>
    <x v="0"/>
    <s v="36-45"/>
    <s v="Mid (40-70K)"/>
    <n v="1"/>
    <n v="2011"/>
    <n v="5"/>
    <s v="Q3"/>
    <s v="Jul"/>
    <s v="2011-07"/>
    <s v="N/A"/>
    <s v="Production       "/>
    <n v="40.909090909090914"/>
    <n v="0"/>
    <s v="Low"/>
  </r>
  <r>
    <s v="Ait Sidi, Karthikeyan   "/>
    <n v="10084"/>
    <n v="1"/>
    <n v="1"/>
    <n v="1"/>
    <n v="5"/>
    <n v="3"/>
    <n v="3"/>
    <n v="0"/>
    <x v="1"/>
    <n v="1"/>
    <n v="27"/>
    <s v="Sr. DBA"/>
    <s v="MA"/>
    <n v="2148"/>
    <d v="1975-05-05T00:00:00"/>
    <s v="M "/>
    <s v="Married"/>
    <s v="US Citizen"/>
    <s v="No"/>
    <s v="White"/>
    <d v="2015-03-30T00:00:00"/>
    <d v="2016-06-16T00:00:00"/>
    <s v="career change"/>
    <s v="Voluntarily Terminated"/>
    <x v="1"/>
    <s v="Simon Roup"/>
    <n v="4"/>
    <s v="Indeed"/>
    <s v="Fully Meets"/>
    <n v="4.96"/>
    <n v="3"/>
    <n v="6"/>
    <s v="2/24/2016"/>
    <n v="0"/>
    <n v="17"/>
    <s v="Normal"/>
    <s v="low Outlier"/>
    <n v="50"/>
    <x v="1"/>
    <n v="1"/>
    <x v="0"/>
    <s v="46-55"/>
    <s v="Executive (100K+)"/>
    <n v="0"/>
    <n v="2015"/>
    <n v="3"/>
    <s v="Q1"/>
    <s v="Mar"/>
    <s v="2015-03"/>
    <n v="2016"/>
    <s v="Production       "/>
    <n v="47.058823529411761"/>
    <n v="9"/>
    <s v="Low"/>
  </r>
  <r>
    <s v="Akinkuolie, Sarah"/>
    <n v="10196"/>
    <n v="1"/>
    <n v="1"/>
    <n v="0"/>
    <n v="5"/>
    <n v="5"/>
    <n v="3"/>
    <n v="0"/>
    <x v="2"/>
    <n v="1"/>
    <n v="20"/>
    <s v="Production Technician II"/>
    <s v="MA"/>
    <n v="1810"/>
    <d v="1988-09-22T00:00:00"/>
    <s v="F"/>
    <s v="Married"/>
    <s v="US Citizen"/>
    <s v="No"/>
    <s v="White"/>
    <d v="2011-07-05T00:00:00"/>
    <d v="2012-09-24T00:00:00"/>
    <s v="hours"/>
    <s v="Voluntarily Terminated"/>
    <x v="0"/>
    <s v="Kissy Sullivan"/>
    <n v="20"/>
    <s v="LinkedIn"/>
    <s v="Fully Meets"/>
    <n v="3.02"/>
    <n v="3"/>
    <n v="0"/>
    <s v="5/15/2012"/>
    <n v="0"/>
    <n v="3"/>
    <s v="Normal"/>
    <s v="low Outlier"/>
    <n v="37"/>
    <x v="0"/>
    <n v="1"/>
    <x v="0"/>
    <s v="36-45"/>
    <s v="Mid (40-70K)"/>
    <n v="0"/>
    <n v="2011"/>
    <n v="7"/>
    <s v="Q3"/>
    <s v="Jul"/>
    <s v="2011-07"/>
    <n v="2012"/>
    <s v="Production       "/>
    <n v="54.54545454545454"/>
    <n v="8"/>
    <s v="Low"/>
  </r>
  <r>
    <s v="Alagbe,Trina"/>
    <n v="10088"/>
    <n v="1"/>
    <n v="1"/>
    <n v="0"/>
    <n v="1"/>
    <n v="5"/>
    <n v="3"/>
    <n v="0"/>
    <x v="3"/>
    <n v="0"/>
    <n v="19"/>
    <s v="Production Technician I"/>
    <s v="MA"/>
    <n v="1886"/>
    <d v="1988-09-07T00:00:00"/>
    <s v="F"/>
    <s v="Married"/>
    <s v="US Citizen"/>
    <s v="No"/>
    <s v="White"/>
    <d v="2008-01-07T00:00:00"/>
    <m/>
    <s v="N/A-StillEmployed"/>
    <s v="Active"/>
    <x v="0"/>
    <s v="Elijiah Gray"/>
    <n v="16"/>
    <s v="Indeed"/>
    <s v="Fully Meets"/>
    <n v="4.84"/>
    <n v="5"/>
    <n v="0"/>
    <s v="1/3/2019"/>
    <n v="0"/>
    <n v="15"/>
    <s v="Normal"/>
    <s v="low Outlier"/>
    <n v="37"/>
    <x v="2"/>
    <n v="18"/>
    <x v="0"/>
    <s v="36-45"/>
    <s v="Mid (40-70K)"/>
    <n v="1"/>
    <n v="2008"/>
    <n v="1"/>
    <s v="Q1"/>
    <s v="Jan"/>
    <s v="2008-01"/>
    <s v="N/A"/>
    <s v="Production       "/>
    <n v="36.363636363636367"/>
    <n v="0"/>
    <s v="Medium"/>
  </r>
  <r>
    <s v="Anderson, Carol "/>
    <n v="10069"/>
    <n v="0"/>
    <n v="2"/>
    <n v="0"/>
    <n v="5"/>
    <n v="5"/>
    <n v="3"/>
    <n v="0"/>
    <x v="4"/>
    <n v="1"/>
    <n v="19"/>
    <s v="Production Technician I"/>
    <s v="MA"/>
    <n v="2169"/>
    <d v="1989-09-08T00:00:00"/>
    <s v="F"/>
    <s v="Divorced"/>
    <s v="US Citizen"/>
    <s v="No"/>
    <s v="White"/>
    <d v="2011-07-11T00:00:00"/>
    <d v="2016-09-06T00:00:00"/>
    <s v="return to school"/>
    <s v="Voluntarily Terminated"/>
    <x v="0"/>
    <s v="Webster Butler"/>
    <n v="39"/>
    <s v="Google Search"/>
    <s v="Fully Meets"/>
    <n v="5"/>
    <n v="4"/>
    <n v="0"/>
    <s v="2/1/2016"/>
    <n v="0"/>
    <n v="2"/>
    <s v="Normal"/>
    <s v="low Outlier"/>
    <n v="36"/>
    <x v="0"/>
    <n v="5"/>
    <x v="0"/>
    <s v="36-45"/>
    <s v="Mid (40-70K)"/>
    <n v="0"/>
    <n v="2011"/>
    <n v="7"/>
    <s v="Q3"/>
    <s v="Jul"/>
    <s v="2011-07"/>
    <n v="2016"/>
    <s v="Production       "/>
    <n v="61.904761904761905"/>
    <n v="5"/>
    <s v="Low"/>
  </r>
  <r>
    <s v="Anderson, Linda  "/>
    <n v="10002"/>
    <n v="0"/>
    <n v="0"/>
    <n v="0"/>
    <n v="1"/>
    <n v="5"/>
    <n v="4"/>
    <n v="0"/>
    <x v="5"/>
    <n v="0"/>
    <n v="19"/>
    <s v="Production Technician I"/>
    <s v="MA"/>
    <n v="1844"/>
    <d v="1977-05-22T00:00:00"/>
    <s v="F"/>
    <s v="Single"/>
    <s v="US Citizen"/>
    <s v="No"/>
    <s v="White"/>
    <d v="2012-01-09T00:00:00"/>
    <m/>
    <s v="N/A-StillEmployed"/>
    <s v="Active"/>
    <x v="0"/>
    <s v="Amy Dunn"/>
    <n v="11"/>
    <s v="LinkedIn"/>
    <s v="Exceeds"/>
    <n v="5"/>
    <n v="5"/>
    <n v="0"/>
    <s v="1/7/2019"/>
    <n v="0"/>
    <n v="15"/>
    <s v="Normal"/>
    <s v="low Outlier"/>
    <n v="48"/>
    <x v="0"/>
    <n v="14"/>
    <x v="0"/>
    <s v="46-55"/>
    <s v="Mid (40-70K)"/>
    <n v="1"/>
    <n v="2012"/>
    <n v="1"/>
    <s v="Q1"/>
    <s v="Jan"/>
    <s v="2012-01"/>
    <s v="N/A"/>
    <s v="Production       "/>
    <n v="61.904761904761905"/>
    <n v="0"/>
    <s v="Medium"/>
  </r>
  <r>
    <s v="Andreola, Colby"/>
    <n v="10194"/>
    <n v="0"/>
    <n v="0"/>
    <n v="0"/>
    <n v="1"/>
    <n v="4"/>
    <n v="3"/>
    <n v="0"/>
    <x v="6"/>
    <n v="0"/>
    <n v="24"/>
    <s v="Software Engineer"/>
    <s v="MA"/>
    <n v="2110"/>
    <d v="1979-05-24T00:00:00"/>
    <s v="F"/>
    <s v="Single"/>
    <s v="US Citizen"/>
    <s v="No"/>
    <s v="White"/>
    <d v="2014-11-10T00:00:00"/>
    <m/>
    <s v="N/A-StillEmployed"/>
    <s v="Active"/>
    <x v="2"/>
    <s v="Alex Sweetwater"/>
    <n v="10"/>
    <s v="LinkedIn"/>
    <s v="Fully Meets"/>
    <n v="3.04"/>
    <n v="3"/>
    <n v="4"/>
    <s v="1/2/2019"/>
    <n v="0"/>
    <n v="19"/>
    <s v="Normal"/>
    <s v="low Outlier"/>
    <n v="46"/>
    <x v="3"/>
    <n v="11"/>
    <x v="0"/>
    <s v="46-55"/>
    <s v="Senior (70-100K)"/>
    <n v="1"/>
    <n v="2014"/>
    <n v="11"/>
    <s v="Q4"/>
    <s v="Nov"/>
    <s v="2014-11"/>
    <s v="N/A"/>
    <s v="Production       "/>
    <n v="33.333333333333329"/>
    <n v="0"/>
    <s v="Low"/>
  </r>
  <r>
    <s v="Athwal, Sam"/>
    <n v="10062"/>
    <n v="0"/>
    <n v="4"/>
    <n v="1"/>
    <n v="1"/>
    <n v="5"/>
    <n v="3"/>
    <n v="0"/>
    <x v="7"/>
    <n v="0"/>
    <n v="19"/>
    <s v="Production Technician I"/>
    <s v="MA"/>
    <n v="2199"/>
    <d v="1983-02-18T00:00:00"/>
    <s v="M "/>
    <s v="Widowed"/>
    <s v="US Citizen"/>
    <s v="No"/>
    <s v="White"/>
    <d v="2013-09-30T00:00:00"/>
    <m/>
    <s v="N/A-StillEmployed"/>
    <s v="Active"/>
    <x v="0"/>
    <s v="Ketsia Liebig"/>
    <n v="19"/>
    <s v="Employee Referral"/>
    <s v="Fully Meets"/>
    <n v="5"/>
    <n v="4"/>
    <n v="0"/>
    <s v="2/25/2019"/>
    <n v="0"/>
    <n v="19"/>
    <s v="Normal"/>
    <s v="low Outlier"/>
    <n v="43"/>
    <x v="4"/>
    <n v="12"/>
    <x v="0"/>
    <s v="36-45"/>
    <s v="Mid (40-70K)"/>
    <n v="1"/>
    <n v="2013"/>
    <n v="9"/>
    <s v="Q3"/>
    <s v="Sep"/>
    <s v="2013-09"/>
    <s v="N/A"/>
    <s v="Production       "/>
    <n v="23.809523809523807"/>
    <n v="0"/>
    <s v="Medium"/>
  </r>
  <r>
    <s v="Bachiochi, Linda"/>
    <n v="10114"/>
    <n v="0"/>
    <n v="0"/>
    <n v="0"/>
    <n v="3"/>
    <n v="5"/>
    <n v="3"/>
    <n v="1"/>
    <x v="8"/>
    <n v="0"/>
    <n v="19"/>
    <s v="Production Technician I"/>
    <s v="MA"/>
    <n v="1902"/>
    <d v="1970-02-11T00:00:00"/>
    <s v="F"/>
    <s v="Single"/>
    <s v="US Citizen"/>
    <s v="No"/>
    <s v="Black or African American"/>
    <d v="2009-07-06T00:00:00"/>
    <m/>
    <s v="N/A-StillEmployed"/>
    <s v="Active"/>
    <x v="0"/>
    <s v="Brannon Miller"/>
    <n v="12"/>
    <s v="Diversity Job Fair"/>
    <s v="Fully Meets"/>
    <n v="4.46"/>
    <n v="3"/>
    <n v="0"/>
    <s v="1/25/2019"/>
    <n v="0"/>
    <n v="4"/>
    <s v="Normal"/>
    <s v="low Outlier"/>
    <n v="56"/>
    <x v="5"/>
    <n v="16"/>
    <x v="0"/>
    <s v="55+"/>
    <s v="Mid (40-70K)"/>
    <n v="1"/>
    <n v="2009"/>
    <n v="7"/>
    <s v="Q3"/>
    <s v="Jul"/>
    <s v="2009-07"/>
    <s v="N/A"/>
    <s v="Production       "/>
    <n v="27.27272727272727"/>
    <n v="0"/>
    <s v="Low"/>
  </r>
  <r>
    <s v="Bacong, Alejandro "/>
    <n v="10250"/>
    <n v="0"/>
    <n v="2"/>
    <n v="1"/>
    <n v="1"/>
    <n v="3"/>
    <n v="3"/>
    <n v="0"/>
    <x v="9"/>
    <n v="0"/>
    <n v="14"/>
    <s v="IT Support"/>
    <s v="MA"/>
    <n v="1886"/>
    <d v="1988-01-07T00:00:00"/>
    <s v="M "/>
    <s v="Divorced"/>
    <s v="US Citizen"/>
    <s v="No"/>
    <s v="White"/>
    <d v="2015-01-05T00:00:00"/>
    <m/>
    <s v="N/A-StillEmployed"/>
    <s v="Active"/>
    <x v="1"/>
    <s v="Peter Monroe"/>
    <n v="7"/>
    <s v="Indeed"/>
    <s v="Fully Meets"/>
    <n v="5"/>
    <n v="5"/>
    <n v="6"/>
    <s v="2/18/2019"/>
    <n v="0"/>
    <n v="16"/>
    <s v="Normal"/>
    <s v="low Outlier"/>
    <n v="38"/>
    <x v="3"/>
    <n v="11"/>
    <x v="0"/>
    <s v="36-45"/>
    <s v="Mid (40-70K)"/>
    <n v="1"/>
    <n v="2015"/>
    <n v="1"/>
    <s v="Q1"/>
    <s v="Jan"/>
    <s v="2015-01"/>
    <s v="N/A"/>
    <s v="Production       "/>
    <n v="7.1428571428571423"/>
    <n v="0"/>
    <s v="Low"/>
  </r>
  <r>
    <s v="Baczenski, Rachael  "/>
    <n v="10252"/>
    <n v="1"/>
    <n v="1"/>
    <n v="0"/>
    <n v="5"/>
    <n v="5"/>
    <n v="3"/>
    <n v="1"/>
    <x v="10"/>
    <n v="1"/>
    <n v="19"/>
    <s v="Production Technician I"/>
    <s v="MA"/>
    <n v="1902"/>
    <d v="1974-01-12T00:00:00"/>
    <s v="F"/>
    <s v="Married"/>
    <s v="US Citizen"/>
    <s v="Yes"/>
    <s v="Black or African American"/>
    <d v="2011-01-10T00:00:00"/>
    <d v="2017-01-12T00:00:00"/>
    <s v="Another position"/>
    <s v="Voluntarily Terminated"/>
    <x v="0"/>
    <s v="David Stanley"/>
    <n v="14"/>
    <s v="Diversity Job Fair"/>
    <s v="Fully Meets"/>
    <n v="4.2"/>
    <n v="4"/>
    <n v="0"/>
    <s v="1/30/2016"/>
    <n v="0"/>
    <n v="12"/>
    <s v="Normal"/>
    <s v="low Outlier"/>
    <n v="52"/>
    <x v="6"/>
    <n v="6"/>
    <x v="0"/>
    <s v="46-55"/>
    <s v="Mid (40-70K)"/>
    <n v="0"/>
    <n v="2011"/>
    <n v="1"/>
    <s v="Q1"/>
    <s v="Jan"/>
    <s v="2011-01"/>
    <n v="2017"/>
    <s v="Production       "/>
    <n v="28.571428571428569"/>
    <n v="20"/>
    <s v="Medium"/>
  </r>
  <r>
    <s v="Barbara, Thomas"/>
    <n v="10242"/>
    <n v="1"/>
    <n v="1"/>
    <n v="1"/>
    <n v="5"/>
    <n v="5"/>
    <n v="3"/>
    <n v="1"/>
    <x v="11"/>
    <n v="1"/>
    <n v="19"/>
    <s v="Production Technician I"/>
    <s v="MA"/>
    <n v="2062"/>
    <d v="1974-02-21T00:00:00"/>
    <s v="M "/>
    <s v="Married"/>
    <s v="US Citizen"/>
    <s v="Yes"/>
    <s v="Black or African American"/>
    <d v="2012-04-02T00:00:00"/>
    <d v="2016-09-19T00:00:00"/>
    <s v="unhappy"/>
    <s v="Voluntarily Terminated"/>
    <x v="0"/>
    <s v="Kissy Sullivan"/>
    <n v="20"/>
    <s v="Diversity Job Fair"/>
    <s v="Fully Meets"/>
    <n v="4.2"/>
    <n v="3"/>
    <n v="0"/>
    <s v="5/6/2016"/>
    <n v="0"/>
    <n v="15"/>
    <s v="Normal"/>
    <s v="low Outlier"/>
    <n v="52"/>
    <x v="7"/>
    <n v="4"/>
    <x v="0"/>
    <s v="46-55"/>
    <s v="Mid (40-70K)"/>
    <n v="0"/>
    <n v="2012"/>
    <n v="4"/>
    <s v="Q2"/>
    <s v="Apr"/>
    <s v="2012-04"/>
    <n v="2016"/>
    <s v="Production       "/>
    <n v="52.380952380952387"/>
    <n v="14"/>
    <s v="Medium"/>
  </r>
  <r>
    <s v="Barbossa, Hector"/>
    <n v="10012"/>
    <n v="0"/>
    <n v="2"/>
    <n v="1"/>
    <n v="1"/>
    <n v="3"/>
    <n v="4"/>
    <n v="1"/>
    <x v="12"/>
    <n v="0"/>
    <n v="9"/>
    <s v="Data Analyst"/>
    <s v="TX"/>
    <n v="78230"/>
    <d v="1988-07-04T00:00:00"/>
    <s v="M "/>
    <s v="Divorced"/>
    <s v="US Citizen"/>
    <s v="No"/>
    <s v="Black or African American"/>
    <d v="2014-11-10T00:00:00"/>
    <m/>
    <s v="N/A-StillEmployed"/>
    <s v="Active"/>
    <x v="1"/>
    <s v="Simon Roup"/>
    <n v="4"/>
    <s v="Diversity Job Fair"/>
    <s v="Exceeds"/>
    <n v="4.28"/>
    <n v="4"/>
    <n v="5"/>
    <s v="2/25/2019"/>
    <n v="0"/>
    <n v="9"/>
    <s v="Normal"/>
    <s v="low Outlier"/>
    <n v="37"/>
    <x v="3"/>
    <n v="11"/>
    <x v="0"/>
    <s v="36-45"/>
    <s v="Senior (70-100K)"/>
    <n v="1"/>
    <n v="2014"/>
    <n v="11"/>
    <s v="Q4"/>
    <s v="Nov"/>
    <s v="2014-11"/>
    <s v="N/A"/>
    <s v="Production       "/>
    <n v="43.75"/>
    <n v="0"/>
    <s v="Low"/>
  </r>
  <r>
    <s v="Barone, Francesco  A"/>
    <n v="10265"/>
    <n v="0"/>
    <n v="0"/>
    <n v="1"/>
    <n v="1"/>
    <n v="5"/>
    <n v="3"/>
    <n v="0"/>
    <x v="13"/>
    <n v="0"/>
    <n v="19"/>
    <s v="Production Technician I"/>
    <s v="MA"/>
    <n v="1810"/>
    <d v="1983-07-20T00:00:00"/>
    <s v="M "/>
    <s v="Single"/>
    <s v="US Citizen"/>
    <s v="No"/>
    <s v="Two or more races"/>
    <d v="2012-02-20T00:00:00"/>
    <m/>
    <s v="N/A-StillEmployed"/>
    <s v="Active"/>
    <x v="0"/>
    <s v="Kelley Spirea"/>
    <n v="18"/>
    <s v="Google Search"/>
    <s v="Fully Meets"/>
    <n v="4.5999999999999996"/>
    <n v="4"/>
    <n v="0"/>
    <s v="2/14/2019"/>
    <n v="0"/>
    <n v="7"/>
    <s v="Normal"/>
    <s v="low Outlier"/>
    <n v="42"/>
    <x v="0"/>
    <n v="14"/>
    <x v="0"/>
    <s v="36-45"/>
    <s v="Mid (40-70K)"/>
    <n v="1"/>
    <n v="2012"/>
    <n v="2"/>
    <s v="Q1"/>
    <s v="Feb"/>
    <s v="2012-02"/>
    <s v="N/A"/>
    <s v="Production       "/>
    <n v="27.27272727272727"/>
    <n v="0"/>
    <s v="Low"/>
  </r>
  <r>
    <s v="Barton, Nader"/>
    <n v="10066"/>
    <n v="0"/>
    <n v="2"/>
    <n v="1"/>
    <n v="5"/>
    <n v="5"/>
    <n v="3"/>
    <n v="0"/>
    <x v="14"/>
    <n v="1"/>
    <n v="19"/>
    <s v="Production Technician I"/>
    <s v="MA"/>
    <n v="2747"/>
    <d v="1977-07-15T00:00:00"/>
    <s v="M "/>
    <s v="Divorced"/>
    <s v="US Citizen"/>
    <s v="No"/>
    <s v="White"/>
    <d v="2012-09-24T00:00:00"/>
    <d v="2017-04-06T00:00:00"/>
    <s v="Another position"/>
    <s v="Voluntarily Terminated"/>
    <x v="0"/>
    <s v="Michael Albert"/>
    <n v="22"/>
    <s v="On-line Web application"/>
    <s v="Fully Meets"/>
    <n v="5"/>
    <n v="5"/>
    <n v="0"/>
    <s v="3/2/2017"/>
    <n v="0"/>
    <n v="1"/>
    <s v="Normal"/>
    <s v="low Outlier"/>
    <n v="48"/>
    <x v="7"/>
    <n v="4"/>
    <x v="0"/>
    <s v="46-55"/>
    <s v="Mid (40-70K)"/>
    <n v="0"/>
    <n v="2012"/>
    <n v="9"/>
    <s v="Q3"/>
    <s v="Sep"/>
    <s v="2012-09"/>
    <n v="2017"/>
    <s v="Production       "/>
    <n v="42.857142857142854"/>
    <n v="19"/>
    <s v="Low"/>
  </r>
  <r>
    <s v="Bates, Norman"/>
    <n v="10061"/>
    <n v="0"/>
    <n v="0"/>
    <n v="1"/>
    <n v="4"/>
    <n v="5"/>
    <n v="3"/>
    <n v="0"/>
    <x v="15"/>
    <n v="1"/>
    <n v="19"/>
    <s v="Production Technician I"/>
    <s v="MA"/>
    <n v="2050"/>
    <d v="1981-10-18T00:00:00"/>
    <s v="M "/>
    <s v="Single"/>
    <s v="US Citizen"/>
    <s v="No"/>
    <s v="White"/>
    <d v="2011-02-21T00:00:00"/>
    <d v="2017-08-04T00:00:00"/>
    <s v="attendance"/>
    <s v="Terminated for Cause"/>
    <x v="0"/>
    <s v="Kelley Spirea"/>
    <n v="18"/>
    <s v="Google Search"/>
    <s v="Fully Meets"/>
    <n v="5"/>
    <n v="4"/>
    <n v="0"/>
    <s v="4/5/2017"/>
    <n v="0"/>
    <n v="20"/>
    <s v="Normal"/>
    <s v="low Outlier"/>
    <n v="44"/>
    <x v="6"/>
    <n v="6"/>
    <x v="0"/>
    <s v="36-45"/>
    <s v="Mid (40-70K)"/>
    <n v="0"/>
    <n v="2011"/>
    <n v="2"/>
    <s v="Q1"/>
    <s v="Feb"/>
    <s v="2011-02"/>
    <n v="2017"/>
    <s v="Production       "/>
    <n v="28.571428571428569"/>
    <n v="7"/>
    <s v="Medium"/>
  </r>
  <r>
    <s v="Beak, Kimberly  "/>
    <n v="10023"/>
    <n v="1"/>
    <n v="1"/>
    <n v="0"/>
    <n v="2"/>
    <n v="5"/>
    <n v="4"/>
    <n v="0"/>
    <x v="16"/>
    <n v="0"/>
    <n v="20"/>
    <s v="Production Technician II"/>
    <s v="MA"/>
    <n v="2145"/>
    <d v="1966-04-17T00:00:00"/>
    <s v="F"/>
    <s v="Married"/>
    <s v="US Citizen"/>
    <s v="No"/>
    <s v="White"/>
    <d v="2016-07-21T00:00:00"/>
    <m/>
    <s v="N/A-StillEmployed"/>
    <s v="Active"/>
    <x v="0"/>
    <s v="Kelley Spirea"/>
    <n v="18"/>
    <s v="Employee Referral"/>
    <s v="Exceeds"/>
    <n v="4.4000000000000004"/>
    <n v="3"/>
    <n v="0"/>
    <s v="1/14/2019"/>
    <n v="0"/>
    <n v="16"/>
    <s v="Normal"/>
    <s v="low Outlier"/>
    <n v="59"/>
    <x v="8"/>
    <n v="9"/>
    <x v="1"/>
    <s v="55+"/>
    <s v="Senior (70-100K)"/>
    <n v="1"/>
    <n v="2016"/>
    <n v="7"/>
    <s v="Q3"/>
    <s v="Jul"/>
    <s v="2016-07"/>
    <s v="N/A"/>
    <s v="Production       "/>
    <n v="25"/>
    <n v="0"/>
    <s v="Medium"/>
  </r>
  <r>
    <s v="Beatrice, Courtney "/>
    <n v="10055"/>
    <n v="0"/>
    <n v="0"/>
    <n v="0"/>
    <n v="1"/>
    <n v="5"/>
    <n v="3"/>
    <n v="0"/>
    <x v="17"/>
    <n v="0"/>
    <n v="19"/>
    <s v="Production Technician I"/>
    <s v="MA"/>
    <n v="1915"/>
    <d v="1970-10-27T00:00:00"/>
    <s v="F"/>
    <s v="Single"/>
    <s v="Eligible NonCitizen"/>
    <s v="No"/>
    <s v="White"/>
    <d v="2011-04-04T00:00:00"/>
    <m/>
    <s v="N/A-StillEmployed"/>
    <s v="Active"/>
    <x v="0"/>
    <s v="Elijiah Gray"/>
    <n v="16"/>
    <s v="Google Search"/>
    <s v="Fully Meets"/>
    <n v="5"/>
    <n v="5"/>
    <n v="0"/>
    <s v="1/14/2019"/>
    <n v="0"/>
    <n v="12"/>
    <s v="Normal"/>
    <s v="low Outlier"/>
    <n v="55"/>
    <x v="0"/>
    <n v="14"/>
    <x v="0"/>
    <s v="46-55"/>
    <s v="Mid (40-70K)"/>
    <n v="1"/>
    <n v="2011"/>
    <n v="4"/>
    <s v="Q2"/>
    <s v="Apr"/>
    <s v="2011-04"/>
    <s v="N/A"/>
    <s v="Production       "/>
    <n v="38.095238095238095"/>
    <n v="0"/>
    <s v="Medium"/>
  </r>
  <r>
    <s v="Becker, Renee"/>
    <n v="10245"/>
    <n v="0"/>
    <n v="0"/>
    <n v="0"/>
    <n v="4"/>
    <n v="3"/>
    <n v="3"/>
    <n v="0"/>
    <x v="18"/>
    <n v="1"/>
    <n v="8"/>
    <s v="Database Administrator"/>
    <s v="MA"/>
    <n v="2026"/>
    <d v="1986-04-04T00:00:00"/>
    <s v="F"/>
    <s v="Single"/>
    <s v="US Citizen"/>
    <s v="Yes"/>
    <s v="White"/>
    <d v="2014-07-07T00:00:00"/>
    <d v="2015-09-12T00:00:00"/>
    <s v="performance"/>
    <s v="Terminated for Cause"/>
    <x v="1"/>
    <s v="Simon Roup"/>
    <n v="4"/>
    <s v="Google Search"/>
    <s v="Fully Meets"/>
    <n v="4.5"/>
    <n v="4"/>
    <n v="5"/>
    <s v="1/15/2015"/>
    <n v="0"/>
    <n v="8"/>
    <s v="Normal"/>
    <s v="low Outlier"/>
    <n v="39"/>
    <x v="3"/>
    <n v="1"/>
    <x v="0"/>
    <s v="36-45"/>
    <s v="Executive (100K+)"/>
    <n v="0"/>
    <n v="2014"/>
    <n v="7"/>
    <s v="Q3"/>
    <s v="Jul"/>
    <s v="2014-07"/>
    <n v="2015"/>
    <s v="Production       "/>
    <n v="46.666666666666664"/>
    <n v="4"/>
    <s v="Low"/>
  </r>
  <r>
    <s v="Becker, Scott"/>
    <n v="10277"/>
    <n v="0"/>
    <n v="0"/>
    <n v="1"/>
    <n v="3"/>
    <n v="5"/>
    <n v="3"/>
    <n v="0"/>
    <x v="19"/>
    <n v="0"/>
    <n v="19"/>
    <s v="Production Technician I"/>
    <s v="MA"/>
    <n v="2452"/>
    <d v="1979-04-06T00:00:00"/>
    <s v="M "/>
    <s v="Single"/>
    <s v="US Citizen"/>
    <s v="No"/>
    <s v="Asian"/>
    <d v="2013-07-08T00:00:00"/>
    <m/>
    <s v="N/A-StillEmployed"/>
    <s v="Active"/>
    <x v="0"/>
    <s v="Webster Butler"/>
    <m/>
    <s v="LinkedIn"/>
    <s v="Fully Meets"/>
    <n v="4.2"/>
    <n v="4"/>
    <n v="0"/>
    <s v="1/11/2019"/>
    <n v="0"/>
    <n v="13"/>
    <s v="Normal"/>
    <s v="low Outlier"/>
    <n v="46"/>
    <x v="4"/>
    <n v="12"/>
    <x v="0"/>
    <s v="46-55"/>
    <s v="Mid (40-70K)"/>
    <n v="1"/>
    <n v="2013"/>
    <n v="7"/>
    <s v="Q3"/>
    <s v="Jul"/>
    <s v="2013-07"/>
    <s v="N/A"/>
    <s v="Production       "/>
    <n v="60"/>
    <n v="0"/>
    <s v="Medium"/>
  </r>
  <r>
    <s v="Bernstein, Sean"/>
    <n v="10046"/>
    <n v="0"/>
    <n v="0"/>
    <n v="1"/>
    <n v="1"/>
    <n v="5"/>
    <n v="3"/>
    <n v="0"/>
    <x v="20"/>
    <n v="0"/>
    <n v="19"/>
    <s v="Production Technician I"/>
    <s v="MA"/>
    <n v="2072"/>
    <d v="1970-12-22T00:00:00"/>
    <s v="M "/>
    <s v="Single"/>
    <s v="US Citizen"/>
    <s v="Yes"/>
    <s v="White"/>
    <d v="2012-04-02T00:00:00"/>
    <m/>
    <s v="N/A-StillEmployed"/>
    <s v="Active"/>
    <x v="0"/>
    <s v="Amy Dunn"/>
    <n v="11"/>
    <s v="Google Search"/>
    <s v="Fully Meets"/>
    <n v="5"/>
    <n v="3"/>
    <n v="0"/>
    <s v="1/14/2019"/>
    <n v="0"/>
    <n v="13"/>
    <s v="Normal"/>
    <s v="low Outlier"/>
    <n v="55"/>
    <x v="7"/>
    <n v="13"/>
    <x v="0"/>
    <s v="46-55"/>
    <s v="Mid (40-70K)"/>
    <n v="1"/>
    <n v="2012"/>
    <n v="4"/>
    <s v="Q2"/>
    <s v="Apr"/>
    <s v="2012-04"/>
    <s v="N/A"/>
    <s v="Production       "/>
    <n v="65"/>
    <n v="0"/>
    <s v="Medium"/>
  </r>
  <r>
    <s v="Biden, Lowan  M"/>
    <n v="10226"/>
    <n v="0"/>
    <n v="2"/>
    <n v="0"/>
    <n v="1"/>
    <n v="5"/>
    <n v="3"/>
    <n v="0"/>
    <x v="21"/>
    <n v="0"/>
    <n v="19"/>
    <s v="Production Technician I"/>
    <s v="MA"/>
    <n v="2027"/>
    <d v="1958-12-27T00:00:00"/>
    <s v="F"/>
    <s v="Divorced"/>
    <s v="US Citizen"/>
    <s v="No"/>
    <s v="Asian"/>
    <d v="2013-08-19T00:00:00"/>
    <m/>
    <s v="N/A-StillEmployed"/>
    <s v="Active"/>
    <x v="0"/>
    <s v="Ketsia Liebig"/>
    <n v="19"/>
    <s v="Indeed"/>
    <s v="Fully Meets"/>
    <n v="4.2"/>
    <n v="3"/>
    <n v="0"/>
    <s v="1/10/2019"/>
    <n v="0"/>
    <n v="2"/>
    <s v="Normal"/>
    <s v="low Outlier"/>
    <n v="67"/>
    <x v="4"/>
    <n v="12"/>
    <x v="0"/>
    <s v="55+"/>
    <s v="Mid (40-70K)"/>
    <n v="1"/>
    <n v="2013"/>
    <n v="8"/>
    <s v="Q3"/>
    <s v="Aug"/>
    <s v="2013-08"/>
    <s v="N/A"/>
    <s v="Production       "/>
    <n v="25"/>
    <n v="0"/>
    <s v="Low"/>
  </r>
  <r>
    <s v="Billis, Helen"/>
    <n v="10003"/>
    <n v="1"/>
    <n v="1"/>
    <n v="0"/>
    <n v="1"/>
    <n v="5"/>
    <n v="4"/>
    <n v="0"/>
    <x v="22"/>
    <n v="0"/>
    <n v="19"/>
    <s v="Production Technician I"/>
    <s v="MA"/>
    <n v="2031"/>
    <d v="1989-09-01T00:00:00"/>
    <s v="F"/>
    <s v="Married"/>
    <s v="US Citizen"/>
    <s v="No"/>
    <s v="White"/>
    <d v="2014-07-07T00:00:00"/>
    <m/>
    <s v="N/A-StillEmployed"/>
    <s v="Active"/>
    <x v="0"/>
    <s v="Brannon Miller"/>
    <n v="12"/>
    <s v="Indeed"/>
    <s v="Exceeds"/>
    <n v="5"/>
    <n v="3"/>
    <n v="0"/>
    <s v="2/27/2019"/>
    <n v="0"/>
    <n v="19"/>
    <s v="Normal"/>
    <s v="low Outlier"/>
    <n v="36"/>
    <x v="3"/>
    <n v="11"/>
    <x v="0"/>
    <s v="36-45"/>
    <s v="Mid (40-70K)"/>
    <n v="1"/>
    <n v="2014"/>
    <n v="7"/>
    <s v="Q3"/>
    <s v="Jul"/>
    <s v="2014-07"/>
    <s v="N/A"/>
    <s v="Production       "/>
    <n v="28.571428571428569"/>
    <n v="0"/>
    <s v="Medium"/>
  </r>
  <r>
    <s v="Blount, Dianna"/>
    <n v="10294"/>
    <n v="0"/>
    <n v="0"/>
    <n v="0"/>
    <n v="1"/>
    <n v="5"/>
    <n v="2"/>
    <n v="0"/>
    <x v="23"/>
    <n v="0"/>
    <n v="20"/>
    <s v="Production Technician II"/>
    <s v="MA"/>
    <n v="2171"/>
    <d v="1990-09-21T00:00:00"/>
    <s v="F"/>
    <s v="Single"/>
    <s v="US Citizen"/>
    <s v="No"/>
    <s v="White"/>
    <d v="2011-04-04T00:00:00"/>
    <m/>
    <s v="N/A-StillEmployed"/>
    <s v="Active"/>
    <x v="0"/>
    <s v="Michael Albert"/>
    <n v="22"/>
    <s v="CareerBuilder"/>
    <s v="Needs Improvement"/>
    <n v="2"/>
    <n v="3"/>
    <n v="0"/>
    <s v="2/27/2019"/>
    <n v="2"/>
    <n v="3"/>
    <s v="Normal"/>
    <s v="low Outlier"/>
    <n v="35"/>
    <x v="0"/>
    <n v="14"/>
    <x v="0"/>
    <s v="26-35"/>
    <s v="Mid (40-70K)"/>
    <n v="1"/>
    <n v="2011"/>
    <n v="4"/>
    <s v="Q2"/>
    <s v="Apr"/>
    <s v="2011-04"/>
    <s v="N/A"/>
    <s v="Production       "/>
    <n v="40"/>
    <n v="0"/>
    <s v="Medium"/>
  </r>
  <r>
    <s v="Bondwell, Betsy"/>
    <n v="10267"/>
    <n v="0"/>
    <n v="0"/>
    <n v="0"/>
    <n v="5"/>
    <n v="5"/>
    <n v="3"/>
    <n v="0"/>
    <x v="24"/>
    <n v="1"/>
    <n v="20"/>
    <s v="Production Technician II"/>
    <s v="MA"/>
    <n v="2210"/>
    <d v="1967-01-16T00:00:00"/>
    <s v="F"/>
    <s v="Single"/>
    <s v="US Citizen"/>
    <s v="No"/>
    <s v="White"/>
    <d v="2011-01-10T00:00:00"/>
    <d v="2014-04-04T00:00:00"/>
    <s v="career change"/>
    <s v="Voluntarily Terminated"/>
    <x v="0"/>
    <s v="Elijiah Gray"/>
    <n v="16"/>
    <s v="Google Search"/>
    <s v="Fully Meets"/>
    <n v="4.8"/>
    <n v="5"/>
    <n v="0"/>
    <s v="3/4/2014"/>
    <n v="0"/>
    <n v="5"/>
    <s v="Normal"/>
    <s v="low Outlier"/>
    <n v="59"/>
    <x v="6"/>
    <n v="3"/>
    <x v="0"/>
    <s v="55+"/>
    <s v="Mid (40-70K)"/>
    <n v="0"/>
    <n v="2011"/>
    <n v="1"/>
    <s v="Q1"/>
    <s v="Jan"/>
    <s v="2011-01"/>
    <n v="2014"/>
    <s v="Production       "/>
    <n v="40"/>
    <n v="8"/>
    <s v="Low"/>
  </r>
  <r>
    <s v="Booth, Frank"/>
    <n v="10199"/>
    <n v="0"/>
    <n v="0"/>
    <n v="1"/>
    <n v="4"/>
    <n v="3"/>
    <n v="3"/>
    <n v="0"/>
    <x v="25"/>
    <n v="1"/>
    <n v="30"/>
    <s v="Enterprise Architect"/>
    <s v="CT"/>
    <n v="6033"/>
    <d v="1964-07-30T00:00:00"/>
    <s v="M "/>
    <s v="Single"/>
    <s v="US Citizen"/>
    <s v="No"/>
    <s v="Black or African American"/>
    <d v="2014-02-17T00:00:00"/>
    <d v="2016-02-19T00:00:00"/>
    <s v="Learned that he is a gangster"/>
    <s v="Terminated for Cause"/>
    <x v="1"/>
    <s v="Simon Roup"/>
    <n v="4"/>
    <s v="LinkedIn"/>
    <s v="Fully Meets"/>
    <n v="3.5"/>
    <n v="5"/>
    <n v="7"/>
    <s v="1/10/2016"/>
    <n v="0"/>
    <n v="2"/>
    <s v="Normal"/>
    <s v="low Outlier"/>
    <n v="61"/>
    <x v="4"/>
    <n v="2"/>
    <x v="0"/>
    <s v="55+"/>
    <s v="Executive (100K+)"/>
    <n v="0"/>
    <n v="2014"/>
    <n v="2"/>
    <s v="Q1"/>
    <s v="Feb"/>
    <s v="2014-02"/>
    <n v="2016"/>
    <s v="Production       "/>
    <n v="42.857142857142854"/>
    <n v="1"/>
    <s v="Low"/>
  </r>
  <r>
    <s v="Boutwell, Bonalyn"/>
    <n v="10081"/>
    <n v="1"/>
    <n v="1"/>
    <n v="0"/>
    <n v="1"/>
    <n v="1"/>
    <n v="3"/>
    <n v="1"/>
    <x v="26"/>
    <n v="0"/>
    <n v="26"/>
    <s v="Sr. Accountant"/>
    <s v="MA"/>
    <n v="2468"/>
    <d v="1987-04-04T00:00:00"/>
    <s v="F"/>
    <s v="Married"/>
    <s v="US Citizen"/>
    <s v="No"/>
    <s v="Black or African American"/>
    <d v="2015-02-16T00:00:00"/>
    <m/>
    <s v="N/A-StillEmployed"/>
    <s v="Active"/>
    <x v="3"/>
    <s v="Brandon R. LeBlanc"/>
    <n v="3"/>
    <s v="Diversity Job Fair"/>
    <s v="Fully Meets"/>
    <n v="5"/>
    <n v="4"/>
    <n v="3"/>
    <s v="2/18/2019"/>
    <n v="0"/>
    <n v="4"/>
    <s v="Normal"/>
    <s v="low Outlier"/>
    <n v="38"/>
    <x v="3"/>
    <n v="11"/>
    <x v="0"/>
    <s v="36-45"/>
    <s v="Executive (100K+)"/>
    <n v="1"/>
    <n v="2015"/>
    <n v="2"/>
    <s v="Q1"/>
    <s v="Feb"/>
    <s v="2015-02"/>
    <s v="N/A"/>
    <s v="Production       "/>
    <n v="28.571428571428569"/>
    <n v="0"/>
    <s v="Low"/>
  </r>
  <r>
    <s v="Bozzi, Charles"/>
    <n v="10175"/>
    <n v="0"/>
    <n v="0"/>
    <n v="1"/>
    <n v="5"/>
    <n v="5"/>
    <n v="3"/>
    <n v="0"/>
    <x v="27"/>
    <n v="1"/>
    <n v="18"/>
    <s v="Production Manager"/>
    <s v="MA"/>
    <n v="1901"/>
    <d v="1970-03-10T00:00:00"/>
    <s v="M "/>
    <s v="Single"/>
    <s v="US Citizen"/>
    <s v="No"/>
    <s v="Asian"/>
    <d v="2013-09-30T00:00:00"/>
    <d v="2014-08-07T00:00:00"/>
    <s v="retiring"/>
    <s v="Voluntarily Terminated"/>
    <x v="0"/>
    <s v="Janet King"/>
    <n v="2"/>
    <s v="Indeed"/>
    <s v="Fully Meets"/>
    <n v="3.39"/>
    <n v="3"/>
    <n v="0"/>
    <s v="2/20/2014"/>
    <n v="0"/>
    <n v="14"/>
    <s v="Normal"/>
    <s v="low Outlier"/>
    <n v="56"/>
    <x v="4"/>
    <n v="0"/>
    <x v="0"/>
    <s v="55+"/>
    <s v="Senior (70-100K)"/>
    <n v="0"/>
    <n v="2013"/>
    <n v="9"/>
    <s v="Q3"/>
    <s v="Sep"/>
    <s v="2013-09"/>
    <n v="2014"/>
    <s v="Production       "/>
    <n v="31.578947368421051"/>
    <n v="4"/>
    <s v="Medium"/>
  </r>
  <r>
    <s v="Brill, Donna"/>
    <n v="10177"/>
    <n v="1"/>
    <n v="1"/>
    <n v="0"/>
    <n v="5"/>
    <n v="5"/>
    <n v="3"/>
    <n v="0"/>
    <x v="28"/>
    <n v="1"/>
    <n v="19"/>
    <s v="Production Technician I"/>
    <s v="MA"/>
    <n v="1701"/>
    <d v="1990-08-24T00:00:00"/>
    <s v="F"/>
    <s v="Married"/>
    <s v="US Citizen"/>
    <s v="No"/>
    <s v="White"/>
    <d v="2012-04-02T00:00:00"/>
    <d v="2013-06-15T00:00:00"/>
    <s v="Another position"/>
    <s v="Voluntarily Terminated"/>
    <x v="0"/>
    <s v="David Stanley"/>
    <n v="14"/>
    <s v="Google Search"/>
    <s v="Fully Meets"/>
    <n v="3.35"/>
    <n v="4"/>
    <n v="0"/>
    <s v="3/4/2013"/>
    <n v="0"/>
    <n v="6"/>
    <s v="Normal"/>
    <s v="low Outlier"/>
    <n v="35"/>
    <x v="7"/>
    <n v="1"/>
    <x v="0"/>
    <s v="26-35"/>
    <s v="Mid (40-70K)"/>
    <n v="0"/>
    <n v="2012"/>
    <n v="4"/>
    <s v="Q2"/>
    <s v="Apr"/>
    <s v="2012-04"/>
    <n v="2013"/>
    <s v="Production       "/>
    <n v="25"/>
    <n v="18"/>
    <s v="Low"/>
  </r>
  <r>
    <s v="Brown, Mia"/>
    <n v="10238"/>
    <n v="1"/>
    <n v="1"/>
    <n v="0"/>
    <n v="1"/>
    <n v="1"/>
    <n v="3"/>
    <n v="1"/>
    <x v="29"/>
    <n v="0"/>
    <n v="1"/>
    <s v="Accountant I"/>
    <s v="MA"/>
    <n v="1450"/>
    <d v="1987-11-24T00:00:00"/>
    <s v="F"/>
    <s v="Married"/>
    <s v="US Citizen"/>
    <s v="No"/>
    <s v="Black or African American"/>
    <d v="2008-10-27T00:00:00"/>
    <m/>
    <s v="N/A-StillEmployed"/>
    <s v="Active"/>
    <x v="3"/>
    <s v="Brandon R. LeBlanc"/>
    <n v="1"/>
    <s v="Diversity Job Fair"/>
    <s v="Fully Meets"/>
    <n v="4.5"/>
    <n v="2"/>
    <n v="6"/>
    <s v="1/15/2019"/>
    <n v="0"/>
    <n v="14"/>
    <s v="Normal"/>
    <s v="low Outlier"/>
    <n v="38"/>
    <x v="9"/>
    <n v="17"/>
    <x v="0"/>
    <s v="36-45"/>
    <s v="Mid (40-70K)"/>
    <n v="1"/>
    <n v="2008"/>
    <n v="10"/>
    <s v="Q4"/>
    <s v="Oct"/>
    <s v="2008-10"/>
    <s v="N/A"/>
    <s v="Production       "/>
    <n v="33.333333333333329"/>
    <n v="0"/>
    <s v="Medium"/>
  </r>
  <r>
    <s v="Buccheri, Joseph  "/>
    <n v="10184"/>
    <n v="0"/>
    <n v="0"/>
    <n v="1"/>
    <n v="1"/>
    <n v="5"/>
    <n v="3"/>
    <n v="0"/>
    <x v="30"/>
    <n v="0"/>
    <n v="20"/>
    <s v="Production Technician II"/>
    <s v="MA"/>
    <n v="1013"/>
    <d v="1983-07-28T00:00:00"/>
    <s v="M "/>
    <s v="Single"/>
    <s v="US Citizen"/>
    <s v="No"/>
    <s v="White"/>
    <d v="2014-09-29T00:00:00"/>
    <m/>
    <s v="N/A-StillEmployed"/>
    <s v="Active"/>
    <x v="0"/>
    <s v="Webster Butler"/>
    <m/>
    <s v="Google Search"/>
    <s v="Fully Meets"/>
    <n v="3.19"/>
    <n v="3"/>
    <n v="0"/>
    <s v="2/1/2019"/>
    <n v="0"/>
    <n v="9"/>
    <s v="Normal"/>
    <s v="low Outlier"/>
    <n v="42"/>
    <x v="3"/>
    <n v="11"/>
    <x v="0"/>
    <s v="36-45"/>
    <s v="Mid (40-70K)"/>
    <n v="1"/>
    <n v="2014"/>
    <n v="9"/>
    <s v="Q3"/>
    <s v="Sep"/>
    <s v="2014-09"/>
    <s v="N/A"/>
    <s v="Production       "/>
    <n v="63.157894736842103"/>
    <n v="0"/>
    <s v="Low"/>
  </r>
  <r>
    <s v="Bugali, Josephine "/>
    <n v="10203"/>
    <n v="0"/>
    <n v="3"/>
    <n v="0"/>
    <n v="3"/>
    <n v="5"/>
    <n v="3"/>
    <n v="1"/>
    <x v="31"/>
    <n v="0"/>
    <n v="19"/>
    <s v="Production Technician I"/>
    <s v="MA"/>
    <n v="2043"/>
    <d v="1969-10-30T00:00:00"/>
    <s v="F"/>
    <s v="Separated"/>
    <s v="US Citizen"/>
    <s v="No"/>
    <s v="Black or African American"/>
    <d v="2013-11-11T00:00:00"/>
    <m/>
    <s v="N/A-StillEmployed"/>
    <s v="Active"/>
    <x v="0"/>
    <s v="Kissy Sullivan"/>
    <n v="20"/>
    <s v="Diversity Job Fair"/>
    <s v="Fully Meets"/>
    <n v="3.5"/>
    <n v="5"/>
    <n v="0"/>
    <s v="1/21/2019"/>
    <n v="0"/>
    <n v="17"/>
    <s v="Normal"/>
    <s v="low Outlier"/>
    <n v="56"/>
    <x v="4"/>
    <n v="12"/>
    <x v="0"/>
    <s v="55+"/>
    <s v="Mid (40-70K)"/>
    <n v="1"/>
    <n v="2013"/>
    <n v="11"/>
    <s v="Q4"/>
    <s v="Nov"/>
    <s v="2013-11"/>
    <s v="N/A"/>
    <s v="Production       "/>
    <n v="50"/>
    <n v="0"/>
    <s v="Medium"/>
  </r>
  <r>
    <s v="Bunbury, Jessica"/>
    <n v="10188"/>
    <n v="1"/>
    <n v="1"/>
    <n v="0"/>
    <n v="5"/>
    <n v="6"/>
    <n v="3"/>
    <n v="0"/>
    <x v="32"/>
    <n v="1"/>
    <n v="3"/>
    <s v="Area Sales Manager"/>
    <s v="VA"/>
    <n v="21851"/>
    <d v="1964-06-01T00:00:00"/>
    <s v="F"/>
    <s v="Married"/>
    <s v="Eligible NonCitizen"/>
    <s v="No"/>
    <s v="Black or African American"/>
    <d v="2011-08-15T00:00:00"/>
    <d v="2014-08-02T00:00:00"/>
    <s v="Another position"/>
    <s v="Voluntarily Terminated"/>
    <x v="4"/>
    <s v="John Smith"/>
    <n v="17"/>
    <s v="Google Search"/>
    <s v="Fully Meets"/>
    <n v="3.14"/>
    <n v="5"/>
    <n v="0"/>
    <s v="2/10/2013"/>
    <n v="1"/>
    <n v="19"/>
    <s v="Normal"/>
    <s v="low Outlier"/>
    <n v="61"/>
    <x v="0"/>
    <n v="2"/>
    <x v="0"/>
    <s v="55+"/>
    <s v="Senior (70-100K)"/>
    <n v="0"/>
    <n v="2011"/>
    <n v="8"/>
    <s v="Q3"/>
    <s v="Aug"/>
    <s v="2011-08"/>
    <n v="2014"/>
    <s v="Production       "/>
    <n v="21.428571428571427"/>
    <n v="17"/>
    <s v="Medium"/>
  </r>
  <r>
    <s v="Burke, Joelle"/>
    <n v="10107"/>
    <n v="0"/>
    <n v="0"/>
    <n v="0"/>
    <n v="1"/>
    <n v="5"/>
    <n v="3"/>
    <n v="0"/>
    <x v="33"/>
    <n v="0"/>
    <n v="20"/>
    <s v="Production Technician II"/>
    <s v="MA"/>
    <n v="2148"/>
    <d v="1980-03-02T00:00:00"/>
    <s v="F"/>
    <s v="Single"/>
    <s v="US Citizen"/>
    <s v="No"/>
    <s v="Black or African American"/>
    <d v="2012-03-05T00:00:00"/>
    <m/>
    <s v="N/A-StillEmployed"/>
    <s v="Active"/>
    <x v="0"/>
    <s v="Amy Dunn"/>
    <n v="11"/>
    <s v="Employee Referral"/>
    <s v="Fully Meets"/>
    <n v="4.51"/>
    <n v="4"/>
    <n v="0"/>
    <s v="2/21/2019"/>
    <n v="0"/>
    <n v="3"/>
    <s v="Normal"/>
    <s v="low Outlier"/>
    <n v="46"/>
    <x v="0"/>
    <n v="14"/>
    <x v="0"/>
    <s v="46-55"/>
    <s v="Mid (40-70K)"/>
    <n v="1"/>
    <n v="2012"/>
    <n v="3"/>
    <s v="Q1"/>
    <s v="Mar"/>
    <s v="2012-03"/>
    <s v="N/A"/>
    <s v="Production       "/>
    <n v="68.421052631578945"/>
    <n v="0"/>
    <s v="Low"/>
  </r>
  <r>
    <s v="Burkett, Benjamin "/>
    <n v="10181"/>
    <n v="1"/>
    <n v="1"/>
    <n v="1"/>
    <n v="1"/>
    <n v="5"/>
    <n v="3"/>
    <n v="0"/>
    <x v="34"/>
    <n v="0"/>
    <n v="20"/>
    <s v="Production Technician II"/>
    <s v="MA"/>
    <n v="1890"/>
    <d v="1977-08-19T00:00:00"/>
    <s v="M "/>
    <s v="Married"/>
    <s v="US Citizen"/>
    <s v="No"/>
    <s v="White"/>
    <d v="2011-04-04T00:00:00"/>
    <m/>
    <s v="N/A-StillEmployed"/>
    <s v="Active"/>
    <x v="0"/>
    <s v="Ketsia Liebig"/>
    <n v="19"/>
    <s v="Indeed"/>
    <s v="Fully Meets"/>
    <n v="3.25"/>
    <n v="5"/>
    <n v="0"/>
    <s v="1/14/2019"/>
    <n v="0"/>
    <n v="15"/>
    <s v="Normal"/>
    <s v="low Outlier"/>
    <n v="48"/>
    <x v="0"/>
    <n v="14"/>
    <x v="0"/>
    <s v="46-55"/>
    <s v="Mid (40-70K)"/>
    <n v="1"/>
    <n v="2011"/>
    <n v="4"/>
    <s v="Q2"/>
    <s v="Apr"/>
    <s v="2011-04"/>
    <s v="N/A"/>
    <s v="Production       "/>
    <n v="26.315789473684209"/>
    <n v="0"/>
    <s v="Medium"/>
  </r>
  <r>
    <s v="Cady, Max "/>
    <n v="10150"/>
    <n v="0"/>
    <n v="0"/>
    <n v="1"/>
    <n v="1"/>
    <n v="4"/>
    <n v="3"/>
    <n v="0"/>
    <x v="35"/>
    <n v="0"/>
    <n v="25"/>
    <s v="Software Engineering Manager"/>
    <s v="MA"/>
    <n v="2184"/>
    <d v="1966-11-22T00:00:00"/>
    <s v="M "/>
    <s v="Single"/>
    <s v="US Citizen"/>
    <s v="No"/>
    <s v="White"/>
    <d v="2011-08-15T00:00:00"/>
    <m/>
    <s v="N/A-StillEmployed"/>
    <s v="Active"/>
    <x v="2"/>
    <s v="Jennifer Zamora"/>
    <n v="5"/>
    <s v="Google Search"/>
    <s v="Fully Meets"/>
    <n v="3.84"/>
    <n v="3"/>
    <n v="5"/>
    <s v="1/21/2019"/>
    <n v="0"/>
    <n v="4"/>
    <s v="Normal"/>
    <s v="low Outlier"/>
    <n v="59"/>
    <x v="0"/>
    <n v="14"/>
    <x v="0"/>
    <s v="55+"/>
    <s v="Senior (70-100K)"/>
    <n v="1"/>
    <n v="2011"/>
    <n v="8"/>
    <s v="Q3"/>
    <s v="Aug"/>
    <s v="2011-08"/>
    <s v="N/A"/>
    <s v="Production       "/>
    <n v="14.285714285714285"/>
    <n v="0"/>
    <s v="Low"/>
  </r>
  <r>
    <s v="Candie, Calvin"/>
    <n v="10001"/>
    <n v="0"/>
    <n v="0"/>
    <n v="1"/>
    <n v="1"/>
    <n v="5"/>
    <n v="4"/>
    <n v="0"/>
    <x v="36"/>
    <n v="0"/>
    <n v="18"/>
    <s v="Production Manager"/>
    <s v="MA"/>
    <n v="2169"/>
    <d v="1983-08-09T00:00:00"/>
    <s v="M "/>
    <s v="Single"/>
    <s v="US Citizen"/>
    <s v="No"/>
    <s v="White"/>
    <d v="2016-01-28T00:00:00"/>
    <m/>
    <s v="N/A-StillEmployed"/>
    <s v="Active"/>
    <x v="0"/>
    <s v="Janet King"/>
    <n v="2"/>
    <s v="Indeed"/>
    <s v="Exceeds"/>
    <n v="5"/>
    <n v="3"/>
    <n v="0"/>
    <s v="2/22/2019"/>
    <n v="0"/>
    <n v="14"/>
    <s v="Normal"/>
    <s v="low Outlier"/>
    <n v="42"/>
    <x v="1"/>
    <n v="10"/>
    <x v="0"/>
    <s v="36-45"/>
    <s v="Senior (70-100K)"/>
    <n v="1"/>
    <n v="2016"/>
    <n v="1"/>
    <s v="Q1"/>
    <s v="Jan"/>
    <s v="2016-01"/>
    <s v="N/A"/>
    <s v="Production       "/>
    <n v="27.777777777777779"/>
    <n v="0"/>
    <s v="Medium"/>
  </r>
  <r>
    <s v="Carabbio, Judith"/>
    <n v="10085"/>
    <n v="0"/>
    <n v="0"/>
    <n v="0"/>
    <n v="1"/>
    <n v="4"/>
    <n v="3"/>
    <n v="0"/>
    <x v="37"/>
    <n v="0"/>
    <n v="24"/>
    <s v="Software Engineer"/>
    <s v="MA"/>
    <n v="2132"/>
    <d v="1987-04-05T00:00:00"/>
    <s v="F"/>
    <s v="Single"/>
    <s v="US Citizen"/>
    <s v="No"/>
    <s v="White"/>
    <d v="2013-11-11T00:00:00"/>
    <m/>
    <s v="N/A-StillEmployed"/>
    <s v="Active"/>
    <x v="2"/>
    <s v="Alex Sweetwater"/>
    <n v="10"/>
    <s v="Indeed"/>
    <s v="Fully Meets"/>
    <n v="4.96"/>
    <n v="4"/>
    <n v="6"/>
    <s v="1/30/2019"/>
    <n v="0"/>
    <n v="3"/>
    <s v="Normal"/>
    <s v="low Outlier"/>
    <n v="38"/>
    <x v="4"/>
    <n v="12"/>
    <x v="0"/>
    <s v="36-45"/>
    <s v="Senior (70-100K)"/>
    <n v="1"/>
    <n v="2013"/>
    <n v="11"/>
    <s v="Q4"/>
    <s v="Nov"/>
    <s v="2013-11"/>
    <s v="N/A"/>
    <s v="Production       "/>
    <n v="37.5"/>
    <n v="0"/>
    <s v="Low"/>
  </r>
  <r>
    <s v="Carey, Michael  "/>
    <n v="10115"/>
    <n v="0"/>
    <n v="0"/>
    <n v="1"/>
    <n v="1"/>
    <n v="5"/>
    <n v="3"/>
    <n v="0"/>
    <x v="38"/>
    <n v="0"/>
    <n v="19"/>
    <s v="Production Technician I"/>
    <s v="MA"/>
    <n v="1701"/>
    <d v="1983-02-02T00:00:00"/>
    <s v="M "/>
    <s v="Single"/>
    <s v="US Citizen"/>
    <s v="No"/>
    <s v="Black or African American"/>
    <d v="2014-03-31T00:00:00"/>
    <m/>
    <s v="N/A-StillEmployed"/>
    <s v="Active"/>
    <x v="0"/>
    <s v="Kelley Spirea"/>
    <n v="18"/>
    <s v="LinkedIn"/>
    <s v="Fully Meets"/>
    <n v="4.43"/>
    <n v="3"/>
    <n v="0"/>
    <s v="2/1/2019"/>
    <n v="0"/>
    <n v="14"/>
    <s v="Normal"/>
    <s v="low Outlier"/>
    <n v="43"/>
    <x v="3"/>
    <n v="11"/>
    <x v="0"/>
    <s v="36-45"/>
    <s v="Mid (40-70K)"/>
    <n v="1"/>
    <n v="2014"/>
    <n v="3"/>
    <s v="Q1"/>
    <s v="Mar"/>
    <s v="2014-03"/>
    <s v="N/A"/>
    <s v="Production       "/>
    <n v="26.315789473684209"/>
    <n v="0"/>
    <s v="Medium"/>
  </r>
  <r>
    <s v="Carr, Claudia  N"/>
    <n v="10082"/>
    <n v="0"/>
    <n v="0"/>
    <n v="0"/>
    <n v="2"/>
    <n v="3"/>
    <n v="3"/>
    <n v="0"/>
    <x v="39"/>
    <n v="0"/>
    <n v="27"/>
    <s v="Sr. DBA"/>
    <s v="MA"/>
    <n v="1886"/>
    <d v="1986-06-06T00:00:00"/>
    <s v="F"/>
    <s v="Single"/>
    <s v="US Citizen"/>
    <s v="No"/>
    <s v="Black or African American"/>
    <d v="2016-06-30T00:00:00"/>
    <m/>
    <s v="N/A-StillEmployed"/>
    <s v="Active"/>
    <x v="1"/>
    <s v="Simon Roup"/>
    <n v="4"/>
    <s v="LinkedIn"/>
    <s v="Fully Meets"/>
    <n v="5"/>
    <n v="5"/>
    <n v="6"/>
    <s v="2/18/2019"/>
    <n v="0"/>
    <n v="7"/>
    <s v="Normal"/>
    <s v="low Outlier"/>
    <n v="39"/>
    <x v="8"/>
    <n v="9"/>
    <x v="1"/>
    <s v="36-45"/>
    <s v="Executive (100K+)"/>
    <n v="1"/>
    <n v="2016"/>
    <n v="6"/>
    <s v="Q2"/>
    <s v="Jun"/>
    <s v="2016-06"/>
    <s v="N/A"/>
    <s v="Production       "/>
    <n v="38.461538461538467"/>
    <n v="0"/>
    <s v="Low"/>
  </r>
  <r>
    <s v="Carter, Michelle "/>
    <n v="10040"/>
    <n v="0"/>
    <n v="0"/>
    <n v="0"/>
    <n v="1"/>
    <n v="6"/>
    <n v="3"/>
    <n v="0"/>
    <x v="40"/>
    <n v="0"/>
    <n v="3"/>
    <s v="Area Sales Manager"/>
    <s v="VT"/>
    <n v="5664"/>
    <d v="1963-05-15T00:00:00"/>
    <s v="F"/>
    <s v="Single"/>
    <s v="US Citizen"/>
    <s v="No"/>
    <s v="White"/>
    <d v="2014-08-18T00:00:00"/>
    <m/>
    <s v="N/A-StillEmployed"/>
    <s v="Active"/>
    <x v="4"/>
    <s v="John Smith"/>
    <n v="17"/>
    <s v="Indeed"/>
    <s v="Fully Meets"/>
    <n v="5"/>
    <n v="5"/>
    <n v="0"/>
    <s v="1/21/2019"/>
    <n v="0"/>
    <n v="7"/>
    <s v="Normal"/>
    <s v="low Outlier"/>
    <n v="62"/>
    <x v="3"/>
    <n v="11"/>
    <x v="0"/>
    <s v="55+"/>
    <s v="Senior (70-100K)"/>
    <n v="1"/>
    <n v="2014"/>
    <n v="8"/>
    <s v="Q3"/>
    <s v="Aug"/>
    <s v="2014-08"/>
    <s v="N/A"/>
    <s v="Production       "/>
    <n v="15.384615384615385"/>
    <n v="0"/>
    <s v="Low"/>
  </r>
  <r>
    <s v="Chace, Beatrice "/>
    <n v="10067"/>
    <n v="0"/>
    <n v="0"/>
    <n v="0"/>
    <n v="1"/>
    <n v="5"/>
    <n v="3"/>
    <n v="0"/>
    <x v="41"/>
    <n v="0"/>
    <n v="19"/>
    <s v="Production Technician I"/>
    <s v="MA"/>
    <n v="2763"/>
    <d v="1951-01-02T00:00:00"/>
    <s v="F"/>
    <s v="Single"/>
    <s v="US Citizen"/>
    <s v="No"/>
    <s v="White"/>
    <d v="2014-09-29T00:00:00"/>
    <m/>
    <s v="N/A-StillEmployed"/>
    <s v="Active"/>
    <x v="0"/>
    <s v="Michael Albert"/>
    <n v="22"/>
    <s v="Google Search"/>
    <s v="Fully Meets"/>
    <n v="5"/>
    <n v="4"/>
    <n v="0"/>
    <s v="2/12/2019"/>
    <n v="0"/>
    <n v="11"/>
    <s v="Normal"/>
    <s v="low Outlier"/>
    <n v="75"/>
    <x v="3"/>
    <n v="11"/>
    <x v="0"/>
    <s v="55+"/>
    <s v="Mid (40-70K)"/>
    <n v="1"/>
    <n v="2014"/>
    <n v="9"/>
    <s v="Q3"/>
    <s v="Sep"/>
    <s v="2014-09"/>
    <s v="N/A"/>
    <s v="Production       "/>
    <n v="42.105263157894733"/>
    <n v="0"/>
    <s v="Medium"/>
  </r>
  <r>
    <s v="Champaigne, Brian"/>
    <n v="10108"/>
    <n v="1"/>
    <n v="1"/>
    <n v="1"/>
    <n v="1"/>
    <n v="3"/>
    <n v="3"/>
    <n v="0"/>
    <x v="42"/>
    <n v="0"/>
    <n v="5"/>
    <s v="BI Director"/>
    <s v="MA"/>
    <n v="2045"/>
    <d v="1972-02-09T00:00:00"/>
    <s v="M "/>
    <s v="Married"/>
    <s v="US Citizen"/>
    <s v="No"/>
    <s v="White"/>
    <d v="2016-09-06T00:00:00"/>
    <m/>
    <s v="N/A-StillEmployed"/>
    <s v="Active"/>
    <x v="1"/>
    <s v="Jennifer Zamora"/>
    <n v="5"/>
    <s v="Indeed"/>
    <s v="Fully Meets"/>
    <n v="4.5"/>
    <n v="5"/>
    <n v="7"/>
    <s v="1/15/2019"/>
    <n v="0"/>
    <n v="8"/>
    <s v="Normal"/>
    <s v="low Outlier"/>
    <n v="54"/>
    <x v="8"/>
    <n v="9"/>
    <x v="1"/>
    <s v="46-55"/>
    <s v="Executive (100K+)"/>
    <n v="1"/>
    <n v="2016"/>
    <n v="9"/>
    <s v="Q3"/>
    <s v="Sep"/>
    <s v="2016-09"/>
    <s v="N/A"/>
    <s v="Production       "/>
    <n v="16.666666666666664"/>
    <n v="0"/>
    <s v="Low"/>
  </r>
  <r>
    <s v="Chan, Lin"/>
    <n v="10210"/>
    <n v="0"/>
    <n v="0"/>
    <n v="0"/>
    <n v="1"/>
    <n v="5"/>
    <n v="3"/>
    <n v="0"/>
    <x v="43"/>
    <n v="0"/>
    <n v="19"/>
    <s v="Production Technician I"/>
    <s v="MA"/>
    <n v="2170"/>
    <d v="1979-02-12T00:00:00"/>
    <s v="F"/>
    <s v="Single"/>
    <s v="US Citizen"/>
    <s v="No"/>
    <s v="White"/>
    <d v="2014-05-12T00:00:00"/>
    <m/>
    <s v="N/A-StillEmployed"/>
    <s v="Active"/>
    <x v="0"/>
    <s v="Elijiah Gray"/>
    <n v="16"/>
    <s v="Indeed"/>
    <s v="Fully Meets"/>
    <n v="3.3"/>
    <n v="4"/>
    <n v="0"/>
    <s v="2/19/2019"/>
    <n v="0"/>
    <n v="11"/>
    <s v="Normal"/>
    <s v="low Outlier"/>
    <n v="47"/>
    <x v="3"/>
    <n v="11"/>
    <x v="0"/>
    <s v="46-55"/>
    <s v="Mid (40-70K)"/>
    <n v="1"/>
    <n v="2014"/>
    <n v="5"/>
    <s v="Q2"/>
    <s v="May"/>
    <s v="2014-05"/>
    <s v="N/A"/>
    <s v="Production       "/>
    <n v="36.84210526315789"/>
    <n v="0"/>
    <s v="Medium"/>
  </r>
  <r>
    <s v="Chang, Donovan  E"/>
    <n v="10154"/>
    <n v="0"/>
    <n v="0"/>
    <n v="1"/>
    <n v="1"/>
    <n v="5"/>
    <n v="3"/>
    <n v="0"/>
    <x v="44"/>
    <n v="0"/>
    <n v="19"/>
    <s v="Production Technician I"/>
    <s v="MA"/>
    <n v="1845"/>
    <d v="1983-08-24T00:00:00"/>
    <s v="M "/>
    <s v="Single"/>
    <s v="US Citizen"/>
    <s v="No"/>
    <s v="White"/>
    <d v="2013-07-08T00:00:00"/>
    <m/>
    <s v="N/A-StillEmployed"/>
    <s v="Active"/>
    <x v="0"/>
    <s v="Webster Butler"/>
    <m/>
    <s v="LinkedIn"/>
    <s v="Fully Meets"/>
    <n v="3.8"/>
    <n v="5"/>
    <n v="0"/>
    <s v="1/14/2019"/>
    <n v="0"/>
    <n v="4"/>
    <s v="Normal"/>
    <s v="low Outlier"/>
    <n v="42"/>
    <x v="4"/>
    <n v="12"/>
    <x v="0"/>
    <s v="36-45"/>
    <s v="Mid (40-70K)"/>
    <n v="1"/>
    <n v="2013"/>
    <n v="7"/>
    <s v="Q3"/>
    <s v="Jul"/>
    <s v="2013-07"/>
    <s v="N/A"/>
    <s v="Production       "/>
    <n v="66.666666666666657"/>
    <n v="0"/>
    <s v="Low"/>
  </r>
  <r>
    <s v="Chigurh, Anton"/>
    <n v="10200"/>
    <n v="0"/>
    <n v="0"/>
    <n v="1"/>
    <n v="1"/>
    <n v="6"/>
    <n v="3"/>
    <n v="0"/>
    <x v="45"/>
    <n v="0"/>
    <n v="3"/>
    <s v="Area Sales Manager"/>
    <s v="TX"/>
    <n v="78207"/>
    <d v="1970-06-11T00:00:00"/>
    <s v="M "/>
    <s v="Single"/>
    <s v="Eligible NonCitizen"/>
    <s v="No"/>
    <s v="Black or African American"/>
    <d v="2012-05-14T00:00:00"/>
    <m/>
    <s v="N/A-StillEmployed"/>
    <s v="Active"/>
    <x v="4"/>
    <s v="Lynn Daneault"/>
    <n v="21"/>
    <s v="Employee Referral"/>
    <s v="Fully Meets"/>
    <n v="3"/>
    <n v="5"/>
    <n v="0"/>
    <s v="1/19/2019"/>
    <n v="0"/>
    <n v="17"/>
    <s v="Normal"/>
    <s v="low Outlier"/>
    <n v="55"/>
    <x v="7"/>
    <n v="13"/>
    <x v="0"/>
    <s v="46-55"/>
    <s v="Mid (40-70K)"/>
    <n v="1"/>
    <n v="2012"/>
    <n v="5"/>
    <s v="Q2"/>
    <s v="May"/>
    <s v="2012-05"/>
    <s v="N/A"/>
    <s v="Production       "/>
    <n v="7.6923076923076925"/>
    <n v="0"/>
    <s v="Medium"/>
  </r>
  <r>
    <s v="Chivukula, Enola"/>
    <n v="10240"/>
    <n v="0"/>
    <n v="0"/>
    <n v="0"/>
    <n v="5"/>
    <n v="5"/>
    <n v="3"/>
    <n v="0"/>
    <x v="46"/>
    <n v="1"/>
    <n v="19"/>
    <s v="Production Technician I"/>
    <s v="MA"/>
    <n v="1775"/>
    <d v="1983-08-27T00:00:00"/>
    <s v="F"/>
    <s v="Single"/>
    <s v="US Citizen"/>
    <s v="No"/>
    <s v="White"/>
    <d v="2011-06-27T00:00:00"/>
    <d v="2015-11-15T00:00:00"/>
    <s v="relocation out of area"/>
    <s v="Voluntarily Terminated"/>
    <x v="0"/>
    <s v="Amy Dunn"/>
    <n v="11"/>
    <s v="Indeed"/>
    <s v="Fully Meets"/>
    <n v="4.3"/>
    <n v="4"/>
    <n v="0"/>
    <s v="3/10/2015"/>
    <n v="0"/>
    <n v="3"/>
    <s v="Normal"/>
    <s v="low Outlier"/>
    <n v="42"/>
    <x v="0"/>
    <n v="4"/>
    <x v="0"/>
    <s v="36-45"/>
    <s v="Mid (40-70K)"/>
    <n v="0"/>
    <n v="2011"/>
    <n v="6"/>
    <s v="Q2"/>
    <s v="Jun"/>
    <s v="2011-06"/>
    <n v="2015"/>
    <s v="Production       "/>
    <n v="72.222222222222214"/>
    <n v="5"/>
    <s v="Low"/>
  </r>
  <r>
    <s v="Cierpiszewski, Caroline  "/>
    <n v="10168"/>
    <n v="0"/>
    <n v="0"/>
    <n v="0"/>
    <n v="1"/>
    <n v="5"/>
    <n v="3"/>
    <n v="0"/>
    <x v="47"/>
    <n v="0"/>
    <n v="19"/>
    <s v="Production Technician I"/>
    <s v="MA"/>
    <n v="2044"/>
    <d v="1988-05-31T00:00:00"/>
    <s v="F"/>
    <s v="Single"/>
    <s v="Non-Citizen"/>
    <s v="No"/>
    <s v="Black or African American"/>
    <d v="2011-10-03T00:00:00"/>
    <m/>
    <s v="N/A-StillEmployed"/>
    <s v="Active"/>
    <x v="0"/>
    <s v="Ketsia Liebig"/>
    <n v="19"/>
    <s v="Indeed"/>
    <s v="Fully Meets"/>
    <n v="3.58"/>
    <n v="5"/>
    <n v="0"/>
    <s v="1/30/2019"/>
    <n v="0"/>
    <n v="3"/>
    <s v="Normal"/>
    <s v="low Outlier"/>
    <n v="37"/>
    <x v="0"/>
    <n v="14"/>
    <x v="0"/>
    <s v="36-45"/>
    <s v="Mid (40-70K)"/>
    <n v="1"/>
    <n v="2011"/>
    <n v="10"/>
    <s v="Q4"/>
    <s v="Oct"/>
    <s v="2011-10"/>
    <s v="N/A"/>
    <s v="Production       "/>
    <n v="27.777777777777779"/>
    <n v="0"/>
    <s v="Low"/>
  </r>
  <r>
    <s v="Clayton, Rick"/>
    <n v="10220"/>
    <n v="0"/>
    <n v="0"/>
    <n v="1"/>
    <n v="1"/>
    <n v="3"/>
    <n v="3"/>
    <n v="0"/>
    <x v="48"/>
    <n v="0"/>
    <n v="14"/>
    <s v="IT Support"/>
    <s v="MA"/>
    <n v="2170"/>
    <d v="1985-09-05T00:00:00"/>
    <s v="M "/>
    <s v="Single"/>
    <s v="US Citizen"/>
    <s v="No"/>
    <s v="White"/>
    <d v="2012-09-05T00:00:00"/>
    <m/>
    <s v="N/A-StillEmployed"/>
    <s v="Active"/>
    <x v="1"/>
    <s v="Eric Dougall"/>
    <n v="6"/>
    <s v="Indeed"/>
    <s v="Fully Meets"/>
    <n v="4.7"/>
    <n v="3"/>
    <n v="6"/>
    <s v="2/27/2019"/>
    <n v="0"/>
    <n v="2"/>
    <s v="Normal"/>
    <s v="low Outlier"/>
    <n v="40"/>
    <x v="7"/>
    <n v="13"/>
    <x v="0"/>
    <s v="36-45"/>
    <s v="Mid (40-70K)"/>
    <n v="1"/>
    <n v="2012"/>
    <n v="9"/>
    <s v="Q3"/>
    <s v="Sep"/>
    <s v="2012-09"/>
    <s v="N/A"/>
    <s v="Production       "/>
    <n v="0"/>
    <n v="0"/>
    <s v="Low"/>
  </r>
  <r>
    <s v="Cloninger, Jennifer"/>
    <n v="10275"/>
    <n v="1"/>
    <n v="1"/>
    <n v="0"/>
    <n v="5"/>
    <n v="5"/>
    <n v="3"/>
    <n v="0"/>
    <x v="49"/>
    <n v="1"/>
    <n v="20"/>
    <s v="Production Technician II"/>
    <s v="MA"/>
    <n v="1752"/>
    <d v="1981-08-31T00:00:00"/>
    <s v="F"/>
    <s v="Married"/>
    <s v="US Citizen"/>
    <s v="No"/>
    <s v="White"/>
    <d v="2011-05-16T00:00:00"/>
    <d v="2013-01-07T00:00:00"/>
    <s v="unhappy"/>
    <s v="Voluntarily Terminated"/>
    <x v="0"/>
    <s v="Brannon Miller"/>
    <n v="12"/>
    <s v="Google Search"/>
    <s v="Fully Meets"/>
    <n v="4.2"/>
    <n v="5"/>
    <n v="0"/>
    <s v="5/3/2012"/>
    <n v="0"/>
    <n v="9"/>
    <s v="Normal"/>
    <s v="low Outlier"/>
    <n v="44"/>
    <x v="0"/>
    <n v="1"/>
    <x v="0"/>
    <s v="36-45"/>
    <s v="Mid (40-70K)"/>
    <n v="0"/>
    <n v="2011"/>
    <n v="5"/>
    <s v="Q2"/>
    <s v="May"/>
    <s v="2011-05"/>
    <n v="2013"/>
    <s v="Production       "/>
    <n v="30"/>
    <n v="13"/>
    <s v="Low"/>
  </r>
  <r>
    <s v="Close, Phil"/>
    <n v="10269"/>
    <n v="1"/>
    <n v="1"/>
    <n v="1"/>
    <n v="5"/>
    <n v="5"/>
    <n v="3"/>
    <n v="0"/>
    <x v="50"/>
    <n v="1"/>
    <n v="20"/>
    <s v="Production Technician II"/>
    <s v="MA"/>
    <n v="2169"/>
    <d v="1978-11-25T00:00:00"/>
    <s v="M "/>
    <s v="Married"/>
    <s v="US Citizen"/>
    <s v="No"/>
    <s v="White"/>
    <d v="2010-08-30T00:00:00"/>
    <d v="2011-09-26T00:00:00"/>
    <s v="career change"/>
    <s v="Voluntarily Terminated"/>
    <x v="0"/>
    <s v="David Stanley"/>
    <n v="14"/>
    <s v="Indeed"/>
    <s v="Fully Meets"/>
    <n v="4.2"/>
    <n v="4"/>
    <n v="0"/>
    <s v="5/4/2011"/>
    <n v="0"/>
    <n v="6"/>
    <s v="Normal"/>
    <s v="low Outlier"/>
    <n v="47"/>
    <x v="6"/>
    <n v="1"/>
    <x v="0"/>
    <s v="46-55"/>
    <s v="Mid (40-70K)"/>
    <n v="0"/>
    <n v="2010"/>
    <n v="8"/>
    <s v="Q3"/>
    <s v="Aug"/>
    <s v="2010-08"/>
    <n v="2011"/>
    <s v="Production       "/>
    <n v="21.052631578947366"/>
    <n v="7"/>
    <s v="Low"/>
  </r>
  <r>
    <s v="Clukey, Elijian"/>
    <n v="10029"/>
    <n v="1"/>
    <n v="1"/>
    <n v="1"/>
    <n v="2"/>
    <n v="5"/>
    <n v="4"/>
    <n v="0"/>
    <x v="51"/>
    <n v="0"/>
    <n v="19"/>
    <s v="Production Technician I"/>
    <s v="MA"/>
    <n v="2134"/>
    <d v="1980-08-26T00:00:00"/>
    <s v="M "/>
    <s v="Married"/>
    <s v="US Citizen"/>
    <s v="No"/>
    <s v="White"/>
    <d v="2016-07-06T00:00:00"/>
    <m/>
    <s v="N/A-StillEmployed"/>
    <s v="Active"/>
    <x v="0"/>
    <s v="Brannon Miller"/>
    <n v="12"/>
    <s v="Employee Referral"/>
    <s v="Exceeds"/>
    <n v="4.0999999999999996"/>
    <n v="4"/>
    <n v="0"/>
    <s v="2/28/2019"/>
    <n v="0"/>
    <n v="5"/>
    <s v="Normal"/>
    <s v="low Outlier"/>
    <n v="45"/>
    <x v="8"/>
    <n v="9"/>
    <x v="1"/>
    <s v="36-45"/>
    <s v="Mid (40-70K)"/>
    <n v="1"/>
    <n v="2016"/>
    <n v="7"/>
    <s v="Q3"/>
    <s v="Jul"/>
    <s v="2016-07"/>
    <s v="N/A"/>
    <s v="Production       "/>
    <n v="26.315789473684209"/>
    <n v="0"/>
    <s v="Low"/>
  </r>
  <r>
    <s v="Cockel, James"/>
    <n v="10261"/>
    <n v="0"/>
    <n v="0"/>
    <n v="1"/>
    <n v="1"/>
    <n v="5"/>
    <n v="3"/>
    <n v="0"/>
    <x v="52"/>
    <n v="0"/>
    <n v="19"/>
    <s v="Production Technician I"/>
    <s v="MA"/>
    <n v="2452"/>
    <d v="1977-09-08T00:00:00"/>
    <s v="M "/>
    <s v="Single"/>
    <s v="US Citizen"/>
    <s v="No"/>
    <s v="White"/>
    <d v="2013-07-08T00:00:00"/>
    <m/>
    <s v="N/A-StillEmployed"/>
    <s v="Active"/>
    <x v="0"/>
    <s v="David Stanley"/>
    <n v="14"/>
    <s v="Employee Referral"/>
    <s v="Fully Meets"/>
    <n v="4.4000000000000004"/>
    <n v="5"/>
    <n v="0"/>
    <s v="1/14/2019"/>
    <n v="0"/>
    <n v="3"/>
    <s v="Normal"/>
    <s v="low Outlier"/>
    <n v="48"/>
    <x v="4"/>
    <n v="12"/>
    <x v="0"/>
    <s v="46-55"/>
    <s v="Mid (40-70K)"/>
    <n v="1"/>
    <n v="2013"/>
    <n v="7"/>
    <s v="Q3"/>
    <s v="Jul"/>
    <s v="2013-07"/>
    <s v="N/A"/>
    <s v="Production       "/>
    <n v="16.666666666666664"/>
    <n v="0"/>
    <s v="Low"/>
  </r>
  <r>
    <s v="Cole, Spencer"/>
    <n v="10292"/>
    <n v="0"/>
    <n v="0"/>
    <n v="1"/>
    <n v="4"/>
    <n v="5"/>
    <n v="2"/>
    <n v="0"/>
    <x v="53"/>
    <n v="1"/>
    <n v="19"/>
    <s v="Production Technician I"/>
    <s v="MA"/>
    <n v="1880"/>
    <d v="1979-08-12T00:00:00"/>
    <s v="M "/>
    <s v="Single"/>
    <s v="US Citizen"/>
    <s v="No"/>
    <s v="Black or African American"/>
    <d v="2011-07-11T00:00:00"/>
    <d v="2016-09-23T00:00:00"/>
    <s v="performance"/>
    <s v="Terminated for Cause"/>
    <x v="0"/>
    <s v="Kissy Sullivan"/>
    <n v="20"/>
    <s v="LinkedIn"/>
    <s v="Needs Improvement"/>
    <n v="2"/>
    <n v="3"/>
    <n v="0"/>
    <s v="5/1/2016"/>
    <n v="5"/>
    <n v="16"/>
    <s v="Normal"/>
    <s v="low Outlier"/>
    <n v="46"/>
    <x v="0"/>
    <n v="5"/>
    <x v="0"/>
    <s v="46-55"/>
    <s v="Mid (40-70K)"/>
    <n v="0"/>
    <n v="2011"/>
    <n v="7"/>
    <s v="Q3"/>
    <s v="Jul"/>
    <s v="2011-07"/>
    <n v="2016"/>
    <s v="Production       "/>
    <n v="52.631578947368418"/>
    <n v="3"/>
    <s v="Medium"/>
  </r>
  <r>
    <s v="Corleone, Michael"/>
    <n v="10282"/>
    <n v="0"/>
    <n v="2"/>
    <n v="1"/>
    <n v="1"/>
    <n v="5"/>
    <n v="2"/>
    <n v="0"/>
    <x v="54"/>
    <n v="0"/>
    <n v="18"/>
    <s v="Production Manager"/>
    <s v="MA"/>
    <n v="1803"/>
    <d v="1975-12-17T00:00:00"/>
    <s v="M "/>
    <s v="Divorced"/>
    <s v="US Citizen"/>
    <s v="No"/>
    <s v="White"/>
    <d v="2010-07-20T00:00:00"/>
    <m/>
    <s v="N/A-StillEmployed"/>
    <s v="Active"/>
    <x v="0"/>
    <s v="Janet King"/>
    <n v="2"/>
    <s v="CareerBuilder"/>
    <s v="Needs Improvement"/>
    <n v="4.13"/>
    <n v="2"/>
    <n v="0"/>
    <s v="1/14/2019"/>
    <n v="3"/>
    <n v="3"/>
    <s v="Normal"/>
    <s v="low Outlier"/>
    <n v="50"/>
    <x v="6"/>
    <n v="15"/>
    <x v="0"/>
    <s v="46-55"/>
    <s v="Mid (40-70K)"/>
    <n v="1"/>
    <n v="2010"/>
    <n v="7"/>
    <s v="Q3"/>
    <s v="Jul"/>
    <s v="2010-07"/>
    <s v="N/A"/>
    <s v="Production       "/>
    <n v="29.411764705882355"/>
    <n v="0"/>
    <s v="Medium"/>
  </r>
  <r>
    <s v="Corleone, Vito"/>
    <n v="10019"/>
    <n v="0"/>
    <n v="0"/>
    <n v="1"/>
    <n v="1"/>
    <n v="5"/>
    <n v="4"/>
    <n v="0"/>
    <x v="55"/>
    <n v="0"/>
    <n v="10"/>
    <s v="Director of Operations"/>
    <s v="MA"/>
    <n v="2030"/>
    <d v="1983-03-19T00:00:00"/>
    <s v="M "/>
    <s v="Single"/>
    <s v="US Citizen"/>
    <s v="No"/>
    <s v="Black or African American"/>
    <d v="2009-01-05T00:00:00"/>
    <m/>
    <s v="N/A-StillEmployed"/>
    <s v="Active"/>
    <x v="0"/>
    <s v="Janet King"/>
    <n v="2"/>
    <s v="Indeed"/>
    <s v="Exceeds"/>
    <n v="3.7"/>
    <n v="5"/>
    <n v="0"/>
    <s v="2/4/2019"/>
    <n v="0"/>
    <n v="15"/>
    <s v=" high Outlier"/>
    <s v="low Outlier"/>
    <n v="42"/>
    <x v="9"/>
    <n v="17"/>
    <x v="0"/>
    <s v="36-45"/>
    <s v="Executive (100K+)"/>
    <n v="1"/>
    <n v="2009"/>
    <n v="1"/>
    <s v="Q1"/>
    <s v="Jan"/>
    <s v="2009-01"/>
    <s v="N/A"/>
    <s v="Production       "/>
    <n v="31.25"/>
    <n v="0"/>
    <s v="Medium"/>
  </r>
  <r>
    <s v="Cornett, Lisa "/>
    <n v="10094"/>
    <n v="1"/>
    <n v="1"/>
    <n v="0"/>
    <n v="1"/>
    <n v="5"/>
    <n v="3"/>
    <n v="0"/>
    <x v="56"/>
    <n v="0"/>
    <n v="19"/>
    <s v="Production Technician I"/>
    <s v="MA"/>
    <n v="2189"/>
    <d v="1977-03-31T00:00:00"/>
    <s v="F"/>
    <s v="Married"/>
    <s v="US Citizen"/>
    <s v="Yes"/>
    <s v="White"/>
    <d v="2015-01-05T00:00:00"/>
    <m/>
    <s v="N/A-StillEmployed"/>
    <s v="Active"/>
    <x v="0"/>
    <s v="Kelley Spirea"/>
    <n v="18"/>
    <s v="Indeed"/>
    <s v="Fully Meets"/>
    <n v="4.7300000000000004"/>
    <n v="5"/>
    <n v="0"/>
    <s v="2/14/2019"/>
    <n v="0"/>
    <n v="6"/>
    <s v="Normal"/>
    <s v="low Outlier"/>
    <n v="48"/>
    <x v="3"/>
    <n v="11"/>
    <x v="0"/>
    <s v="46-55"/>
    <s v="Mid (40-70K)"/>
    <n v="1"/>
    <n v="2015"/>
    <n v="1"/>
    <s v="Q1"/>
    <s v="Jan"/>
    <s v="2015-01"/>
    <s v="N/A"/>
    <s v="Production       "/>
    <n v="27.777777777777779"/>
    <n v="0"/>
    <s v="Low"/>
  </r>
  <r>
    <s v="Costello, Frank"/>
    <n v="10193"/>
    <n v="1"/>
    <n v="1"/>
    <n v="1"/>
    <n v="1"/>
    <n v="3"/>
    <n v="3"/>
    <n v="0"/>
    <x v="57"/>
    <n v="0"/>
    <n v="9"/>
    <s v="Data Analyst"/>
    <s v="MA"/>
    <n v="1810"/>
    <d v="1986-08-26T00:00:00"/>
    <s v="M "/>
    <s v="Married"/>
    <s v="US Citizen"/>
    <s v="No"/>
    <s v="White"/>
    <d v="2015-03-30T00:00:00"/>
    <m/>
    <s v="N/A-StillEmployed"/>
    <s v="Active"/>
    <x v="1"/>
    <s v="Simon Roup"/>
    <n v="4"/>
    <s v="Indeed"/>
    <s v="Fully Meets"/>
    <n v="3.04"/>
    <n v="3"/>
    <n v="6"/>
    <s v="1/22/2019"/>
    <n v="0"/>
    <n v="2"/>
    <s v="Normal"/>
    <s v="low Outlier"/>
    <n v="39"/>
    <x v="1"/>
    <n v="10"/>
    <x v="0"/>
    <s v="36-45"/>
    <s v="Senior (70-100K)"/>
    <n v="1"/>
    <n v="2015"/>
    <n v="3"/>
    <s v="Q1"/>
    <s v="Mar"/>
    <s v="2015-03"/>
    <s v="N/A"/>
    <s v="Production       "/>
    <n v="41.666666666666671"/>
    <n v="0"/>
    <s v="Low"/>
  </r>
  <r>
    <s v="Crimmings,   Jean"/>
    <n v="10132"/>
    <n v="0"/>
    <n v="0"/>
    <n v="0"/>
    <n v="2"/>
    <n v="5"/>
    <n v="3"/>
    <n v="0"/>
    <x v="58"/>
    <n v="0"/>
    <n v="19"/>
    <s v="Production Technician I"/>
    <s v="MA"/>
    <n v="1821"/>
    <d v="1987-04-10T00:00:00"/>
    <s v="F"/>
    <s v="Single"/>
    <s v="US Citizen"/>
    <s v="No"/>
    <s v="White"/>
    <d v="2016-07-06T00:00:00"/>
    <m/>
    <s v="N/A-StillEmployed"/>
    <s v="Active"/>
    <x v="0"/>
    <s v="Michael Albert"/>
    <n v="22"/>
    <s v="LinkedIn"/>
    <s v="Fully Meets"/>
    <n v="4.12"/>
    <n v="5"/>
    <n v="0"/>
    <s v="1/28/2019"/>
    <n v="0"/>
    <n v="15"/>
    <s v="Normal"/>
    <s v="low Outlier"/>
    <n v="38"/>
    <x v="8"/>
    <n v="9"/>
    <x v="1"/>
    <s v="36-45"/>
    <s v="Mid (40-70K)"/>
    <n v="1"/>
    <n v="2016"/>
    <n v="7"/>
    <s v="Q3"/>
    <s v="Jul"/>
    <s v="2016-07"/>
    <s v="N/A"/>
    <s v="Production       "/>
    <n v="44.444444444444443"/>
    <n v="0"/>
    <s v="Medium"/>
  </r>
  <r>
    <s v="Cross, Noah"/>
    <n v="10083"/>
    <n v="0"/>
    <n v="0"/>
    <n v="1"/>
    <n v="1"/>
    <n v="3"/>
    <n v="3"/>
    <n v="0"/>
    <x v="59"/>
    <n v="0"/>
    <n v="28"/>
    <s v="Sr. Network Engineer"/>
    <s v="CT"/>
    <n v="6278"/>
    <d v="1965-09-09T00:00:00"/>
    <s v="M "/>
    <s v="Single"/>
    <s v="US Citizen"/>
    <s v="No"/>
    <s v="White"/>
    <d v="2014-11-10T00:00:00"/>
    <m/>
    <s v="N/A-StillEmployed"/>
    <s v="Active"/>
    <x v="1"/>
    <s v="Peter Monroe"/>
    <n v="7"/>
    <s v="Employee Referral"/>
    <s v="Fully Meets"/>
    <n v="5"/>
    <n v="3"/>
    <n v="4"/>
    <s v="1/2/2019"/>
    <n v="0"/>
    <n v="5"/>
    <s v="Normal"/>
    <s v="low Outlier"/>
    <n v="60"/>
    <x v="3"/>
    <n v="11"/>
    <x v="0"/>
    <s v="55+"/>
    <s v="Senior (70-100K)"/>
    <n v="1"/>
    <n v="2014"/>
    <n v="11"/>
    <s v="Q4"/>
    <s v="Nov"/>
    <s v="2014-11"/>
    <s v="N/A"/>
    <s v="Production       "/>
    <n v="7.6923076923076925"/>
    <n v="0"/>
    <s v="Low"/>
  </r>
  <r>
    <s v="Daneault, Lynn"/>
    <n v="10099"/>
    <n v="0"/>
    <n v="0"/>
    <n v="0"/>
    <n v="1"/>
    <n v="6"/>
    <n v="3"/>
    <n v="0"/>
    <x v="60"/>
    <n v="0"/>
    <n v="21"/>
    <s v="Sales Manager"/>
    <s v="VT"/>
    <n v="5473"/>
    <d v="1990-04-19T00:00:00"/>
    <s v="F"/>
    <s v="Single"/>
    <s v="US Citizen"/>
    <s v="No"/>
    <s v="White"/>
    <d v="2014-05-05T00:00:00"/>
    <m/>
    <s v="N/A-StillEmployed"/>
    <s v="Active"/>
    <x v="4"/>
    <s v="Debra Houlihan"/>
    <n v="15"/>
    <s v="Indeed"/>
    <s v="Fully Meets"/>
    <n v="4.62"/>
    <n v="4"/>
    <n v="0"/>
    <s v="1/24/2019"/>
    <n v="0"/>
    <n v="8"/>
    <s v="Normal"/>
    <s v="low Outlier"/>
    <n v="35"/>
    <x v="3"/>
    <n v="11"/>
    <x v="0"/>
    <s v="26-35"/>
    <s v="Mid (40-70K)"/>
    <n v="1"/>
    <n v="2014"/>
    <n v="5"/>
    <s v="Q2"/>
    <s v="May"/>
    <s v="2014-05"/>
    <s v="N/A"/>
    <s v="Production       "/>
    <n v="33.333333333333329"/>
    <n v="0"/>
    <s v="Low"/>
  </r>
  <r>
    <s v="Daniele, Ann  "/>
    <n v="10212"/>
    <n v="1"/>
    <n v="1"/>
    <n v="0"/>
    <n v="3"/>
    <n v="3"/>
    <n v="3"/>
    <n v="0"/>
    <x v="61"/>
    <n v="0"/>
    <n v="28"/>
    <s v="Sr. Network Engineer"/>
    <s v="CT"/>
    <n v="6033"/>
    <d v="1952-01-18T00:00:00"/>
    <s v="F"/>
    <s v="Married"/>
    <s v="US Citizen"/>
    <s v="No"/>
    <s v="White"/>
    <d v="2014-11-10T00:00:00"/>
    <m/>
    <s v="N/A-StillEmployed"/>
    <s v="Active"/>
    <x v="1"/>
    <s v="Peter Monroe"/>
    <n v="7"/>
    <s v="LinkedIn"/>
    <s v="Fully Meets"/>
    <n v="3.1"/>
    <n v="5"/>
    <n v="8"/>
    <s v="2/12/2019"/>
    <n v="0"/>
    <n v="19"/>
    <s v="Normal"/>
    <s v="low Outlier"/>
    <n v="74"/>
    <x v="3"/>
    <n v="11"/>
    <x v="0"/>
    <s v="55+"/>
    <s v="Senior (70-100K)"/>
    <n v="1"/>
    <n v="2014"/>
    <n v="11"/>
    <s v="Q4"/>
    <s v="Nov"/>
    <s v="2014-11"/>
    <s v="N/A"/>
    <s v="Production       "/>
    <n v="8.3333333333333321"/>
    <n v="0"/>
    <s v="Low"/>
  </r>
  <r>
    <s v="Darson, Jene'ya "/>
    <n v="10056"/>
    <n v="1"/>
    <n v="1"/>
    <n v="0"/>
    <n v="1"/>
    <n v="5"/>
    <n v="3"/>
    <n v="0"/>
    <x v="62"/>
    <n v="0"/>
    <n v="19"/>
    <s v="Production Technician I"/>
    <s v="MA"/>
    <n v="2110"/>
    <d v="1978-11-05T00:00:00"/>
    <s v="F"/>
    <s v="Married"/>
    <s v="US Citizen"/>
    <s v="No"/>
    <s v="White"/>
    <d v="2012-07-02T00:00:00"/>
    <m/>
    <s v="N/A-StillEmployed"/>
    <s v="Active"/>
    <x v="0"/>
    <s v="Elijiah Gray"/>
    <n v="16"/>
    <s v="Indeed"/>
    <s v="Fully Meets"/>
    <n v="5"/>
    <n v="3"/>
    <n v="0"/>
    <s v="2/25/2019"/>
    <n v="0"/>
    <n v="1"/>
    <s v="Normal"/>
    <s v="low Outlier"/>
    <n v="47"/>
    <x v="7"/>
    <n v="13"/>
    <x v="0"/>
    <s v="46-55"/>
    <s v="Mid (40-70K)"/>
    <n v="1"/>
    <n v="2012"/>
    <n v="7"/>
    <s v="Q3"/>
    <s v="Jul"/>
    <s v="2012-07"/>
    <s v="N/A"/>
    <s v="Production       "/>
    <n v="38.888888888888893"/>
    <n v="0"/>
    <s v="Low"/>
  </r>
  <r>
    <s v="Davis, Daniel"/>
    <n v="10143"/>
    <n v="0"/>
    <n v="0"/>
    <n v="1"/>
    <n v="1"/>
    <n v="5"/>
    <n v="3"/>
    <n v="0"/>
    <x v="63"/>
    <n v="0"/>
    <n v="20"/>
    <s v="Production Technician II"/>
    <s v="MA"/>
    <n v="2458"/>
    <d v="1979-09-14T00:00:00"/>
    <s v="M "/>
    <s v="Single"/>
    <s v="Eligible NonCitizen"/>
    <s v="No"/>
    <s v="Two or more races"/>
    <d v="2011-11-07T00:00:00"/>
    <m/>
    <s v="N/A-StillEmployed"/>
    <s v="Active"/>
    <x v="0"/>
    <s v="Kissy Sullivan"/>
    <n v="20"/>
    <s v="LinkedIn"/>
    <s v="Fully Meets"/>
    <n v="3.96"/>
    <n v="4"/>
    <n v="0"/>
    <s v="2/27/2019"/>
    <n v="0"/>
    <n v="6"/>
    <s v="Normal"/>
    <s v="low Outlier"/>
    <n v="46"/>
    <x v="0"/>
    <n v="14"/>
    <x v="0"/>
    <s v="46-55"/>
    <s v="Mid (40-70K)"/>
    <n v="1"/>
    <n v="2011"/>
    <n v="11"/>
    <s v="Q4"/>
    <s v="Nov"/>
    <s v="2011-11"/>
    <s v="N/A"/>
    <s v="Production       "/>
    <n v="50"/>
    <n v="0"/>
    <s v="Low"/>
  </r>
  <r>
    <s v="Dee, Randy"/>
    <n v="10311"/>
    <n v="1"/>
    <n v="1"/>
    <n v="1"/>
    <n v="1"/>
    <n v="6"/>
    <n v="1"/>
    <n v="0"/>
    <x v="64"/>
    <n v="0"/>
    <n v="19"/>
    <s v="Production Technician I"/>
    <s v="MA"/>
    <n v="2138"/>
    <d v="1988-04-15T00:00:00"/>
    <s v="M "/>
    <s v="Married"/>
    <s v="US Citizen"/>
    <s v="No"/>
    <s v="White"/>
    <d v="2018-07-09T00:00:00"/>
    <m/>
    <s v="N/A-StillEmployed"/>
    <s v="Active"/>
    <x v="0"/>
    <s v="Brannon Miller"/>
    <n v="12"/>
    <s v="Indeed"/>
    <s v="Fully Meets"/>
    <n v="4.3"/>
    <n v="4"/>
    <n v="3"/>
    <s v="1/31/2019"/>
    <n v="2"/>
    <n v="2"/>
    <s v="Normal"/>
    <s v="low Outlier"/>
    <n v="37"/>
    <x v="10"/>
    <n v="7"/>
    <x v="1"/>
    <s v="36-45"/>
    <s v="Mid (40-70K)"/>
    <n v="1"/>
    <n v="2018"/>
    <n v="7"/>
    <s v="Q3"/>
    <s v="Jul"/>
    <s v="2018-07"/>
    <s v="N/A"/>
    <s v="Production       "/>
    <n v="27.777777777777779"/>
    <n v="0"/>
    <s v="Low"/>
  </r>
  <r>
    <s v="DeGweck,  James"/>
    <n v="10070"/>
    <n v="1"/>
    <n v="1"/>
    <n v="1"/>
    <n v="5"/>
    <n v="5"/>
    <n v="3"/>
    <n v="0"/>
    <x v="65"/>
    <n v="1"/>
    <n v="19"/>
    <s v="Production Technician I"/>
    <s v="MA"/>
    <n v="1810"/>
    <d v="1977-10-31T00:00:00"/>
    <s v="M "/>
    <s v="Married"/>
    <s v="US Citizen"/>
    <s v="No"/>
    <s v="White"/>
    <d v="2011-05-16T00:00:00"/>
    <d v="2016-06-08T00:00:00"/>
    <s v="unhappy"/>
    <s v="Voluntarily Terminated"/>
    <x v="0"/>
    <s v="Webster Butler"/>
    <n v="39"/>
    <s v="Indeed"/>
    <s v="Fully Meets"/>
    <n v="5"/>
    <n v="4"/>
    <n v="0"/>
    <s v="4/2/2016"/>
    <n v="0"/>
    <n v="14"/>
    <s v="Normal"/>
    <s v="low Outlier"/>
    <n v="48"/>
    <x v="0"/>
    <n v="5"/>
    <x v="0"/>
    <s v="46-55"/>
    <s v="Mid (40-70K)"/>
    <n v="0"/>
    <n v="2011"/>
    <n v="5"/>
    <s v="Q2"/>
    <s v="May"/>
    <s v="2011-05"/>
    <n v="2016"/>
    <s v="Production       "/>
    <n v="70.588235294117652"/>
    <n v="12"/>
    <s v="Medium"/>
  </r>
  <r>
    <s v="Del Bosque, Keyla"/>
    <n v="10155"/>
    <n v="0"/>
    <n v="0"/>
    <n v="0"/>
    <n v="1"/>
    <n v="4"/>
    <n v="3"/>
    <n v="0"/>
    <x v="66"/>
    <n v="0"/>
    <n v="24"/>
    <s v="Software Engineer"/>
    <s v="MA"/>
    <n v="2176"/>
    <d v="1979-07-05T00:00:00"/>
    <s v="F"/>
    <s v="Single"/>
    <s v="US Citizen"/>
    <s v="No"/>
    <s v="Black or African American"/>
    <d v="2012-01-09T00:00:00"/>
    <m/>
    <s v="N/A-StillEmployed"/>
    <s v="Active"/>
    <x v="2"/>
    <s v="Alex Sweetwater"/>
    <n v="10"/>
    <s v="CareerBuilder"/>
    <s v="Fully Meets"/>
    <n v="3.79"/>
    <n v="5"/>
    <n v="5"/>
    <s v="1/25/2019"/>
    <n v="0"/>
    <n v="8"/>
    <s v="Normal"/>
    <s v="low Outlier"/>
    <n v="46"/>
    <x v="0"/>
    <n v="14"/>
    <x v="0"/>
    <s v="46-55"/>
    <s v="Executive (100K+)"/>
    <n v="1"/>
    <n v="2012"/>
    <n v="1"/>
    <s v="Q1"/>
    <s v="Jan"/>
    <s v="2012-01"/>
    <s v="N/A"/>
    <s v="Production       "/>
    <n v="42.857142857142854"/>
    <n v="0"/>
    <s v="Low"/>
  </r>
  <r>
    <s v="Delarge, Alex"/>
    <n v="10306"/>
    <n v="0"/>
    <n v="0"/>
    <n v="1"/>
    <n v="1"/>
    <n v="6"/>
    <n v="1"/>
    <n v="0"/>
    <x v="67"/>
    <n v="0"/>
    <n v="3"/>
    <s v="Area Sales Manager"/>
    <s v="AL"/>
    <n v="36006"/>
    <d v="1975-11-02T00:00:00"/>
    <s v="M "/>
    <s v="Single"/>
    <s v="US Citizen"/>
    <s v="No"/>
    <s v="Two or more races"/>
    <d v="2014-09-29T00:00:00"/>
    <m/>
    <s v="N/A-StillEmployed"/>
    <s v="Active"/>
    <x v="4"/>
    <s v="John Smith"/>
    <n v="17"/>
    <s v="Indeed"/>
    <s v="PIP"/>
    <n v="1.93"/>
    <n v="3"/>
    <n v="0"/>
    <s v="1/30/2019"/>
    <n v="6"/>
    <n v="5"/>
    <s v="Normal"/>
    <s v="low Outlier"/>
    <n v="50"/>
    <x v="3"/>
    <n v="11"/>
    <x v="0"/>
    <s v="46-55"/>
    <s v="Mid (40-70K)"/>
    <n v="1"/>
    <n v="2014"/>
    <n v="9"/>
    <s v="Q3"/>
    <s v="Sep"/>
    <s v="2014-09"/>
    <s v="N/A"/>
    <s v="Production       "/>
    <n v="16.666666666666664"/>
    <n v="0"/>
    <s v="Medium"/>
  </r>
  <r>
    <s v="Demita, Carla"/>
    <n v="10100"/>
    <n v="0"/>
    <n v="3"/>
    <n v="0"/>
    <n v="5"/>
    <n v="5"/>
    <n v="3"/>
    <n v="0"/>
    <x v="68"/>
    <n v="1"/>
    <n v="20"/>
    <s v="Production Technician II"/>
    <s v="MA"/>
    <n v="2343"/>
    <d v="1951-02-25T00:00:00"/>
    <s v="F"/>
    <s v="Separated"/>
    <s v="US Citizen"/>
    <s v="No"/>
    <s v="Black or African American"/>
    <d v="2011-04-04T00:00:00"/>
    <d v="2015-11-04T00:00:00"/>
    <s v="more money"/>
    <s v="Voluntarily Terminated"/>
    <x v="0"/>
    <s v="Kelley Spirea"/>
    <n v="18"/>
    <s v="Google Search"/>
    <s v="Fully Meets"/>
    <n v="4.62"/>
    <n v="5"/>
    <n v="0"/>
    <s v="5/6/2015"/>
    <n v="0"/>
    <n v="1"/>
    <s v="Normal"/>
    <s v="low Outlier"/>
    <n v="75"/>
    <x v="0"/>
    <n v="4"/>
    <x v="0"/>
    <s v="55+"/>
    <s v="Mid (40-70K)"/>
    <n v="0"/>
    <n v="2011"/>
    <n v="4"/>
    <s v="Q2"/>
    <s v="Apr"/>
    <s v="2011-04"/>
    <n v="2015"/>
    <s v="Production       "/>
    <n v="29.411764705882355"/>
    <n v="11"/>
    <s v="Low"/>
  </r>
  <r>
    <s v="Desimone, Carl "/>
    <n v="10310"/>
    <n v="1"/>
    <n v="1"/>
    <n v="1"/>
    <n v="1"/>
    <n v="5"/>
    <n v="1"/>
    <n v="0"/>
    <x v="69"/>
    <n v="0"/>
    <n v="19"/>
    <s v="Production Technician I"/>
    <s v="MA"/>
    <n v="2061"/>
    <d v="1967-04-19T00:00:00"/>
    <s v="M "/>
    <s v="Married"/>
    <s v="US Citizen"/>
    <s v="No"/>
    <s v="White"/>
    <d v="2014-07-07T00:00:00"/>
    <m/>
    <s v="N/A-StillEmployed"/>
    <s v="Active"/>
    <x v="0"/>
    <s v="Amy Dunn"/>
    <n v="11"/>
    <s v="Indeed"/>
    <s v="PIP"/>
    <n v="1.1200000000000001"/>
    <n v="2"/>
    <n v="0"/>
    <s v="1/31/2019"/>
    <n v="4"/>
    <n v="9"/>
    <s v="Normal"/>
    <s v="low Outlier"/>
    <n v="58"/>
    <x v="3"/>
    <n v="11"/>
    <x v="0"/>
    <s v="55+"/>
    <s v="Mid (40-70K)"/>
    <n v="1"/>
    <n v="2014"/>
    <n v="7"/>
    <s v="Q3"/>
    <s v="Jul"/>
    <s v="2014-07"/>
    <s v="N/A"/>
    <s v="Production       "/>
    <n v="70.588235294117652"/>
    <n v="0"/>
    <s v="Medium"/>
  </r>
  <r>
    <s v="DeVito, Tommy"/>
    <n v="10197"/>
    <n v="0"/>
    <n v="0"/>
    <n v="1"/>
    <n v="1"/>
    <n v="3"/>
    <n v="3"/>
    <n v="0"/>
    <x v="70"/>
    <n v="0"/>
    <n v="4"/>
    <s v="BI Developer"/>
    <s v="MA"/>
    <n v="2045"/>
    <d v="1983-09-04T00:00:00"/>
    <s v="M "/>
    <s v="Single"/>
    <s v="US Citizen"/>
    <s v="No"/>
    <s v="White"/>
    <d v="2017-02-15T00:00:00"/>
    <m/>
    <s v="N/A-StillEmployed"/>
    <s v="Active"/>
    <x v="1"/>
    <s v="Brian Champaigne"/>
    <n v="13"/>
    <s v="Indeed"/>
    <s v="Fully Meets"/>
    <n v="3.01"/>
    <n v="5"/>
    <n v="7"/>
    <s v="1/23/2019"/>
    <n v="0"/>
    <n v="15"/>
    <s v="Normal"/>
    <s v="low Outlier"/>
    <n v="42"/>
    <x v="8"/>
    <n v="9"/>
    <x v="1"/>
    <s v="36-45"/>
    <s v="Senior (70-100K)"/>
    <n v="1"/>
    <n v="2017"/>
    <n v="2"/>
    <s v="Q1"/>
    <s v="Feb"/>
    <s v="2017-02"/>
    <s v="N/A"/>
    <s v="Production       "/>
    <n v="0"/>
    <n v="0"/>
    <s v="Low"/>
  </r>
  <r>
    <s v="Dickinson, Geoff "/>
    <n v="10276"/>
    <n v="0"/>
    <n v="0"/>
    <n v="1"/>
    <n v="1"/>
    <n v="5"/>
    <n v="3"/>
    <n v="0"/>
    <x v="71"/>
    <n v="0"/>
    <n v="19"/>
    <s v="Production Technician I"/>
    <s v="MA"/>
    <n v="2180"/>
    <d v="1982-11-15T00:00:00"/>
    <s v="M "/>
    <s v="Single"/>
    <s v="US Citizen"/>
    <s v="No"/>
    <s v="White"/>
    <d v="2014-05-12T00:00:00"/>
    <m/>
    <s v="N/A-StillEmployed"/>
    <s v="Active"/>
    <x v="0"/>
    <s v="Ketsia Liebig"/>
    <n v="19"/>
    <s v="Indeed"/>
    <s v="Fully Meets"/>
    <n v="4.3"/>
    <n v="4"/>
    <n v="0"/>
    <s v="2/19/2019"/>
    <n v="0"/>
    <n v="1"/>
    <s v="Normal"/>
    <s v="low Outlier"/>
    <n v="43"/>
    <x v="3"/>
    <n v="11"/>
    <x v="0"/>
    <s v="36-45"/>
    <s v="Mid (40-70K)"/>
    <n v="1"/>
    <n v="2014"/>
    <n v="5"/>
    <s v="Q2"/>
    <s v="May"/>
    <s v="2014-05"/>
    <s v="N/A"/>
    <s v="Production       "/>
    <n v="29.411764705882355"/>
    <n v="0"/>
    <s v="Low"/>
  </r>
  <r>
    <s v="Dietrich, Jenna  "/>
    <n v="10304"/>
    <n v="0"/>
    <n v="0"/>
    <n v="0"/>
    <n v="1"/>
    <n v="6"/>
    <n v="1"/>
    <n v="0"/>
    <x v="72"/>
    <n v="0"/>
    <n v="3"/>
    <s v="Area Sales Manager"/>
    <s v="WA"/>
    <n v="98052"/>
    <d v="1987-05-14T00:00:00"/>
    <s v="F"/>
    <s v="Single"/>
    <s v="US Citizen"/>
    <s v="Yes"/>
    <s v="White"/>
    <d v="2012-02-20T00:00:00"/>
    <m/>
    <s v="N/A-StillEmployed"/>
    <s v="Active"/>
    <x v="4"/>
    <s v="John Smith"/>
    <n v="17"/>
    <s v="Website"/>
    <s v="PIP"/>
    <n v="2.2999999999999998"/>
    <n v="1"/>
    <n v="0"/>
    <s v="1/29/2019"/>
    <n v="2"/>
    <n v="17"/>
    <s v="Normal"/>
    <s v="low Outlier"/>
    <n v="38"/>
    <x v="0"/>
    <n v="14"/>
    <x v="0"/>
    <s v="36-45"/>
    <s v="Mid (40-70K)"/>
    <n v="1"/>
    <n v="2012"/>
    <n v="2"/>
    <s v="Q1"/>
    <s v="Feb"/>
    <s v="2012-02"/>
    <s v="N/A"/>
    <s v="Production       "/>
    <n v="18.181818181818183"/>
    <n v="0"/>
    <s v="High"/>
  </r>
  <r>
    <s v="DiNocco, Lily "/>
    <n v="10284"/>
    <n v="1"/>
    <n v="1"/>
    <n v="0"/>
    <n v="1"/>
    <n v="5"/>
    <n v="2"/>
    <n v="0"/>
    <x v="73"/>
    <n v="0"/>
    <n v="19"/>
    <s v="Production Technician I"/>
    <s v="MA"/>
    <n v="2351"/>
    <d v="1978-12-02T00:00:00"/>
    <s v="F"/>
    <s v="Married"/>
    <s v="US Citizen"/>
    <s v="No"/>
    <s v="Black or African American"/>
    <d v="2013-01-07T00:00:00"/>
    <m/>
    <s v="N/A-StillEmployed"/>
    <s v="Active"/>
    <x v="0"/>
    <s v="Brannon Miller"/>
    <n v="12"/>
    <s v="Indeed"/>
    <s v="Needs Improvement"/>
    <n v="3.88"/>
    <n v="4"/>
    <n v="0"/>
    <s v="1/18/2019"/>
    <n v="0"/>
    <n v="6"/>
    <s v="Normal"/>
    <s v="low Outlier"/>
    <n v="47"/>
    <x v="7"/>
    <n v="13"/>
    <x v="0"/>
    <s v="46-55"/>
    <s v="Mid (40-70K)"/>
    <n v="1"/>
    <n v="2013"/>
    <n v="1"/>
    <s v="Q1"/>
    <s v="Jan"/>
    <s v="2013-01"/>
    <s v="N/A"/>
    <s v="Production       "/>
    <n v="29.411764705882355"/>
    <n v="0"/>
    <s v="Low"/>
  </r>
  <r>
    <s v="Dobrin, Denisa  S"/>
    <n v="10207"/>
    <n v="0"/>
    <n v="0"/>
    <n v="0"/>
    <n v="1"/>
    <n v="5"/>
    <n v="3"/>
    <n v="0"/>
    <x v="74"/>
    <n v="0"/>
    <n v="19"/>
    <s v="Production Technician I"/>
    <s v="MA"/>
    <n v="2125"/>
    <d v="1986-10-07T00:00:00"/>
    <s v="F"/>
    <s v="Single"/>
    <s v="US Citizen"/>
    <s v="Yes"/>
    <s v="White"/>
    <d v="2012-04-02T00:00:00"/>
    <m/>
    <s v="N/A-StillEmployed"/>
    <s v="Active"/>
    <x v="0"/>
    <s v="David Stanley"/>
    <n v="14"/>
    <s v="CareerBuilder"/>
    <s v="Fully Meets"/>
    <n v="3.4"/>
    <n v="5"/>
    <n v="0"/>
    <s v="2/19/2019"/>
    <n v="0"/>
    <n v="15"/>
    <s v="Normal"/>
    <s v="low Outlier"/>
    <n v="39"/>
    <x v="7"/>
    <n v="13"/>
    <x v="0"/>
    <s v="36-45"/>
    <s v="Mid (40-70K)"/>
    <n v="1"/>
    <n v="2012"/>
    <n v="4"/>
    <s v="Q2"/>
    <s v="Apr"/>
    <s v="2012-04"/>
    <s v="N/A"/>
    <s v="Production       "/>
    <n v="17.647058823529413"/>
    <n v="0"/>
    <s v="Medium"/>
  </r>
  <r>
    <s v="Dolan, Linda"/>
    <n v="10133"/>
    <n v="1"/>
    <n v="1"/>
    <n v="0"/>
    <n v="1"/>
    <n v="3"/>
    <n v="3"/>
    <n v="0"/>
    <x v="75"/>
    <n v="0"/>
    <n v="14"/>
    <s v="IT Support"/>
    <s v="MA"/>
    <n v="2119"/>
    <d v="1988-07-18T00:00:00"/>
    <s v="F"/>
    <s v="Married"/>
    <s v="US Citizen"/>
    <s v="No"/>
    <s v="White"/>
    <d v="2015-01-05T00:00:00"/>
    <m/>
    <s v="N/A-StillEmployed"/>
    <s v="Active"/>
    <x v="1"/>
    <s v="Peter Monroe"/>
    <n v="7"/>
    <s v="Employee Referral"/>
    <s v="Fully Meets"/>
    <n v="4.1100000000000003"/>
    <n v="4"/>
    <n v="6"/>
    <s v="2/25/2019"/>
    <n v="0"/>
    <n v="16"/>
    <s v="Normal"/>
    <s v="low Outlier"/>
    <n v="37"/>
    <x v="3"/>
    <n v="11"/>
    <x v="0"/>
    <s v="36-45"/>
    <s v="Senior (70-100K)"/>
    <n v="1"/>
    <n v="2015"/>
    <n v="1"/>
    <s v="Q1"/>
    <s v="Jan"/>
    <s v="2015-01"/>
    <s v="N/A"/>
    <s v="Production       "/>
    <n v="9.0909090909090917"/>
    <n v="0"/>
    <s v="Low"/>
  </r>
  <r>
    <s v="Dougall, Eric"/>
    <n v="10028"/>
    <n v="0"/>
    <n v="0"/>
    <n v="1"/>
    <n v="1"/>
    <n v="3"/>
    <n v="4"/>
    <n v="0"/>
    <x v="76"/>
    <n v="0"/>
    <n v="13"/>
    <s v="IT Manager - Support"/>
    <s v="MA"/>
    <n v="1886"/>
    <d v="1970-07-09T00:00:00"/>
    <s v="M "/>
    <s v="Single"/>
    <s v="US Citizen"/>
    <s v="No"/>
    <s v="Black or African American"/>
    <d v="2014-01-05T00:00:00"/>
    <m/>
    <s v="N/A-StillEmployed"/>
    <s v="Active"/>
    <x v="1"/>
    <s v="Jennifer Zamora"/>
    <n v="5"/>
    <s v="Indeed"/>
    <s v="Exceeds"/>
    <n v="4.3"/>
    <n v="5"/>
    <n v="5"/>
    <s v="1/4/2019"/>
    <n v="0"/>
    <n v="4"/>
    <s v=" high Outlier"/>
    <s v="low Outlier"/>
    <n v="55"/>
    <x v="4"/>
    <n v="12"/>
    <x v="0"/>
    <s v="46-55"/>
    <s v="Executive (100K+)"/>
    <n v="1"/>
    <n v="2014"/>
    <n v="1"/>
    <s v="Q1"/>
    <s v="Jan"/>
    <s v="2014-01"/>
    <s v="N/A"/>
    <s v="Production       "/>
    <n v="20"/>
    <n v="0"/>
    <s v="Low"/>
  </r>
  <r>
    <s v="Driver, Elle"/>
    <n v="10006"/>
    <n v="0"/>
    <n v="0"/>
    <n v="0"/>
    <n v="1"/>
    <n v="6"/>
    <n v="4"/>
    <n v="0"/>
    <x v="77"/>
    <n v="0"/>
    <n v="3"/>
    <s v="Area Sales Manager"/>
    <s v="CA"/>
    <n v="90007"/>
    <d v="1988-11-08T00:00:00"/>
    <s v="F"/>
    <s v="Single"/>
    <s v="US Citizen"/>
    <s v="No"/>
    <s v="White"/>
    <d v="2011-01-10T00:00:00"/>
    <m/>
    <s v="N/A-StillEmployed"/>
    <s v="Active"/>
    <x v="4"/>
    <s v="Lynn Daneault"/>
    <n v="21"/>
    <s v="Indeed"/>
    <s v="Exceeds"/>
    <n v="4.7699999999999996"/>
    <n v="5"/>
    <n v="0"/>
    <s v="1/27/2019"/>
    <n v="0"/>
    <n v="14"/>
    <s v="Normal"/>
    <s v="low Outlier"/>
    <n v="37"/>
    <x v="6"/>
    <n v="15"/>
    <x v="0"/>
    <s v="36-45"/>
    <s v="Senior (70-100K)"/>
    <n v="1"/>
    <n v="2011"/>
    <n v="1"/>
    <s v="Q1"/>
    <s v="Jan"/>
    <s v="2011-01"/>
    <s v="N/A"/>
    <s v="Production       "/>
    <n v="8.3333333333333321"/>
    <n v="0"/>
    <s v="Medium"/>
  </r>
  <r>
    <s v="Dunn, Amy  "/>
    <n v="10105"/>
    <n v="0"/>
    <n v="0"/>
    <n v="0"/>
    <n v="1"/>
    <n v="5"/>
    <n v="3"/>
    <n v="0"/>
    <x v="78"/>
    <n v="0"/>
    <n v="18"/>
    <s v="Production Manager"/>
    <s v="MA"/>
    <n v="1731"/>
    <d v="1973-11-28T00:00:00"/>
    <s v="F"/>
    <s v="Single"/>
    <s v="US Citizen"/>
    <s v="No"/>
    <s v="White"/>
    <d v="2014-09-18T00:00:00"/>
    <m/>
    <s v="N/A-StillEmployed"/>
    <s v="Active"/>
    <x v="0"/>
    <s v="Janet King"/>
    <n v="2"/>
    <s v="Google Search"/>
    <s v="Fully Meets"/>
    <n v="4.5199999999999996"/>
    <n v="4"/>
    <n v="0"/>
    <s v="1/15/2019"/>
    <n v="0"/>
    <n v="4"/>
    <s v="Normal"/>
    <s v="low Outlier"/>
    <n v="52"/>
    <x v="3"/>
    <n v="11"/>
    <x v="0"/>
    <s v="46-55"/>
    <s v="Senior (70-100K)"/>
    <n v="1"/>
    <n v="2014"/>
    <n v="9"/>
    <s v="Q3"/>
    <s v="Sep"/>
    <s v="2014-09"/>
    <s v="N/A"/>
    <s v="Production       "/>
    <n v="33.333333333333329"/>
    <n v="0"/>
    <s v="Low"/>
  </r>
  <r>
    <s v="Dunne, Amy"/>
    <n v="10211"/>
    <n v="1"/>
    <n v="1"/>
    <n v="0"/>
    <n v="1"/>
    <n v="5"/>
    <n v="3"/>
    <n v="0"/>
    <x v="79"/>
    <n v="0"/>
    <n v="19"/>
    <s v="Production Technician I"/>
    <s v="MA"/>
    <n v="1749"/>
    <d v="1973-09-23T00:00:00"/>
    <s v="F"/>
    <s v="Married"/>
    <s v="US Citizen"/>
    <s v="No"/>
    <s v="White"/>
    <d v="2010-04-26T00:00:00"/>
    <m/>
    <s v="N/A-StillEmployed"/>
    <s v="Active"/>
    <x v="0"/>
    <s v="Ketsia Liebig"/>
    <n v="19"/>
    <s v="Google Search"/>
    <s v="Fully Meets"/>
    <n v="2.9"/>
    <n v="3"/>
    <n v="0"/>
    <s v="1/21/2019"/>
    <n v="0"/>
    <n v="6"/>
    <s v="Normal"/>
    <s v="low Outlier"/>
    <n v="52"/>
    <x v="6"/>
    <n v="15"/>
    <x v="0"/>
    <s v="46-55"/>
    <s v="Mid (40-70K)"/>
    <n v="1"/>
    <n v="2010"/>
    <n v="4"/>
    <s v="Q2"/>
    <s v="Apr"/>
    <s v="2010-04"/>
    <s v="N/A"/>
    <s v="Production       "/>
    <n v="31.25"/>
    <n v="0"/>
    <s v="Medium"/>
  </r>
  <r>
    <s v="Eaton, Marianne"/>
    <n v="10064"/>
    <n v="1"/>
    <n v="1"/>
    <n v="0"/>
    <n v="5"/>
    <n v="5"/>
    <n v="3"/>
    <n v="0"/>
    <x v="80"/>
    <n v="1"/>
    <n v="19"/>
    <s v="Production Technician I"/>
    <s v="MA"/>
    <n v="2343"/>
    <d v="1991-09-05T00:00:00"/>
    <s v="F"/>
    <s v="Married"/>
    <s v="US Citizen"/>
    <s v="No"/>
    <s v="White"/>
    <d v="2011-04-04T00:00:00"/>
    <d v="2017-06-06T00:00:00"/>
    <s v="military"/>
    <s v="Voluntarily Terminated"/>
    <x v="0"/>
    <s v="Kissy Sullivan"/>
    <n v="20"/>
    <s v="Google Search"/>
    <s v="Fully Meets"/>
    <n v="5"/>
    <n v="3"/>
    <n v="0"/>
    <s v="4/9/2017"/>
    <n v="0"/>
    <n v="7"/>
    <s v="Normal"/>
    <s v="low Outlier"/>
    <n v="34"/>
    <x v="0"/>
    <n v="6"/>
    <x v="0"/>
    <s v="26-35"/>
    <s v="Mid (40-70K)"/>
    <n v="0"/>
    <n v="2011"/>
    <n v="4"/>
    <s v="Q2"/>
    <s v="Apr"/>
    <s v="2011-04"/>
    <n v="2017"/>
    <s v="Production       "/>
    <n v="52.941176470588239"/>
    <n v="4"/>
    <s v="Low"/>
  </r>
  <r>
    <s v="Engdahl, Jean"/>
    <n v="10247"/>
    <n v="0"/>
    <n v="0"/>
    <n v="1"/>
    <n v="1"/>
    <n v="5"/>
    <n v="3"/>
    <n v="0"/>
    <x v="81"/>
    <n v="0"/>
    <n v="19"/>
    <s v="Production Technician I"/>
    <s v="MA"/>
    <n v="2026"/>
    <d v="1974-05-31T00:00:00"/>
    <s v="M "/>
    <s v="Single"/>
    <s v="US Citizen"/>
    <s v="No"/>
    <s v="White"/>
    <d v="2014-11-10T00:00:00"/>
    <m/>
    <s v="N/A-StillEmployed"/>
    <s v="Active"/>
    <x v="0"/>
    <s v="Kelley Spirea"/>
    <n v="18"/>
    <s v="LinkedIn"/>
    <s v="Fully Meets"/>
    <n v="4.7"/>
    <n v="5"/>
    <n v="0"/>
    <s v="2/13/2019"/>
    <n v="0"/>
    <n v="8"/>
    <s v="Normal"/>
    <s v="low Outlier"/>
    <n v="51"/>
    <x v="3"/>
    <n v="11"/>
    <x v="0"/>
    <s v="46-55"/>
    <s v="Mid (40-70K)"/>
    <n v="1"/>
    <n v="2014"/>
    <n v="11"/>
    <s v="Q4"/>
    <s v="Nov"/>
    <s v="2014-11"/>
    <s v="N/A"/>
    <s v="Production       "/>
    <n v="25"/>
    <n v="0"/>
    <s v="Low"/>
  </r>
  <r>
    <s v="England, Rex"/>
    <n v="10235"/>
    <n v="1"/>
    <n v="1"/>
    <n v="1"/>
    <n v="1"/>
    <n v="5"/>
    <n v="3"/>
    <n v="0"/>
    <x v="82"/>
    <n v="0"/>
    <n v="19"/>
    <s v="Production Technician I"/>
    <s v="MA"/>
    <n v="2045"/>
    <d v="1978-08-25T00:00:00"/>
    <s v="M "/>
    <s v="Married"/>
    <s v="US Citizen"/>
    <s v="No"/>
    <s v="White"/>
    <d v="2014-03-31T00:00:00"/>
    <m/>
    <s v="N/A-StillEmployed"/>
    <s v="Active"/>
    <x v="0"/>
    <s v="Kelley Spirea"/>
    <n v="18"/>
    <s v="Employee Referral"/>
    <s v="Fully Meets"/>
    <n v="4.2"/>
    <n v="3"/>
    <n v="0"/>
    <s v="1/11/2019"/>
    <n v="0"/>
    <n v="3"/>
    <s v="Normal"/>
    <s v="low Outlier"/>
    <n v="47"/>
    <x v="3"/>
    <n v="11"/>
    <x v="0"/>
    <s v="46-55"/>
    <s v="Mid (40-70K)"/>
    <n v="1"/>
    <n v="2014"/>
    <n v="3"/>
    <s v="Q1"/>
    <s v="Mar"/>
    <s v="2014-03"/>
    <s v="N/A"/>
    <s v="Production       "/>
    <n v="26.666666666666668"/>
    <n v="0"/>
    <s v="Low"/>
  </r>
  <r>
    <s v="Erilus, Angela"/>
    <n v="10299"/>
    <n v="0"/>
    <n v="3"/>
    <n v="0"/>
    <n v="1"/>
    <n v="5"/>
    <n v="1"/>
    <n v="0"/>
    <x v="83"/>
    <n v="0"/>
    <n v="20"/>
    <s v="Production Technician II"/>
    <s v="MA"/>
    <n v="2133"/>
    <d v="1989-08-25T00:00:00"/>
    <s v="F"/>
    <s v="Separated"/>
    <s v="US Citizen"/>
    <s v="No"/>
    <s v="White"/>
    <d v="2014-07-07T00:00:00"/>
    <m/>
    <s v="N/A-StillEmployed"/>
    <s v="Active"/>
    <x v="0"/>
    <s v="Michael Albert"/>
    <n v="22"/>
    <s v="Indeed"/>
    <s v="PIP"/>
    <n v="3"/>
    <n v="1"/>
    <n v="0"/>
    <s v="2/25/2019"/>
    <n v="2"/>
    <n v="5"/>
    <s v="Normal"/>
    <s v="low Outlier"/>
    <n v="36"/>
    <x v="3"/>
    <n v="11"/>
    <x v="0"/>
    <s v="36-45"/>
    <s v="Mid (40-70K)"/>
    <n v="1"/>
    <n v="2014"/>
    <n v="7"/>
    <s v="Q3"/>
    <s v="Jul"/>
    <s v="2014-07"/>
    <s v="N/A"/>
    <s v="Production       "/>
    <n v="47.058823529411761"/>
    <n v="0"/>
    <s v="Medium"/>
  </r>
  <r>
    <s v="Estremera, Miguel"/>
    <n v="10280"/>
    <n v="0"/>
    <n v="0"/>
    <n v="1"/>
    <n v="4"/>
    <n v="5"/>
    <n v="2"/>
    <n v="0"/>
    <x v="84"/>
    <n v="1"/>
    <n v="19"/>
    <s v="Production Technician I"/>
    <s v="MA"/>
    <n v="2129"/>
    <d v="1983-09-02T00:00:00"/>
    <s v="M "/>
    <s v="Single"/>
    <s v="US Citizen"/>
    <s v="No"/>
    <s v="White"/>
    <d v="2012-04-02T00:00:00"/>
    <d v="2018-09-27T00:00:00"/>
    <s v="attendance"/>
    <s v="Terminated for Cause"/>
    <x v="0"/>
    <s v="Michael Albert"/>
    <n v="22"/>
    <s v="Google Search"/>
    <s v="Needs Improvement"/>
    <n v="5"/>
    <n v="4"/>
    <n v="0"/>
    <s v="4/12/2018"/>
    <n v="5"/>
    <n v="16"/>
    <s v="Normal"/>
    <s v="low Outlier"/>
    <n v="42"/>
    <x v="7"/>
    <n v="6"/>
    <x v="0"/>
    <s v="36-45"/>
    <s v="Mid (40-70K)"/>
    <n v="0"/>
    <n v="2012"/>
    <n v="4"/>
    <s v="Q2"/>
    <s v="Apr"/>
    <s v="2012-04"/>
    <n v="2018"/>
    <s v="Production       "/>
    <n v="50"/>
    <n v="6"/>
    <s v="Medium"/>
  </r>
  <r>
    <s v="Evensen, April"/>
    <n v="10296"/>
    <n v="0"/>
    <n v="0"/>
    <n v="0"/>
    <n v="4"/>
    <n v="5"/>
    <n v="2"/>
    <n v="0"/>
    <x v="85"/>
    <n v="1"/>
    <n v="19"/>
    <s v="Production Technician I"/>
    <s v="MA"/>
    <n v="2458"/>
    <d v="1989-05-06T00:00:00"/>
    <s v="F"/>
    <s v="Single"/>
    <s v="US Citizen"/>
    <s v="No"/>
    <s v="White"/>
    <d v="2014-02-17T00:00:00"/>
    <d v="2018-02-25T00:00:00"/>
    <s v="no-call, no-show"/>
    <s v="Terminated for Cause"/>
    <x v="0"/>
    <s v="Elijiah Gray"/>
    <n v="16"/>
    <s v="Google Search"/>
    <s v="Needs Improvement"/>
    <n v="2.2999999999999998"/>
    <n v="3"/>
    <n v="0"/>
    <s v="1/15/2017"/>
    <n v="5"/>
    <n v="19"/>
    <s v="Normal"/>
    <s v="low Outlier"/>
    <n v="36"/>
    <x v="4"/>
    <n v="4"/>
    <x v="0"/>
    <s v="36-45"/>
    <s v="Mid (40-70K)"/>
    <n v="0"/>
    <n v="2014"/>
    <n v="2"/>
    <s v="Q1"/>
    <s v="Feb"/>
    <s v="2014-02"/>
    <n v="2018"/>
    <s v="Production       "/>
    <n v="41.17647058823529"/>
    <n v="4"/>
    <s v="Medium"/>
  </r>
  <r>
    <s v="Exantus, Susan"/>
    <n v="10290"/>
    <n v="1"/>
    <n v="1"/>
    <n v="0"/>
    <n v="4"/>
    <n v="4"/>
    <n v="2"/>
    <n v="0"/>
    <x v="86"/>
    <n v="1"/>
    <n v="24"/>
    <s v="Software Engineer"/>
    <s v="MA"/>
    <n v="1749"/>
    <d v="1987-05-15T00:00:00"/>
    <s v="F"/>
    <s v="Married"/>
    <s v="US Citizen"/>
    <s v="No"/>
    <s v="Black or African American"/>
    <d v="2011-05-02T00:00:00"/>
    <d v="2013-06-05T00:00:00"/>
    <s v="attendance"/>
    <s v="Terminated for Cause"/>
    <x v="2"/>
    <s v="Alex Sweetwater"/>
    <n v="10"/>
    <s v="Indeed"/>
    <s v="Needs Improvement"/>
    <n v="2.1"/>
    <n v="5"/>
    <n v="4"/>
    <s v="8/10/2012"/>
    <n v="4"/>
    <n v="19"/>
    <s v="Normal"/>
    <s v="low Outlier"/>
    <n v="38"/>
    <x v="0"/>
    <n v="2"/>
    <x v="0"/>
    <s v="36-45"/>
    <s v="Senior (70-100K)"/>
    <n v="0"/>
    <n v="2011"/>
    <n v="5"/>
    <s v="Q2"/>
    <s v="May"/>
    <s v="2011-05"/>
    <n v="2013"/>
    <s v="Production       "/>
    <n v="50"/>
    <n v="5"/>
    <s v="Medium"/>
  </r>
  <r>
    <s v="Faller, Megan "/>
    <n v="10263"/>
    <n v="1"/>
    <n v="1"/>
    <n v="0"/>
    <n v="1"/>
    <n v="5"/>
    <n v="3"/>
    <n v="0"/>
    <x v="87"/>
    <n v="0"/>
    <n v="20"/>
    <s v="Production Technician II"/>
    <s v="MA"/>
    <n v="1824"/>
    <d v="1978-09-22T00:00:00"/>
    <s v="F"/>
    <s v="Married"/>
    <s v="US Citizen"/>
    <s v="No"/>
    <s v="Black or African American"/>
    <d v="2014-07-07T00:00:00"/>
    <m/>
    <s v="N/A-StillEmployed"/>
    <s v="Active"/>
    <x v="0"/>
    <s v="Elijiah Gray"/>
    <n v="16"/>
    <s v="LinkedIn"/>
    <s v="Fully Meets"/>
    <n v="4.4000000000000004"/>
    <n v="5"/>
    <n v="0"/>
    <s v="2/22/2019"/>
    <n v="0"/>
    <n v="17"/>
    <s v="Normal"/>
    <s v="low Outlier"/>
    <n v="47"/>
    <x v="3"/>
    <n v="11"/>
    <x v="0"/>
    <s v="46-55"/>
    <s v="Senior (70-100K)"/>
    <n v="1"/>
    <n v="2014"/>
    <n v="7"/>
    <s v="Q3"/>
    <s v="Jul"/>
    <s v="2014-07"/>
    <s v="N/A"/>
    <s v="Production       "/>
    <n v="37.5"/>
    <n v="0"/>
    <s v="Medium"/>
  </r>
  <r>
    <s v="Fancett, Nicole"/>
    <n v="10136"/>
    <n v="0"/>
    <n v="0"/>
    <n v="0"/>
    <n v="1"/>
    <n v="5"/>
    <n v="3"/>
    <n v="0"/>
    <x v="88"/>
    <n v="0"/>
    <n v="20"/>
    <s v="Production Technician II"/>
    <s v="MA"/>
    <n v="2324"/>
    <d v="1987-09-27T00:00:00"/>
    <s v="F"/>
    <s v="Single"/>
    <s v="US Citizen"/>
    <s v="No"/>
    <s v="Black or African American"/>
    <d v="2014-02-17T00:00:00"/>
    <m/>
    <s v="N/A-StillEmployed"/>
    <s v="Active"/>
    <x v="0"/>
    <s v="Webster Butler"/>
    <m/>
    <s v="LinkedIn"/>
    <s v="Fully Meets"/>
    <n v="4"/>
    <n v="4"/>
    <n v="0"/>
    <s v="1/7/2019"/>
    <n v="0"/>
    <n v="7"/>
    <s v="Normal"/>
    <s v="low Outlier"/>
    <n v="38"/>
    <x v="4"/>
    <n v="12"/>
    <x v="0"/>
    <s v="36-45"/>
    <s v="Mid (40-70K)"/>
    <n v="1"/>
    <n v="2014"/>
    <n v="2"/>
    <s v="Q1"/>
    <s v="Feb"/>
    <s v="2014-02"/>
    <s v="N/A"/>
    <s v="Production       "/>
    <n v="68.75"/>
    <n v="0"/>
    <s v="Low"/>
  </r>
  <r>
    <s v="Ferguson, Susan"/>
    <n v="10189"/>
    <n v="1"/>
    <n v="1"/>
    <n v="0"/>
    <n v="5"/>
    <n v="5"/>
    <n v="3"/>
    <n v="0"/>
    <x v="89"/>
    <n v="1"/>
    <n v="19"/>
    <s v="Production Technician I"/>
    <s v="MA"/>
    <n v="2176"/>
    <d v="1955-04-14T00:00:00"/>
    <s v="F"/>
    <s v="Married"/>
    <s v="US Citizen"/>
    <s v="No"/>
    <s v="White"/>
    <d v="2011-11-07T00:00:00"/>
    <d v="2016-05-17T00:00:00"/>
    <s v="military"/>
    <s v="Voluntarily Terminated"/>
    <x v="0"/>
    <s v="Webster Butler"/>
    <n v="39"/>
    <s v="Google Search"/>
    <s v="Fully Meets"/>
    <n v="3.13"/>
    <n v="3"/>
    <n v="0"/>
    <s v="2/4/2016"/>
    <n v="0"/>
    <n v="16"/>
    <s v="Normal"/>
    <s v="low Outlier"/>
    <n v="70"/>
    <x v="0"/>
    <n v="4"/>
    <x v="0"/>
    <s v="55+"/>
    <s v="Mid (40-70K)"/>
    <n v="0"/>
    <n v="2011"/>
    <n v="11"/>
    <s v="Q4"/>
    <s v="Nov"/>
    <s v="2011-11"/>
    <n v="2016"/>
    <s v="Production       "/>
    <n v="73.333333333333329"/>
    <n v="3"/>
    <s v="Medium"/>
  </r>
  <r>
    <s v="Fernandes, Nilson  "/>
    <n v="10308"/>
    <n v="1"/>
    <n v="1"/>
    <n v="1"/>
    <n v="1"/>
    <n v="5"/>
    <n v="1"/>
    <n v="0"/>
    <x v="90"/>
    <n v="0"/>
    <n v="19"/>
    <s v="Production Technician I"/>
    <s v="MA"/>
    <n v="2132"/>
    <d v="1989-10-18T00:00:00"/>
    <s v="M "/>
    <s v="Married"/>
    <s v="US Citizen"/>
    <s v="No"/>
    <s v="White"/>
    <d v="2015-05-11T00:00:00"/>
    <m/>
    <s v="N/A-StillEmployed"/>
    <s v="Active"/>
    <x v="0"/>
    <s v="Amy Dunn"/>
    <n v="11"/>
    <s v="Indeed"/>
    <s v="PIP"/>
    <n v="1.56"/>
    <n v="5"/>
    <n v="0"/>
    <s v="1/3/2019"/>
    <n v="6"/>
    <n v="15"/>
    <s v="Normal"/>
    <s v="low Outlier"/>
    <n v="36"/>
    <x v="1"/>
    <n v="10"/>
    <x v="0"/>
    <s v="36-45"/>
    <s v="Mid (40-70K)"/>
    <n v="1"/>
    <n v="2015"/>
    <n v="5"/>
    <s v="Q2"/>
    <s v="May"/>
    <s v="2015-05"/>
    <s v="N/A"/>
    <s v="Production       "/>
    <n v="75"/>
    <n v="0"/>
    <s v="High"/>
  </r>
  <r>
    <s v="Fett, Boba"/>
    <n v="10309"/>
    <n v="0"/>
    <n v="0"/>
    <n v="1"/>
    <n v="1"/>
    <n v="3"/>
    <n v="1"/>
    <n v="0"/>
    <x v="91"/>
    <n v="0"/>
    <n v="15"/>
    <s v="Network Engineer"/>
    <s v="MA"/>
    <n v="2138"/>
    <d v="1987-06-18T00:00:00"/>
    <s v="M "/>
    <s v="Single"/>
    <s v="US Citizen"/>
    <s v="No"/>
    <s v="White"/>
    <d v="2015-03-30T00:00:00"/>
    <m/>
    <s v="N/A-StillEmployed"/>
    <s v="Active"/>
    <x v="1"/>
    <s v="Peter Monroe"/>
    <n v="7"/>
    <s v="LinkedIn"/>
    <s v="PIP"/>
    <n v="1.2"/>
    <n v="3"/>
    <n v="6"/>
    <s v="2/4/2019"/>
    <n v="3"/>
    <n v="2"/>
    <s v="Normal"/>
    <s v="low Outlier"/>
    <n v="38"/>
    <x v="1"/>
    <n v="10"/>
    <x v="0"/>
    <s v="36-45"/>
    <s v="Mid (40-70K)"/>
    <n v="1"/>
    <n v="2015"/>
    <n v="3"/>
    <s v="Q1"/>
    <s v="Mar"/>
    <s v="2015-03"/>
    <s v="N/A"/>
    <s v="Production       "/>
    <n v="10"/>
    <n v="0"/>
    <s v="Low"/>
  </r>
  <r>
    <s v="Fidelia,  Libby"/>
    <n v="10049"/>
    <n v="1"/>
    <n v="1"/>
    <n v="0"/>
    <n v="1"/>
    <n v="5"/>
    <n v="3"/>
    <n v="0"/>
    <x v="92"/>
    <n v="0"/>
    <n v="19"/>
    <s v="Production Technician I"/>
    <s v="MA"/>
    <n v="2155"/>
    <d v="1981-03-16T00:00:00"/>
    <s v="F"/>
    <s v="Married"/>
    <s v="US Citizen"/>
    <s v="No"/>
    <s v="White"/>
    <d v="2012-01-09T00:00:00"/>
    <m/>
    <s v="N/A-StillEmployed"/>
    <s v="Active"/>
    <x v="0"/>
    <s v="Brannon Miller"/>
    <n v="12"/>
    <s v="Google Search"/>
    <s v="Fully Meets"/>
    <n v="5"/>
    <n v="5"/>
    <n v="0"/>
    <s v="1/29/2019"/>
    <n v="0"/>
    <n v="19"/>
    <s v="Normal"/>
    <s v="low Outlier"/>
    <n v="44"/>
    <x v="0"/>
    <n v="14"/>
    <x v="0"/>
    <s v="36-45"/>
    <s v="Mid (40-70K)"/>
    <n v="1"/>
    <n v="2012"/>
    <n v="1"/>
    <s v="Q1"/>
    <s v="Jan"/>
    <s v="2012-01"/>
    <s v="N/A"/>
    <s v="Production       "/>
    <n v="31.25"/>
    <n v="0"/>
    <s v="Medium"/>
  </r>
  <r>
    <s v="Fitzpatrick, Michael  J"/>
    <n v="10093"/>
    <n v="0"/>
    <n v="0"/>
    <n v="1"/>
    <n v="5"/>
    <n v="5"/>
    <n v="3"/>
    <n v="0"/>
    <x v="93"/>
    <n v="1"/>
    <n v="20"/>
    <s v="Production Technician II"/>
    <s v="MA"/>
    <n v="2143"/>
    <d v="1981-10-01T00:00:00"/>
    <s v="M "/>
    <s v="Single"/>
    <s v="US Citizen"/>
    <s v="Yes"/>
    <s v="White"/>
    <d v="2011-05-16T00:00:00"/>
    <d v="2013-06-24T00:00:00"/>
    <s v="hours"/>
    <s v="Voluntarily Terminated"/>
    <x v="0"/>
    <s v="Amy Dunn"/>
    <n v="11"/>
    <s v="Google Search"/>
    <s v="Fully Meets"/>
    <n v="4.76"/>
    <n v="5"/>
    <n v="0"/>
    <s v="4/5/2013"/>
    <n v="0"/>
    <n v="20"/>
    <s v="Normal"/>
    <s v="low Outlier"/>
    <n v="44"/>
    <x v="0"/>
    <n v="2"/>
    <x v="0"/>
    <s v="36-45"/>
    <s v="Senior (70-100K)"/>
    <n v="0"/>
    <n v="2011"/>
    <n v="5"/>
    <s v="Q2"/>
    <s v="May"/>
    <s v="2011-05"/>
    <n v="2013"/>
    <s v="Production       "/>
    <n v="80"/>
    <n v="7"/>
    <s v="Medium"/>
  </r>
  <r>
    <s v="Foreman, Tanya"/>
    <n v="10163"/>
    <n v="1"/>
    <n v="1"/>
    <n v="0"/>
    <n v="5"/>
    <n v="5"/>
    <n v="3"/>
    <n v="0"/>
    <x v="94"/>
    <n v="1"/>
    <n v="20"/>
    <s v="Production Technician II"/>
    <s v="MA"/>
    <n v="2170"/>
    <d v="1983-11-08T00:00:00"/>
    <s v="F"/>
    <s v="Married"/>
    <s v="US Citizen"/>
    <s v="No"/>
    <s v="White"/>
    <d v="2011-04-04T00:00:00"/>
    <d v="2013-01-09T00:00:00"/>
    <s v="career change"/>
    <s v="Voluntarily Terminated"/>
    <x v="0"/>
    <s v="Ketsia Liebig"/>
    <n v="19"/>
    <s v="Google Search"/>
    <s v="Fully Meets"/>
    <n v="3.66"/>
    <n v="3"/>
    <n v="0"/>
    <s v="1/7/2012"/>
    <n v="0"/>
    <n v="6"/>
    <s v="Normal"/>
    <s v="low Outlier"/>
    <n v="42"/>
    <x v="0"/>
    <n v="1"/>
    <x v="0"/>
    <s v="36-45"/>
    <s v="Mid (40-70K)"/>
    <n v="0"/>
    <n v="2011"/>
    <n v="4"/>
    <s v="Q2"/>
    <s v="Apr"/>
    <s v="2011-04"/>
    <n v="2013"/>
    <s v="Production       "/>
    <n v="33.333333333333329"/>
    <n v="6"/>
    <s v="Low"/>
  </r>
  <r>
    <s v="Forrest, Alex"/>
    <n v="10305"/>
    <n v="1"/>
    <n v="1"/>
    <n v="1"/>
    <n v="1"/>
    <n v="6"/>
    <n v="3"/>
    <n v="0"/>
    <x v="95"/>
    <n v="1"/>
    <n v="3"/>
    <s v="Area Sales Manager"/>
    <s v="MA"/>
    <n v="2330"/>
    <d v="1975-07-07T00:00:00"/>
    <s v="M "/>
    <s v="Married"/>
    <s v="US Citizen"/>
    <s v="No"/>
    <s v="White"/>
    <d v="2014-09-29T00:00:00"/>
    <d v="2018-08-19T00:00:00"/>
    <s v="Fatal attraction"/>
    <s v="Terminated for Cause"/>
    <x v="4"/>
    <s v="Lynn Daneault"/>
    <n v="21"/>
    <s v="Employee Referral"/>
    <s v="PIP"/>
    <n v="2"/>
    <n v="5"/>
    <n v="0"/>
    <s v="1/28/2019"/>
    <n v="4"/>
    <n v="7"/>
    <s v="Normal"/>
    <s v="low Outlier"/>
    <n v="50"/>
    <x v="3"/>
    <n v="3"/>
    <x v="0"/>
    <s v="46-55"/>
    <s v="Senior (70-100K)"/>
    <n v="0"/>
    <n v="2014"/>
    <n v="9"/>
    <s v="Q3"/>
    <s v="Sep"/>
    <s v="2014-09"/>
    <n v="2018"/>
    <s v="Production       "/>
    <n v="9.0909090909090917"/>
    <n v="1"/>
    <s v="Medium"/>
  </r>
  <r>
    <s v="Foss, Jason"/>
    <n v="10015"/>
    <n v="0"/>
    <n v="0"/>
    <n v="1"/>
    <n v="1"/>
    <n v="3"/>
    <n v="4"/>
    <n v="0"/>
    <x v="96"/>
    <n v="0"/>
    <n v="12"/>
    <s v="IT Director"/>
    <s v="MA"/>
    <n v="1460"/>
    <d v="1980-07-05T00:00:00"/>
    <s v="M "/>
    <s v="Single"/>
    <s v="US Citizen"/>
    <s v="No"/>
    <s v="Black or African American"/>
    <d v="2011-04-15T00:00:00"/>
    <m/>
    <s v="N/A-StillEmployed"/>
    <s v="Active"/>
    <x v="1"/>
    <s v="Jennifer Zamora"/>
    <n v="5"/>
    <s v="Indeed"/>
    <s v="Exceeds"/>
    <n v="5"/>
    <n v="5"/>
    <n v="5"/>
    <s v="1/7/2019"/>
    <n v="0"/>
    <n v="15"/>
    <s v=" high Outlier"/>
    <s v="low Outlier"/>
    <n v="45"/>
    <x v="0"/>
    <n v="14"/>
    <x v="0"/>
    <s v="36-45"/>
    <s v="Executive (100K+)"/>
    <n v="1"/>
    <n v="2011"/>
    <n v="4"/>
    <s v="Q2"/>
    <s v="Apr"/>
    <s v="2011-04"/>
    <s v="N/A"/>
    <s v="Production       "/>
    <n v="25"/>
    <n v="0"/>
    <s v="Low"/>
  </r>
  <r>
    <s v="Foster-Baker, Amy"/>
    <n v="10080"/>
    <n v="1"/>
    <n v="1"/>
    <n v="0"/>
    <n v="1"/>
    <n v="1"/>
    <n v="3"/>
    <n v="0"/>
    <x v="97"/>
    <n v="0"/>
    <n v="26"/>
    <s v="Sr. Accountant"/>
    <s v="MA"/>
    <n v="2050"/>
    <d v="1979-04-16T00:00:00"/>
    <s v="F"/>
    <s v="Married"/>
    <s v="US Citizen"/>
    <s v="No"/>
    <s v="White"/>
    <d v="2009-01-05T00:00:00"/>
    <m/>
    <s v="N/A-StillEmployed"/>
    <s v="Active"/>
    <x v="3"/>
    <s v="Board of Directors"/>
    <n v="9"/>
    <s v="Other"/>
    <s v="Fully Meets"/>
    <n v="5"/>
    <n v="3"/>
    <n v="2"/>
    <s v="2/8/2019"/>
    <n v="0"/>
    <n v="3"/>
    <s v="Normal"/>
    <s v="low Outlier"/>
    <n v="46"/>
    <x v="9"/>
    <n v="17"/>
    <x v="0"/>
    <s v="46-55"/>
    <s v="Senior (70-100K)"/>
    <n v="1"/>
    <n v="2009"/>
    <n v="1"/>
    <s v="Q1"/>
    <s v="Jan"/>
    <s v="2009-01"/>
    <s v="N/A"/>
    <s v="Production       "/>
    <n v="0"/>
    <n v="0"/>
    <s v="Low"/>
  </r>
  <r>
    <s v="Fraval, Maruk "/>
    <n v="10258"/>
    <n v="0"/>
    <n v="0"/>
    <n v="1"/>
    <n v="1"/>
    <n v="6"/>
    <n v="3"/>
    <n v="0"/>
    <x v="98"/>
    <n v="0"/>
    <n v="3"/>
    <s v="Area Sales Manager"/>
    <s v="CT"/>
    <n v="6050"/>
    <d v="1963-08-28T00:00:00"/>
    <s v="M "/>
    <s v="Single"/>
    <s v="US Citizen"/>
    <s v="No"/>
    <s v="Black or African American"/>
    <d v="2011-09-06T00:00:00"/>
    <m/>
    <s v="N/A-StillEmployed"/>
    <s v="Active"/>
    <x v="4"/>
    <s v="Lynn Daneault"/>
    <n v="21"/>
    <s v="CareerBuilder"/>
    <s v="Fully Meets"/>
    <n v="4.3"/>
    <n v="3"/>
    <n v="0"/>
    <s v="1/27/2019"/>
    <n v="2"/>
    <n v="7"/>
    <s v="Normal"/>
    <s v="low Outlier"/>
    <n v="62"/>
    <x v="0"/>
    <n v="14"/>
    <x v="0"/>
    <s v="55+"/>
    <s v="Mid (40-70K)"/>
    <n v="1"/>
    <n v="2011"/>
    <n v="9"/>
    <s v="Q3"/>
    <s v="Sep"/>
    <s v="2011-09"/>
    <s v="N/A"/>
    <s v="Production       "/>
    <n v="0"/>
    <n v="0"/>
    <s v="Low"/>
  </r>
  <r>
    <s v="Galia, Lisa"/>
    <n v="10273"/>
    <n v="0"/>
    <n v="0"/>
    <n v="0"/>
    <n v="1"/>
    <n v="3"/>
    <n v="3"/>
    <n v="0"/>
    <x v="99"/>
    <n v="0"/>
    <n v="14"/>
    <s v="IT Support"/>
    <s v="CT"/>
    <n v="6040"/>
    <d v="1968-07-06T00:00:00"/>
    <s v="F"/>
    <s v="Single"/>
    <s v="US Citizen"/>
    <s v="No"/>
    <s v="White"/>
    <d v="2010-05-01T00:00:00"/>
    <m/>
    <s v="N/A-StillEmployed"/>
    <s v="Active"/>
    <x v="1"/>
    <s v="Eric Dougall"/>
    <n v="6"/>
    <s v="LinkedIn"/>
    <s v="Fully Meets"/>
    <n v="4.7"/>
    <n v="4"/>
    <n v="5"/>
    <s v="2/1/2019"/>
    <n v="0"/>
    <n v="1"/>
    <s v="Normal"/>
    <s v="low Outlier"/>
    <n v="57"/>
    <x v="6"/>
    <n v="15"/>
    <x v="0"/>
    <s v="55+"/>
    <s v="Mid (40-70K)"/>
    <n v="1"/>
    <n v="2010"/>
    <n v="5"/>
    <s v="Q2"/>
    <s v="May"/>
    <s v="2010-05"/>
    <s v="N/A"/>
    <s v="Production       "/>
    <n v="0"/>
    <n v="0"/>
    <s v="Low"/>
  </r>
  <r>
    <s v="Garcia, Raul"/>
    <n v="10111"/>
    <n v="0"/>
    <n v="0"/>
    <n v="1"/>
    <n v="1"/>
    <n v="5"/>
    <n v="3"/>
    <n v="0"/>
    <x v="100"/>
    <n v="0"/>
    <n v="19"/>
    <s v="Production Technician I"/>
    <s v="MA"/>
    <n v="1905"/>
    <d v="1985-09-15T00:00:00"/>
    <s v="M "/>
    <s v="Single"/>
    <s v="US Citizen"/>
    <s v="Yes"/>
    <s v="White"/>
    <d v="2015-03-30T00:00:00"/>
    <m/>
    <s v="N/A-StillEmployed"/>
    <s v="Active"/>
    <x v="0"/>
    <s v="David Stanley"/>
    <n v="14"/>
    <s v="Employee Referral"/>
    <s v="Fully Meets"/>
    <n v="4.5"/>
    <n v="3"/>
    <n v="0"/>
    <s v="2/18/2019"/>
    <n v="0"/>
    <n v="5"/>
    <s v="Normal"/>
    <s v="low Outlier"/>
    <n v="40"/>
    <x v="1"/>
    <n v="10"/>
    <x v="0"/>
    <s v="36-45"/>
    <s v="Mid (40-70K)"/>
    <n v="1"/>
    <n v="2015"/>
    <n v="3"/>
    <s v="Q1"/>
    <s v="Mar"/>
    <s v="2015-03"/>
    <s v="N/A"/>
    <s v="Production       "/>
    <n v="18.75"/>
    <n v="0"/>
    <s v="Low"/>
  </r>
  <r>
    <s v="Gaul, Barbara"/>
    <n v="10257"/>
    <n v="0"/>
    <n v="0"/>
    <n v="0"/>
    <n v="1"/>
    <n v="5"/>
    <n v="3"/>
    <n v="0"/>
    <x v="101"/>
    <n v="0"/>
    <n v="19"/>
    <s v="Production Technician I"/>
    <s v="MA"/>
    <n v="2121"/>
    <d v="1983-12-02T00:00:00"/>
    <s v="F"/>
    <s v="Single"/>
    <s v="US Citizen"/>
    <s v="Yes"/>
    <s v="Black or African American"/>
    <d v="2011-05-16T00:00:00"/>
    <m/>
    <s v="N/A-StillEmployed"/>
    <s v="Active"/>
    <x v="0"/>
    <s v="Kelley Spirea"/>
    <n v="18"/>
    <s v="LinkedIn"/>
    <s v="Fully Meets"/>
    <n v="4.2"/>
    <n v="4"/>
    <n v="0"/>
    <s v="2/26/2019"/>
    <n v="0"/>
    <n v="12"/>
    <s v="Normal"/>
    <s v="low Outlier"/>
    <n v="42"/>
    <x v="0"/>
    <n v="14"/>
    <x v="0"/>
    <s v="36-45"/>
    <s v="Mid (40-70K)"/>
    <n v="1"/>
    <n v="2011"/>
    <n v="5"/>
    <s v="Q2"/>
    <s v="May"/>
    <s v="2011-05"/>
    <s v="N/A"/>
    <s v="Production       "/>
    <n v="28.571428571428569"/>
    <n v="0"/>
    <s v="Medium"/>
  </r>
  <r>
    <s v="Gentry, Mildred"/>
    <n v="10159"/>
    <n v="1"/>
    <n v="1"/>
    <n v="0"/>
    <n v="1"/>
    <n v="5"/>
    <n v="3"/>
    <n v="0"/>
    <x v="102"/>
    <n v="0"/>
    <n v="19"/>
    <s v="Production Technician I"/>
    <s v="MA"/>
    <n v="2145"/>
    <d v="1990-10-01T00:00:00"/>
    <s v="F"/>
    <s v="Married"/>
    <s v="US Citizen"/>
    <s v="No"/>
    <s v="Black or African American"/>
    <d v="2015-03-30T00:00:00"/>
    <m/>
    <s v="N/A-StillEmployed"/>
    <s v="Active"/>
    <x v="0"/>
    <s v="Michael Albert"/>
    <n v="22"/>
    <s v="LinkedIn"/>
    <s v="Fully Meets"/>
    <n v="3.73"/>
    <n v="3"/>
    <n v="0"/>
    <s v="1/16/2019"/>
    <n v="0"/>
    <n v="19"/>
    <s v="Normal"/>
    <s v="low Outlier"/>
    <n v="35"/>
    <x v="1"/>
    <n v="10"/>
    <x v="0"/>
    <s v="26-35"/>
    <s v="Mid (40-70K)"/>
    <n v="1"/>
    <n v="2015"/>
    <n v="3"/>
    <s v="Q1"/>
    <s v="Mar"/>
    <s v="2015-03"/>
    <s v="N/A"/>
    <s v="Production       "/>
    <n v="46.666666666666664"/>
    <n v="0"/>
    <s v="Medium"/>
  </r>
  <r>
    <s v="Gerke, Melisa"/>
    <n v="10122"/>
    <n v="0"/>
    <n v="2"/>
    <n v="0"/>
    <n v="5"/>
    <n v="5"/>
    <n v="3"/>
    <n v="1"/>
    <x v="103"/>
    <n v="1"/>
    <n v="19"/>
    <s v="Production Technician I"/>
    <s v="MA"/>
    <n v="2330"/>
    <d v="1970-05-15T00:00:00"/>
    <s v="F"/>
    <s v="Divorced"/>
    <s v="US Citizen"/>
    <s v="No"/>
    <s v="Black or African American"/>
    <d v="2011-11-07T00:00:00"/>
    <d v="2016-11-15T00:00:00"/>
    <s v="hours"/>
    <s v="Voluntarily Terminated"/>
    <x v="0"/>
    <s v="Elijiah Gray"/>
    <n v="16"/>
    <s v="Diversity Job Fair"/>
    <s v="Fully Meets"/>
    <n v="4.24"/>
    <n v="4"/>
    <n v="0"/>
    <s v="4/29/2016"/>
    <n v="0"/>
    <n v="2"/>
    <s v="Normal"/>
    <s v="low Outlier"/>
    <n v="55"/>
    <x v="0"/>
    <n v="5"/>
    <x v="0"/>
    <s v="46-55"/>
    <s v="Mid (40-70K)"/>
    <n v="0"/>
    <n v="2011"/>
    <n v="11"/>
    <s v="Q4"/>
    <s v="Nov"/>
    <s v="2011-11"/>
    <n v="2016"/>
    <s v="Production       "/>
    <n v="40"/>
    <n v="6"/>
    <s v="Low"/>
  </r>
  <r>
    <s v="Gill, Whitney  "/>
    <n v="10142"/>
    <n v="0"/>
    <n v="4"/>
    <n v="0"/>
    <n v="4"/>
    <n v="6"/>
    <n v="3"/>
    <n v="0"/>
    <x v="104"/>
    <n v="1"/>
    <n v="3"/>
    <s v="Area Sales Manager"/>
    <s v="OH"/>
    <n v="43050"/>
    <d v="1971-07-10T00:00:00"/>
    <s v="F"/>
    <s v="Widowed"/>
    <s v="US Citizen"/>
    <s v="No"/>
    <s v="Black or African American"/>
    <d v="2014-07-07T00:00:00"/>
    <d v="2015-09-05T00:00:00"/>
    <s v="attendance"/>
    <s v="Terminated for Cause"/>
    <x v="4"/>
    <s v="John Smith"/>
    <n v="17"/>
    <s v="CareerBuilder"/>
    <s v="Fully Meets"/>
    <n v="3.97"/>
    <n v="4"/>
    <n v="0"/>
    <s v="1/15/2014"/>
    <n v="0"/>
    <n v="7"/>
    <s v="Normal"/>
    <s v="low Outlier"/>
    <n v="54"/>
    <x v="3"/>
    <n v="1"/>
    <x v="0"/>
    <s v="46-55"/>
    <s v="Mid (40-70K)"/>
    <n v="0"/>
    <n v="2014"/>
    <n v="7"/>
    <s v="Q3"/>
    <s v="Jul"/>
    <s v="2014-07"/>
    <n v="2015"/>
    <s v="Production       "/>
    <n v="20"/>
    <n v="4"/>
    <s v="Low"/>
  </r>
  <r>
    <s v="Gilles, Alex"/>
    <n v="10283"/>
    <n v="1"/>
    <n v="1"/>
    <n v="1"/>
    <n v="5"/>
    <n v="5"/>
    <n v="2"/>
    <n v="1"/>
    <x v="105"/>
    <n v="1"/>
    <n v="19"/>
    <s v="Production Technician I"/>
    <s v="MA"/>
    <n v="2062"/>
    <d v="1974-08-09T00:00:00"/>
    <s v="M "/>
    <s v="Married"/>
    <s v="US Citizen"/>
    <s v="No"/>
    <s v="Black or African American"/>
    <d v="2012-04-02T00:00:00"/>
    <d v="2015-06-25T00:00:00"/>
    <s v="military"/>
    <s v="Voluntarily Terminated"/>
    <x v="0"/>
    <s v="Webster Butler"/>
    <n v="39"/>
    <s v="Diversity Job Fair"/>
    <s v="Needs Improvement"/>
    <n v="3.97"/>
    <n v="4"/>
    <n v="0"/>
    <s v="1/20/2015"/>
    <n v="3"/>
    <n v="15"/>
    <s v="Normal"/>
    <s v="low Outlier"/>
    <n v="51"/>
    <x v="7"/>
    <n v="3"/>
    <x v="0"/>
    <s v="46-55"/>
    <s v="Mid (40-70K)"/>
    <n v="0"/>
    <n v="2012"/>
    <n v="4"/>
    <s v="Q2"/>
    <s v="Apr"/>
    <s v="2012-04"/>
    <n v="2015"/>
    <s v="Production       "/>
    <n v="71.428571428571431"/>
    <n v="2"/>
    <s v="Medium"/>
  </r>
  <r>
    <s v="Girifalco, Evelyn"/>
    <n v="10018"/>
    <n v="0"/>
    <n v="0"/>
    <n v="0"/>
    <n v="1"/>
    <n v="5"/>
    <n v="4"/>
    <n v="0"/>
    <x v="24"/>
    <n v="0"/>
    <n v="19"/>
    <s v="Production Technician I"/>
    <s v="MA"/>
    <n v="2451"/>
    <d v="1980-05-08T00:00:00"/>
    <s v="F"/>
    <s v="Single"/>
    <s v="US Citizen"/>
    <s v="Yes"/>
    <s v="Two or more races"/>
    <d v="2014-09-29T00:00:00"/>
    <m/>
    <s v="N/A-StillEmployed"/>
    <s v="Active"/>
    <x v="0"/>
    <s v="Amy Dunn"/>
    <n v="11"/>
    <s v="Indeed"/>
    <s v="Exceeds"/>
    <n v="3.9"/>
    <n v="4"/>
    <n v="0"/>
    <s v="2/7/2019"/>
    <n v="0"/>
    <n v="3"/>
    <s v="Normal"/>
    <s v="low Outlier"/>
    <n v="45"/>
    <x v="3"/>
    <n v="11"/>
    <x v="0"/>
    <s v="36-45"/>
    <s v="Mid (40-70K)"/>
    <n v="1"/>
    <n v="2014"/>
    <n v="9"/>
    <s v="Q3"/>
    <s v="Sep"/>
    <s v="2014-09"/>
    <s v="N/A"/>
    <s v="Production       "/>
    <n v="78.571428571428569"/>
    <n v="0"/>
    <s v="Low"/>
  </r>
  <r>
    <s v="Givens, Myriam"/>
    <n v="10255"/>
    <n v="0"/>
    <n v="0"/>
    <n v="0"/>
    <n v="1"/>
    <n v="6"/>
    <n v="3"/>
    <n v="0"/>
    <x v="106"/>
    <n v="0"/>
    <n v="3"/>
    <s v="Area Sales Manager"/>
    <s v="IN"/>
    <n v="46204"/>
    <d v="1989-09-22T00:00:00"/>
    <s v="F"/>
    <s v="Single"/>
    <s v="US Citizen"/>
    <s v="No"/>
    <s v="White"/>
    <d v="2015-02-16T00:00:00"/>
    <m/>
    <s v="N/A-StillEmployed"/>
    <s v="Active"/>
    <x v="4"/>
    <s v="Lynn Daneault"/>
    <n v="21"/>
    <s v="Indeed"/>
    <s v="Fully Meets"/>
    <n v="4.5"/>
    <n v="5"/>
    <n v="0"/>
    <s v="1/25/2019"/>
    <n v="0"/>
    <n v="20"/>
    <s v="Normal"/>
    <s v="low Outlier"/>
    <n v="36"/>
    <x v="3"/>
    <n v="11"/>
    <x v="0"/>
    <s v="36-45"/>
    <s v="Mid (40-70K)"/>
    <n v="1"/>
    <n v="2015"/>
    <n v="2"/>
    <s v="Q1"/>
    <s v="Feb"/>
    <s v="2015-02"/>
    <s v="N/A"/>
    <s v="Production       "/>
    <n v="0"/>
    <n v="0"/>
    <s v="Medium"/>
  </r>
  <r>
    <s v="Goble, Taisha"/>
    <n v="10246"/>
    <n v="0"/>
    <n v="0"/>
    <n v="0"/>
    <n v="4"/>
    <n v="3"/>
    <n v="3"/>
    <n v="0"/>
    <x v="107"/>
    <n v="1"/>
    <n v="8"/>
    <s v="Database Administrator"/>
    <s v="MA"/>
    <n v="2127"/>
    <d v="1971-10-23T00:00:00"/>
    <s v="F"/>
    <s v="Single"/>
    <s v="US Citizen"/>
    <s v="No"/>
    <s v="White"/>
    <d v="2015-02-16T00:00:00"/>
    <d v="2015-03-15T00:00:00"/>
    <s v="no-call, no-show"/>
    <s v="Terminated for Cause"/>
    <x v="1"/>
    <s v="Simon Roup"/>
    <n v="4"/>
    <s v="Indeed"/>
    <s v="Fully Meets"/>
    <n v="4.5999999999999996"/>
    <n v="4"/>
    <n v="4"/>
    <s v="1/20/2015"/>
    <n v="0"/>
    <n v="10"/>
    <s v="Normal"/>
    <s v="low Outlier"/>
    <n v="54"/>
    <x v="3"/>
    <n v="0"/>
    <x v="0"/>
    <s v="46-55"/>
    <s v="Executive (100K+)"/>
    <n v="0"/>
    <n v="2015"/>
    <n v="2"/>
    <s v="Q1"/>
    <s v="Feb"/>
    <s v="2015-02"/>
    <n v="2015"/>
    <s v="Production       "/>
    <n v="45.454545454545453"/>
    <n v="3"/>
    <s v="Low"/>
  </r>
  <r>
    <s v="Goeth, Amon"/>
    <n v="10228"/>
    <n v="1"/>
    <n v="1"/>
    <n v="1"/>
    <n v="1"/>
    <n v="3"/>
    <n v="3"/>
    <n v="0"/>
    <x v="108"/>
    <n v="0"/>
    <n v="14"/>
    <s v="IT Support"/>
    <s v="MA"/>
    <n v="2135"/>
    <d v="1989-11-24T00:00:00"/>
    <s v="M "/>
    <s v="Married"/>
    <s v="US Citizen"/>
    <s v="Yes"/>
    <s v="White"/>
    <d v="2015-03-30T00:00:00"/>
    <m/>
    <s v="N/A-StillEmployed"/>
    <s v="Active"/>
    <x v="1"/>
    <s v="Peter Monroe"/>
    <n v="7"/>
    <s v="LinkedIn"/>
    <s v="Fully Meets"/>
    <n v="4.3"/>
    <n v="5"/>
    <n v="7"/>
    <s v="1/10/2019"/>
    <n v="0"/>
    <n v="20"/>
    <s v="Normal"/>
    <s v="low Outlier"/>
    <n v="36"/>
    <x v="1"/>
    <n v="10"/>
    <x v="0"/>
    <s v="36-45"/>
    <s v="Senior (70-100K)"/>
    <n v="1"/>
    <n v="2015"/>
    <n v="3"/>
    <s v="Q1"/>
    <s v="Mar"/>
    <s v="2015-03"/>
    <s v="N/A"/>
    <s v="Production       "/>
    <n v="11.111111111111111"/>
    <n v="0"/>
    <s v="Low"/>
  </r>
  <r>
    <s v="Gold, Shenice  "/>
    <n v="10243"/>
    <n v="0"/>
    <n v="0"/>
    <n v="0"/>
    <n v="1"/>
    <n v="5"/>
    <n v="3"/>
    <n v="0"/>
    <x v="109"/>
    <n v="0"/>
    <n v="19"/>
    <s v="Production Technician I"/>
    <s v="MA"/>
    <n v="2451"/>
    <d v="1992-06-18T00:00:00"/>
    <s v="F"/>
    <s v="Single"/>
    <s v="US Citizen"/>
    <s v="Yes"/>
    <s v="White"/>
    <d v="2013-11-11T00:00:00"/>
    <m/>
    <s v="N/A-StillEmployed"/>
    <s v="Active"/>
    <x v="0"/>
    <s v="Ketsia Liebig"/>
    <n v="19"/>
    <s v="Indeed"/>
    <s v="Fully Meets"/>
    <n v="4.3"/>
    <n v="5"/>
    <n v="0"/>
    <s v="2/18/2019"/>
    <n v="0"/>
    <n v="7"/>
    <s v="Normal"/>
    <s v="low Outlier"/>
    <n v="33"/>
    <x v="4"/>
    <n v="12"/>
    <x v="0"/>
    <s v="26-35"/>
    <s v="Mid (40-70K)"/>
    <n v="1"/>
    <n v="2013"/>
    <n v="11"/>
    <s v="Q4"/>
    <s v="Nov"/>
    <s v="2013-11"/>
    <s v="N/A"/>
    <s v="Production       "/>
    <n v="28.571428571428569"/>
    <n v="0"/>
    <s v="Low"/>
  </r>
  <r>
    <s v="Gonzalez, Cayo"/>
    <n v="10031"/>
    <n v="0"/>
    <n v="2"/>
    <n v="1"/>
    <n v="1"/>
    <n v="5"/>
    <n v="4"/>
    <n v="1"/>
    <x v="110"/>
    <n v="0"/>
    <n v="19"/>
    <s v="Production Technician I"/>
    <s v="MA"/>
    <n v="2108"/>
    <d v="1969-09-29T00:00:00"/>
    <s v="M "/>
    <s v="Divorced"/>
    <s v="US Citizen"/>
    <s v="No"/>
    <s v="Black or African American"/>
    <d v="2011-07-11T00:00:00"/>
    <m/>
    <s v="N/A-StillEmployed"/>
    <s v="Active"/>
    <x v="0"/>
    <s v="Brannon Miller"/>
    <n v="12"/>
    <s v="Diversity Job Fair"/>
    <s v="Exceeds"/>
    <n v="4.5"/>
    <n v="4"/>
    <n v="0"/>
    <s v="2/18/2019"/>
    <n v="0"/>
    <n v="1"/>
    <s v="Normal"/>
    <s v="low Outlier"/>
    <n v="56"/>
    <x v="0"/>
    <n v="14"/>
    <x v="0"/>
    <s v="55+"/>
    <s v="Mid (40-70K)"/>
    <n v="1"/>
    <n v="2011"/>
    <n v="7"/>
    <s v="Q3"/>
    <s v="Jul"/>
    <s v="2011-07"/>
    <s v="N/A"/>
    <s v="Production       "/>
    <n v="33.333333333333329"/>
    <n v="0"/>
    <s v="Low"/>
  </r>
  <r>
    <s v="Gonzalez, Juan"/>
    <n v="10300"/>
    <n v="1"/>
    <n v="1"/>
    <n v="1"/>
    <n v="5"/>
    <n v="5"/>
    <n v="1"/>
    <n v="1"/>
    <x v="111"/>
    <n v="1"/>
    <n v="20"/>
    <s v="Production Technician II"/>
    <s v="MA"/>
    <n v="2128"/>
    <d v="1964-10-12T00:00:00"/>
    <s v="M "/>
    <s v="Married"/>
    <s v="US Citizen"/>
    <s v="No"/>
    <s v="Black or African American"/>
    <d v="2010-04-26T00:00:00"/>
    <d v="2011-05-30T00:00:00"/>
    <s v="career change"/>
    <s v="Voluntarily Terminated"/>
    <x v="0"/>
    <s v="Brannon Miller"/>
    <n v="12"/>
    <s v="Diversity Job Fair"/>
    <s v="PIP"/>
    <n v="3"/>
    <n v="3"/>
    <n v="0"/>
    <s v="3/6/2011"/>
    <n v="3"/>
    <n v="10"/>
    <s v="Normal"/>
    <s v="low Outlier"/>
    <n v="61"/>
    <x v="6"/>
    <n v="1"/>
    <x v="0"/>
    <s v="55+"/>
    <s v="Mid (40-70K)"/>
    <n v="0"/>
    <n v="2010"/>
    <n v="4"/>
    <s v="Q2"/>
    <s v="Apr"/>
    <s v="2010-04"/>
    <n v="2011"/>
    <s v="Production       "/>
    <n v="35.714285714285715"/>
    <n v="5"/>
    <s v="Low"/>
  </r>
  <r>
    <s v="Gonzalez, Maria"/>
    <n v="10101"/>
    <n v="0"/>
    <n v="3"/>
    <n v="0"/>
    <n v="1"/>
    <n v="3"/>
    <n v="3"/>
    <n v="0"/>
    <x v="112"/>
    <n v="0"/>
    <n v="14"/>
    <s v="IT Support"/>
    <s v="MA"/>
    <n v="2472"/>
    <d v="1981-04-16T00:00:00"/>
    <s v="F"/>
    <s v="Separated"/>
    <s v="US Citizen"/>
    <s v="Yes"/>
    <s v="White"/>
    <d v="2015-01-05T00:00:00"/>
    <m/>
    <s v="N/A-StillEmployed"/>
    <s v="Active"/>
    <x v="1"/>
    <s v="Peter Monroe"/>
    <n v="7"/>
    <s v="Employee Referral"/>
    <s v="Fully Meets"/>
    <n v="4.6100000000000003"/>
    <n v="4"/>
    <n v="5"/>
    <s v="1/28/2019"/>
    <n v="0"/>
    <n v="11"/>
    <s v="Normal"/>
    <s v="low Outlier"/>
    <n v="44"/>
    <x v="3"/>
    <n v="11"/>
    <x v="0"/>
    <s v="36-45"/>
    <s v="Mid (40-70K)"/>
    <n v="1"/>
    <n v="2015"/>
    <n v="1"/>
    <s v="Q1"/>
    <s v="Jan"/>
    <s v="2015-01"/>
    <s v="N/A"/>
    <s v="Production       "/>
    <n v="12.5"/>
    <n v="0"/>
    <s v="Low"/>
  </r>
  <r>
    <s v="Good, Susan"/>
    <n v="10237"/>
    <n v="1"/>
    <n v="1"/>
    <n v="0"/>
    <n v="3"/>
    <n v="5"/>
    <n v="3"/>
    <n v="0"/>
    <x v="113"/>
    <n v="0"/>
    <n v="20"/>
    <s v="Production Technician II"/>
    <s v="MA"/>
    <n v="1886"/>
    <d v="1986-05-25T00:00:00"/>
    <s v="F"/>
    <s v="Married"/>
    <s v="US Citizen"/>
    <s v="No"/>
    <s v="White"/>
    <d v="2014-05-12T00:00:00"/>
    <m/>
    <s v="N/A-StillEmployed"/>
    <s v="Active"/>
    <x v="0"/>
    <s v="David Stanley"/>
    <n v="14"/>
    <s v="LinkedIn"/>
    <s v="Fully Meets"/>
    <n v="4.5999999999999996"/>
    <n v="3"/>
    <n v="0"/>
    <s v="2/7/2019"/>
    <n v="0"/>
    <n v="20"/>
    <s v="Normal"/>
    <s v="low Outlier"/>
    <n v="39"/>
    <x v="3"/>
    <n v="11"/>
    <x v="0"/>
    <s v="36-45"/>
    <s v="Mid (40-70K)"/>
    <n v="1"/>
    <n v="2014"/>
    <n v="5"/>
    <s v="Q2"/>
    <s v="May"/>
    <s v="2014-05"/>
    <s v="N/A"/>
    <s v="Production       "/>
    <n v="20"/>
    <n v="0"/>
    <s v="Medium"/>
  </r>
  <r>
    <s v="Gordon, David"/>
    <n v="10051"/>
    <n v="1"/>
    <n v="1"/>
    <n v="1"/>
    <n v="1"/>
    <n v="5"/>
    <n v="3"/>
    <n v="0"/>
    <x v="114"/>
    <n v="0"/>
    <n v="19"/>
    <s v="Production Technician I"/>
    <s v="MA"/>
    <n v="2169"/>
    <d v="1979-05-21T00:00:00"/>
    <s v="M "/>
    <s v="Married"/>
    <s v="US Citizen"/>
    <s v="No"/>
    <s v="White"/>
    <d v="2012-07-02T00:00:00"/>
    <m/>
    <s v="N/A-StillEmployed"/>
    <s v="Active"/>
    <x v="0"/>
    <s v="David Stanley"/>
    <n v="14"/>
    <s v="LinkedIn"/>
    <s v="Fully Meets"/>
    <n v="5"/>
    <n v="3"/>
    <n v="0"/>
    <s v="1/14/2019"/>
    <n v="0"/>
    <n v="2"/>
    <s v="Normal"/>
    <s v="low Outlier"/>
    <n v="46"/>
    <x v="7"/>
    <n v="13"/>
    <x v="0"/>
    <s v="46-55"/>
    <s v="Mid (40-70K)"/>
    <n v="1"/>
    <n v="2012"/>
    <n v="7"/>
    <s v="Q3"/>
    <s v="Jul"/>
    <s v="2012-07"/>
    <s v="N/A"/>
    <s v="Production       "/>
    <n v="21.428571428571427"/>
    <n v="0"/>
    <s v="Low"/>
  </r>
  <r>
    <s v="Gosciminski, Phylicia  "/>
    <n v="10218"/>
    <n v="0"/>
    <n v="3"/>
    <n v="0"/>
    <n v="3"/>
    <n v="5"/>
    <n v="3"/>
    <n v="0"/>
    <x v="115"/>
    <n v="0"/>
    <n v="20"/>
    <s v="Production Technician II"/>
    <s v="MA"/>
    <n v="1824"/>
    <d v="1983-12-08T00:00:00"/>
    <s v="F"/>
    <s v="Separated"/>
    <s v="US Citizen"/>
    <s v="No"/>
    <s v="American Indian or Alaska Native"/>
    <d v="2013-09-30T00:00:00"/>
    <m/>
    <s v="N/A-StillEmployed"/>
    <s v="Active"/>
    <x v="0"/>
    <s v="Kissy Sullivan"/>
    <n v="20"/>
    <s v="Google Search"/>
    <s v="Fully Meets"/>
    <n v="4.4000000000000004"/>
    <n v="5"/>
    <n v="0"/>
    <s v="2/21/2019"/>
    <n v="0"/>
    <n v="1"/>
    <s v="Normal"/>
    <s v="low Outlier"/>
    <n v="42"/>
    <x v="4"/>
    <n v="12"/>
    <x v="0"/>
    <s v="36-45"/>
    <s v="Mid (40-70K)"/>
    <n v="1"/>
    <n v="2013"/>
    <n v="9"/>
    <s v="Q3"/>
    <s v="Sep"/>
    <s v="2013-09"/>
    <s v="N/A"/>
    <s v="Production       "/>
    <n v="50"/>
    <n v="0"/>
    <s v="Low"/>
  </r>
  <r>
    <s v="Goyal, Roxana"/>
    <n v="10256"/>
    <n v="1"/>
    <n v="1"/>
    <n v="0"/>
    <n v="3"/>
    <n v="5"/>
    <n v="3"/>
    <n v="0"/>
    <x v="116"/>
    <n v="0"/>
    <n v="19"/>
    <s v="Production Technician I"/>
    <s v="MA"/>
    <n v="1864"/>
    <d v="1974-10-09T00:00:00"/>
    <s v="F"/>
    <s v="Married"/>
    <s v="US Citizen"/>
    <s v="No"/>
    <s v="Asian"/>
    <d v="2013-08-19T00:00:00"/>
    <m/>
    <s v="N/A-StillEmployed"/>
    <s v="Active"/>
    <x v="0"/>
    <s v="Kissy Sullivan"/>
    <n v="20"/>
    <s v="LinkedIn"/>
    <s v="Fully Meets"/>
    <n v="4.0999999999999996"/>
    <n v="5"/>
    <n v="0"/>
    <s v="2/15/2019"/>
    <n v="0"/>
    <n v="3"/>
    <s v="Normal"/>
    <s v="low Outlier"/>
    <n v="51"/>
    <x v="4"/>
    <n v="12"/>
    <x v="0"/>
    <s v="46-55"/>
    <s v="Mid (40-70K)"/>
    <n v="1"/>
    <n v="2013"/>
    <n v="8"/>
    <s v="Q3"/>
    <s v="Aug"/>
    <s v="2013-08"/>
    <s v="N/A"/>
    <s v="Production       "/>
    <n v="53.333333333333336"/>
    <n v="0"/>
    <s v="Low"/>
  </r>
  <r>
    <s v="Gray, Elijiah  "/>
    <n v="10098"/>
    <n v="0"/>
    <n v="2"/>
    <n v="1"/>
    <n v="1"/>
    <n v="5"/>
    <n v="3"/>
    <n v="0"/>
    <x v="117"/>
    <n v="0"/>
    <n v="18"/>
    <s v="Production Manager"/>
    <s v="MA"/>
    <n v="1752"/>
    <d v="1981-07-11T00:00:00"/>
    <s v="M "/>
    <s v="Divorced"/>
    <s v="US Citizen"/>
    <s v="No"/>
    <s v="White"/>
    <d v="2015-06-02T00:00:00"/>
    <m/>
    <s v="N/A-StillEmployed"/>
    <s v="Active"/>
    <x v="0"/>
    <s v="Janet King"/>
    <n v="2"/>
    <s v="Employee Referral"/>
    <s v="Fully Meets"/>
    <n v="4.63"/>
    <n v="3"/>
    <n v="0"/>
    <s v="1/4/2019"/>
    <n v="0"/>
    <n v="2"/>
    <s v="Normal"/>
    <s v="low Outlier"/>
    <n v="44"/>
    <x v="1"/>
    <n v="10"/>
    <x v="0"/>
    <s v="36-45"/>
    <s v="Mid (40-70K)"/>
    <n v="1"/>
    <n v="2015"/>
    <n v="6"/>
    <s v="Q2"/>
    <s v="Jun"/>
    <s v="2015-06"/>
    <s v="N/A"/>
    <s v="Production       "/>
    <n v="35.714285714285715"/>
    <n v="0"/>
    <s v="Low"/>
  </r>
  <r>
    <s v="Gross, Paula"/>
    <n v="10059"/>
    <n v="0"/>
    <n v="2"/>
    <n v="0"/>
    <n v="5"/>
    <n v="5"/>
    <n v="3"/>
    <n v="0"/>
    <x v="118"/>
    <n v="1"/>
    <n v="19"/>
    <s v="Production Technician I"/>
    <s v="MA"/>
    <n v="2176"/>
    <d v="1983-05-21T00:00:00"/>
    <s v="F"/>
    <s v="Divorced"/>
    <s v="US Citizen"/>
    <s v="No"/>
    <s v="White"/>
    <d v="2011-02-21T00:00:00"/>
    <d v="2014-01-11T00:00:00"/>
    <s v="more money"/>
    <s v="Voluntarily Terminated"/>
    <x v="0"/>
    <s v="Kelley Spirea"/>
    <n v="18"/>
    <s v="CareerBuilder"/>
    <s v="Fully Meets"/>
    <n v="5"/>
    <n v="5"/>
    <n v="0"/>
    <s v="6/3/2013"/>
    <n v="0"/>
    <n v="17"/>
    <s v="Normal"/>
    <s v="low Outlier"/>
    <n v="42"/>
    <x v="6"/>
    <n v="2"/>
    <x v="0"/>
    <s v="36-45"/>
    <s v="Mid (40-70K)"/>
    <n v="0"/>
    <n v="2011"/>
    <n v="2"/>
    <s v="Q1"/>
    <s v="Feb"/>
    <s v="2011-02"/>
    <n v="2014"/>
    <s v="Production       "/>
    <n v="30.76923076923077"/>
    <n v="10"/>
    <s v="Medium"/>
  </r>
  <r>
    <s v="Gruber, Hans"/>
    <n v="10234"/>
    <n v="1"/>
    <n v="1"/>
    <n v="1"/>
    <n v="1"/>
    <n v="3"/>
    <n v="3"/>
    <n v="0"/>
    <x v="119"/>
    <n v="0"/>
    <n v="4"/>
    <s v="BI Developer"/>
    <s v="MA"/>
    <n v="2134"/>
    <d v="1989-06-30T00:00:00"/>
    <s v="M "/>
    <s v="Married"/>
    <s v="US Citizen"/>
    <s v="No"/>
    <s v="Black or African American"/>
    <d v="2017-04-20T00:00:00"/>
    <m/>
    <s v="N/A-StillEmployed"/>
    <s v="Active"/>
    <x v="1"/>
    <s v="Brian Champaigne"/>
    <n v="13"/>
    <s v="Indeed"/>
    <s v="Fully Meets"/>
    <n v="4.2"/>
    <n v="5"/>
    <n v="5"/>
    <s v="1/28/2019"/>
    <n v="0"/>
    <n v="8"/>
    <s v="Normal"/>
    <s v="low Outlier"/>
    <n v="36"/>
    <x v="11"/>
    <n v="8"/>
    <x v="1"/>
    <s v="36-45"/>
    <s v="Senior (70-100K)"/>
    <n v="1"/>
    <n v="2017"/>
    <n v="4"/>
    <s v="Q2"/>
    <s v="Apr"/>
    <s v="2017-04"/>
    <s v="N/A"/>
    <s v="Production       "/>
    <n v="0"/>
    <n v="0"/>
    <s v="Low"/>
  </r>
  <r>
    <s v="Guilianno, Mike"/>
    <n v="10109"/>
    <n v="0"/>
    <n v="0"/>
    <n v="1"/>
    <n v="5"/>
    <n v="6"/>
    <n v="3"/>
    <n v="0"/>
    <x v="120"/>
    <n v="1"/>
    <n v="3"/>
    <s v="Area Sales Manager"/>
    <s v="TN"/>
    <n v="37129"/>
    <d v="1969-02-09T00:00:00"/>
    <s v="M "/>
    <s v="Single"/>
    <s v="US Citizen"/>
    <s v="No"/>
    <s v="Two or more races"/>
    <d v="2012-03-07T00:00:00"/>
    <d v="2014-10-31T00:00:00"/>
    <s v="relocation out of area"/>
    <s v="Voluntarily Terminated"/>
    <x v="4"/>
    <s v="John Smith"/>
    <n v="17"/>
    <s v="LinkedIn"/>
    <s v="Fully Meets"/>
    <n v="4.5"/>
    <n v="5"/>
    <n v="0"/>
    <s v="2/1/2013"/>
    <n v="0"/>
    <n v="20"/>
    <s v="Normal"/>
    <s v="low Outlier"/>
    <n v="57"/>
    <x v="0"/>
    <n v="2"/>
    <x v="0"/>
    <s v="55+"/>
    <s v="Senior (70-100K)"/>
    <n v="0"/>
    <n v="2012"/>
    <n v="3"/>
    <s v="Q1"/>
    <s v="Mar"/>
    <s v="2012-03"/>
    <n v="2014"/>
    <s v="Production       "/>
    <n v="11.111111111111111"/>
    <n v="4"/>
    <s v="Medium"/>
  </r>
  <r>
    <s v="Handschiegl, Joanne"/>
    <n v="10125"/>
    <n v="1"/>
    <n v="1"/>
    <n v="0"/>
    <n v="1"/>
    <n v="5"/>
    <n v="3"/>
    <n v="0"/>
    <x v="121"/>
    <n v="0"/>
    <n v="19"/>
    <s v="Production Technician I"/>
    <s v="MA"/>
    <n v="2127"/>
    <d v="1977-03-23T00:00:00"/>
    <s v="F"/>
    <s v="Married"/>
    <s v="US Citizen"/>
    <s v="No"/>
    <s v="White"/>
    <d v="2011-11-28T00:00:00"/>
    <m/>
    <s v="N/A-StillEmployed"/>
    <s v="Active"/>
    <x v="0"/>
    <s v="Michael Albert"/>
    <n v="22"/>
    <s v="Google Search"/>
    <s v="Fully Meets"/>
    <n v="4.2"/>
    <n v="4"/>
    <n v="0"/>
    <s v="2/22/2019"/>
    <n v="0"/>
    <n v="13"/>
    <s v="Normal"/>
    <s v="low Outlier"/>
    <n v="48"/>
    <x v="0"/>
    <n v="14"/>
    <x v="0"/>
    <s v="46-55"/>
    <s v="Mid (40-70K)"/>
    <n v="1"/>
    <n v="2011"/>
    <n v="11"/>
    <s v="Q4"/>
    <s v="Nov"/>
    <s v="2011-11"/>
    <s v="N/A"/>
    <s v="Production       "/>
    <n v="50"/>
    <n v="0"/>
    <s v="Medium"/>
  </r>
  <r>
    <s v="Hankard, Earnest"/>
    <n v="10074"/>
    <n v="0"/>
    <n v="0"/>
    <n v="1"/>
    <n v="1"/>
    <n v="5"/>
    <n v="3"/>
    <n v="0"/>
    <x v="122"/>
    <n v="0"/>
    <n v="20"/>
    <s v="Production Technician II"/>
    <s v="MA"/>
    <n v="2155"/>
    <d v="1988-08-10T00:00:00"/>
    <s v="M "/>
    <s v="Single"/>
    <s v="US Citizen"/>
    <s v="Yes"/>
    <s v="White"/>
    <d v="2013-11-11T00:00:00"/>
    <m/>
    <s v="N/A-StillEmployed"/>
    <s v="Active"/>
    <x v="0"/>
    <s v="Kelley Spirea"/>
    <n v="18"/>
    <s v="LinkedIn"/>
    <s v="Fully Meets"/>
    <n v="5"/>
    <n v="3"/>
    <n v="0"/>
    <s v="1/8/2019"/>
    <n v="0"/>
    <n v="20"/>
    <s v="Normal"/>
    <s v="low Outlier"/>
    <n v="37"/>
    <x v="4"/>
    <n v="12"/>
    <x v="0"/>
    <s v="36-45"/>
    <s v="Mid (40-70K)"/>
    <n v="1"/>
    <n v="2013"/>
    <n v="11"/>
    <s v="Q4"/>
    <s v="Nov"/>
    <s v="2013-11"/>
    <s v="N/A"/>
    <s v="Production       "/>
    <n v="25"/>
    <n v="0"/>
    <s v="Medium"/>
  </r>
  <r>
    <s v="Harrington, Christie "/>
    <n v="10097"/>
    <n v="0"/>
    <n v="0"/>
    <n v="0"/>
    <n v="5"/>
    <n v="5"/>
    <n v="3"/>
    <n v="0"/>
    <x v="123"/>
    <n v="1"/>
    <n v="19"/>
    <s v="Production Technician I"/>
    <s v="MA"/>
    <n v="2324"/>
    <d v="1952-08-18T00:00:00"/>
    <s v="F"/>
    <s v="Single"/>
    <s v="US Citizen"/>
    <s v="No"/>
    <s v="White"/>
    <d v="2012-01-09T00:00:00"/>
    <d v="2015-12-15T00:00:00"/>
    <s v="retiring"/>
    <s v="Voluntarily Terminated"/>
    <x v="0"/>
    <s v="Webster Butler"/>
    <n v="39"/>
    <s v="CareerBuilder"/>
    <s v="Fully Meets"/>
    <n v="4.6399999999999997"/>
    <n v="4"/>
    <n v="0"/>
    <s v="5/2/2015"/>
    <n v="0"/>
    <n v="8"/>
    <s v="Normal"/>
    <s v="low Outlier"/>
    <n v="73"/>
    <x v="0"/>
    <n v="3"/>
    <x v="0"/>
    <s v="55+"/>
    <s v="Mid (40-70K)"/>
    <n v="0"/>
    <n v="2012"/>
    <n v="1"/>
    <s v="Q1"/>
    <s v="Jan"/>
    <s v="2012-01"/>
    <n v="2015"/>
    <s v="Production       "/>
    <n v="69.230769230769226"/>
    <n v="3"/>
    <s v="Low"/>
  </r>
  <r>
    <s v="Harrison, Kara"/>
    <n v="10007"/>
    <n v="1"/>
    <n v="1"/>
    <n v="0"/>
    <n v="1"/>
    <n v="5"/>
    <n v="4"/>
    <n v="0"/>
    <x v="124"/>
    <n v="0"/>
    <n v="19"/>
    <s v="Production Technician I"/>
    <s v="MA"/>
    <n v="1886"/>
    <d v="1974-05-02T00:00:00"/>
    <s v="F"/>
    <s v="Married"/>
    <s v="US Citizen"/>
    <s v="No"/>
    <s v="White"/>
    <d v="2014-05-12T00:00:00"/>
    <m/>
    <s v="N/A-StillEmployed"/>
    <s v="Active"/>
    <x v="0"/>
    <s v="Amy Dunn"/>
    <n v="11"/>
    <s v="CareerBuilder"/>
    <s v="Exceeds"/>
    <n v="4.76"/>
    <n v="4"/>
    <n v="0"/>
    <s v="2/15/2019"/>
    <n v="0"/>
    <n v="5"/>
    <s v="Normal"/>
    <s v="low Outlier"/>
    <n v="51"/>
    <x v="3"/>
    <n v="11"/>
    <x v="0"/>
    <s v="46-55"/>
    <s v="Mid (40-70K)"/>
    <n v="1"/>
    <n v="2014"/>
    <n v="5"/>
    <s v="Q2"/>
    <s v="May"/>
    <s v="2014-05"/>
    <s v="N/A"/>
    <s v="Production       "/>
    <n v="84.615384615384613"/>
    <n v="0"/>
    <s v="Low"/>
  </r>
  <r>
    <s v="Heitzman, Anthony"/>
    <n v="10129"/>
    <n v="0"/>
    <n v="0"/>
    <n v="1"/>
    <n v="1"/>
    <n v="5"/>
    <n v="3"/>
    <n v="0"/>
    <x v="125"/>
    <n v="0"/>
    <n v="19"/>
    <s v="Production Technician I"/>
    <s v="MA"/>
    <n v="2149"/>
    <d v="1984-01-04T00:00:00"/>
    <s v="M "/>
    <s v="Single"/>
    <s v="US Citizen"/>
    <s v="No"/>
    <s v="White"/>
    <d v="2012-08-13T00:00:00"/>
    <m/>
    <s v="N/A-StillEmployed"/>
    <s v="Active"/>
    <x v="0"/>
    <s v="Ketsia Liebig"/>
    <n v="19"/>
    <s v="Google Search"/>
    <s v="Fully Meets"/>
    <n v="4.17"/>
    <n v="4"/>
    <n v="0"/>
    <s v="2/11/2019"/>
    <n v="0"/>
    <n v="1"/>
    <s v="Normal"/>
    <s v="low Outlier"/>
    <n v="42"/>
    <x v="7"/>
    <n v="13"/>
    <x v="0"/>
    <s v="36-45"/>
    <s v="Mid (40-70K)"/>
    <n v="1"/>
    <n v="2012"/>
    <n v="8"/>
    <s v="Q3"/>
    <s v="Aug"/>
    <s v="2012-08"/>
    <s v="N/A"/>
    <s v="Production       "/>
    <n v="30.76923076923077"/>
    <n v="0"/>
    <s v="Low"/>
  </r>
  <r>
    <s v="Hendrickson, Trina"/>
    <n v="10075"/>
    <n v="0"/>
    <n v="0"/>
    <n v="0"/>
    <n v="5"/>
    <n v="5"/>
    <n v="3"/>
    <n v="0"/>
    <x v="126"/>
    <n v="1"/>
    <n v="20"/>
    <s v="Production Technician II"/>
    <s v="MA"/>
    <n v="2021"/>
    <d v="1972-08-27T00:00:00"/>
    <s v="F"/>
    <s v="Single"/>
    <s v="US Citizen"/>
    <s v="No"/>
    <s v="White"/>
    <d v="2011-01-10T00:00:00"/>
    <d v="2013-06-18T00:00:00"/>
    <s v="hours"/>
    <s v="Voluntarily Terminated"/>
    <x v="0"/>
    <s v="Kelley Spirea"/>
    <n v="18"/>
    <s v="CareerBuilder"/>
    <s v="Fully Meets"/>
    <n v="5"/>
    <n v="3"/>
    <n v="0"/>
    <s v="1/30/2013"/>
    <n v="0"/>
    <n v="15"/>
    <s v="Normal"/>
    <s v="low Outlier"/>
    <n v="53"/>
    <x v="6"/>
    <n v="2"/>
    <x v="0"/>
    <s v="46-55"/>
    <s v="Mid (40-70K)"/>
    <n v="0"/>
    <n v="2011"/>
    <n v="1"/>
    <s v="Q1"/>
    <s v="Jan"/>
    <s v="2011-01"/>
    <n v="2013"/>
    <s v="Production       "/>
    <n v="27.27272727272727"/>
    <n v="5"/>
    <s v="Medium"/>
  </r>
  <r>
    <s v="Hitchcock, Alfred"/>
    <n v="10167"/>
    <n v="1"/>
    <n v="1"/>
    <n v="1"/>
    <n v="1"/>
    <n v="6"/>
    <n v="3"/>
    <n v="0"/>
    <x v="127"/>
    <n v="0"/>
    <n v="3"/>
    <s v="Area Sales Manager"/>
    <s v="NH"/>
    <n v="3062"/>
    <d v="1988-09-14T00:00:00"/>
    <s v="M "/>
    <s v="Married"/>
    <s v="US Citizen"/>
    <s v="No"/>
    <s v="American Indian or Alaska Native"/>
    <d v="2014-08-18T00:00:00"/>
    <m/>
    <s v="N/A-StillEmployed"/>
    <s v="Active"/>
    <x v="4"/>
    <s v="John Smith"/>
    <n v="17"/>
    <s v="Indeed"/>
    <s v="Fully Meets"/>
    <n v="3.6"/>
    <n v="5"/>
    <n v="0"/>
    <s v="1/30/2019"/>
    <n v="0"/>
    <n v="9"/>
    <s v="Normal"/>
    <s v="low Outlier"/>
    <n v="37"/>
    <x v="3"/>
    <n v="11"/>
    <x v="0"/>
    <s v="36-45"/>
    <s v="Senior (70-100K)"/>
    <n v="1"/>
    <n v="2014"/>
    <n v="8"/>
    <s v="Q3"/>
    <s v="Aug"/>
    <s v="2014-08"/>
    <s v="N/A"/>
    <s v="Production       "/>
    <n v="0"/>
    <n v="0"/>
    <s v="Low"/>
  </r>
  <r>
    <s v="Homberger, Adrienne  J"/>
    <n v="10195"/>
    <n v="1"/>
    <n v="1"/>
    <n v="0"/>
    <n v="5"/>
    <n v="5"/>
    <n v="3"/>
    <n v="0"/>
    <x v="128"/>
    <n v="1"/>
    <n v="20"/>
    <s v="Production Technician II"/>
    <s v="MA"/>
    <n v="2445"/>
    <d v="1984-02-16T00:00:00"/>
    <s v="F"/>
    <s v="Married"/>
    <s v="Non-Citizen"/>
    <s v="No"/>
    <s v="White"/>
    <d v="2011-08-15T00:00:00"/>
    <d v="2012-04-07T00:00:00"/>
    <s v="relocation out of area"/>
    <s v="Voluntarily Terminated"/>
    <x v="0"/>
    <s v="Michael Albert"/>
    <n v="30"/>
    <s v="Indeed"/>
    <s v="Fully Meets"/>
    <n v="3.03"/>
    <n v="5"/>
    <n v="0"/>
    <s v="3/5/2012"/>
    <n v="0"/>
    <n v="16"/>
    <s v="Normal"/>
    <s v="low Outlier"/>
    <n v="42"/>
    <x v="0"/>
    <n v="0"/>
    <x v="0"/>
    <s v="36-45"/>
    <s v="Mid (40-70K)"/>
    <n v="0"/>
    <n v="2011"/>
    <n v="8"/>
    <s v="Q3"/>
    <s v="Aug"/>
    <s v="2011-08"/>
    <n v="2012"/>
    <s v="Production       "/>
    <n v="53.846153846153847"/>
    <n v="3"/>
    <s v="Medium"/>
  </r>
  <r>
    <s v="Horton, Jayne"/>
    <n v="10112"/>
    <n v="0"/>
    <n v="0"/>
    <n v="0"/>
    <n v="1"/>
    <n v="3"/>
    <n v="3"/>
    <n v="0"/>
    <x v="129"/>
    <n v="0"/>
    <n v="8"/>
    <s v="Database Administrator"/>
    <s v="MA"/>
    <n v="2493"/>
    <d v="1984-02-21T00:00:00"/>
    <s v="F"/>
    <s v="Single"/>
    <s v="US Citizen"/>
    <s v="No"/>
    <s v="White"/>
    <d v="2015-03-30T00:00:00"/>
    <m/>
    <s v="N/A-StillEmployed"/>
    <s v="Active"/>
    <x v="1"/>
    <s v="Simon Roup"/>
    <n v="4"/>
    <s v="Indeed"/>
    <s v="Fully Meets"/>
    <n v="4.4800000000000004"/>
    <n v="5"/>
    <n v="6"/>
    <s v="1/3/2019"/>
    <n v="0"/>
    <n v="4"/>
    <s v="Normal"/>
    <s v="low Outlier"/>
    <n v="42"/>
    <x v="1"/>
    <n v="10"/>
    <x v="0"/>
    <s v="36-45"/>
    <s v="Senior (70-100K)"/>
    <n v="1"/>
    <n v="2015"/>
    <n v="3"/>
    <s v="Q1"/>
    <s v="Mar"/>
    <s v="2015-03"/>
    <s v="N/A"/>
    <s v="Production       "/>
    <n v="40"/>
    <n v="0"/>
    <s v="Low"/>
  </r>
  <r>
    <s v="Houlihan, Debra"/>
    <n v="10272"/>
    <n v="1"/>
    <n v="1"/>
    <n v="0"/>
    <n v="1"/>
    <n v="6"/>
    <n v="3"/>
    <n v="0"/>
    <x v="130"/>
    <n v="0"/>
    <n v="11"/>
    <s v="Director of Sales"/>
    <s v="RI"/>
    <n v="2908"/>
    <d v="1966-03-17T00:00:00"/>
    <s v="F"/>
    <s v="Married"/>
    <s v="US Citizen"/>
    <s v="No"/>
    <s v="White"/>
    <d v="2014-05-05T00:00:00"/>
    <m/>
    <s v="N/A-StillEmployed"/>
    <s v="Active"/>
    <x v="4"/>
    <s v="Janet King"/>
    <n v="2"/>
    <s v="LinkedIn"/>
    <s v="Fully Meets"/>
    <n v="4.5"/>
    <n v="4"/>
    <n v="0"/>
    <s v="1/21/2019"/>
    <n v="0"/>
    <n v="19"/>
    <s v=" high Outlier"/>
    <s v="low Outlier"/>
    <n v="59"/>
    <x v="3"/>
    <n v="11"/>
    <x v="0"/>
    <s v="55+"/>
    <s v="Executive (100K+)"/>
    <n v="1"/>
    <n v="2014"/>
    <n v="5"/>
    <s v="Q2"/>
    <s v="May"/>
    <s v="2014-05"/>
    <s v="N/A"/>
    <s v="Production       "/>
    <n v="38.461538461538467"/>
    <n v="0"/>
    <s v="Medium"/>
  </r>
  <r>
    <s v="Howard, Estelle"/>
    <n v="10182"/>
    <n v="1"/>
    <n v="1"/>
    <n v="0"/>
    <n v="1"/>
    <n v="1"/>
    <n v="3"/>
    <n v="0"/>
    <x v="131"/>
    <n v="1"/>
    <n v="2"/>
    <s v="Administrative Assistant"/>
    <s v="MA"/>
    <n v="2170"/>
    <d v="1985-09-16T00:00:00"/>
    <s v="F"/>
    <s v="Married"/>
    <s v="US Citizen"/>
    <s v="No"/>
    <s v="Black or African American"/>
    <d v="2015-02-16T00:00:00"/>
    <d v="2015-04-15T00:00:00"/>
    <s v="no-call, no-show"/>
    <s v="Terminated for Cause"/>
    <x v="3"/>
    <s v="Brandon R. LeBlanc"/>
    <n v="1"/>
    <s v="Indeed"/>
    <s v="Fully Meets"/>
    <n v="3.24"/>
    <n v="3"/>
    <n v="4"/>
    <s v="4/15/2015"/>
    <n v="0"/>
    <n v="6"/>
    <s v="Normal"/>
    <s v="low Outlier"/>
    <n v="40"/>
    <x v="3"/>
    <n v="0"/>
    <x v="0"/>
    <s v="36-45"/>
    <s v="Mid (40-70K)"/>
    <n v="0"/>
    <n v="2015"/>
    <n v="2"/>
    <s v="Q1"/>
    <s v="Feb"/>
    <s v="2015-02"/>
    <n v="2015"/>
    <s v="Production       "/>
    <n v="40"/>
    <n v="2"/>
    <s v="Low"/>
  </r>
  <r>
    <s v="Hudson, Jane"/>
    <n v="10248"/>
    <n v="0"/>
    <n v="0"/>
    <n v="0"/>
    <n v="1"/>
    <n v="5"/>
    <n v="3"/>
    <n v="0"/>
    <x v="132"/>
    <n v="0"/>
    <n v="19"/>
    <s v="Production Technician I"/>
    <s v="MA"/>
    <n v="2176"/>
    <d v="1986-06-10T00:00:00"/>
    <s v="F"/>
    <s v="Single"/>
    <s v="US Citizen"/>
    <s v="No"/>
    <s v="White"/>
    <d v="2012-02-20T00:00:00"/>
    <m/>
    <s v="N/A-StillEmployed"/>
    <s v="Active"/>
    <x v="0"/>
    <s v="Ketsia Liebig"/>
    <n v="19"/>
    <s v="LinkedIn"/>
    <s v="Fully Meets"/>
    <n v="4.8"/>
    <n v="4"/>
    <n v="0"/>
    <s v="1/7/2019"/>
    <n v="0"/>
    <n v="4"/>
    <s v="Normal"/>
    <s v="low Outlier"/>
    <n v="39"/>
    <x v="0"/>
    <n v="14"/>
    <x v="0"/>
    <s v="36-45"/>
    <s v="Mid (40-70K)"/>
    <n v="1"/>
    <n v="2012"/>
    <n v="2"/>
    <s v="Q1"/>
    <s v="Feb"/>
    <s v="2012-02"/>
    <s v="N/A"/>
    <s v="Production       "/>
    <n v="33.333333333333329"/>
    <n v="0"/>
    <s v="Low"/>
  </r>
  <r>
    <s v="Hunts, Julissa"/>
    <n v="10201"/>
    <n v="0"/>
    <n v="0"/>
    <n v="0"/>
    <n v="2"/>
    <n v="5"/>
    <n v="3"/>
    <n v="0"/>
    <x v="133"/>
    <n v="0"/>
    <n v="20"/>
    <s v="Production Technician II"/>
    <s v="MA"/>
    <n v="2021"/>
    <d v="1984-03-11T00:00:00"/>
    <s v="F"/>
    <s v="Single"/>
    <s v="US Citizen"/>
    <s v="No"/>
    <s v="White"/>
    <d v="2016-06-06T00:00:00"/>
    <m/>
    <s v="N/A-StillEmployed"/>
    <s v="Active"/>
    <x v="0"/>
    <s v="Elijiah Gray"/>
    <n v="16"/>
    <s v="LinkedIn"/>
    <s v="Fully Meets"/>
    <n v="3"/>
    <n v="5"/>
    <n v="0"/>
    <s v="1/18/2019"/>
    <n v="0"/>
    <n v="4"/>
    <s v="Normal"/>
    <s v="low Outlier"/>
    <n v="42"/>
    <x v="8"/>
    <n v="9"/>
    <x v="1"/>
    <s v="36-45"/>
    <s v="Mid (40-70K)"/>
    <n v="1"/>
    <n v="2016"/>
    <n v="6"/>
    <s v="Q2"/>
    <s v="Jun"/>
    <s v="2016-06"/>
    <s v="N/A"/>
    <s v="Production       "/>
    <n v="35.714285714285715"/>
    <n v="0"/>
    <s v="Low"/>
  </r>
  <r>
    <s v="Hutter, Rosalie"/>
    <n v="10214"/>
    <n v="0"/>
    <n v="3"/>
    <n v="0"/>
    <n v="2"/>
    <n v="5"/>
    <n v="3"/>
    <n v="0"/>
    <x v="134"/>
    <n v="0"/>
    <n v="20"/>
    <s v="Production Technician II"/>
    <s v="MA"/>
    <n v="2351"/>
    <d v="1992-05-07T00:00:00"/>
    <s v="F"/>
    <s v="Separated"/>
    <s v="US Citizen"/>
    <s v="No"/>
    <s v="White"/>
    <d v="2015-06-05T00:00:00"/>
    <m/>
    <s v="N/A-StillEmployed"/>
    <s v="Active"/>
    <x v="0"/>
    <s v="Webster Butler"/>
    <m/>
    <s v="Indeed"/>
    <s v="Fully Meets"/>
    <n v="4.5"/>
    <n v="3"/>
    <n v="0"/>
    <s v="2/14/2019"/>
    <n v="0"/>
    <n v="6"/>
    <s v="Normal"/>
    <s v="low Outlier"/>
    <n v="33"/>
    <x v="1"/>
    <n v="10"/>
    <x v="0"/>
    <s v="26-35"/>
    <s v="Mid (40-70K)"/>
    <n v="1"/>
    <n v="2015"/>
    <n v="6"/>
    <s v="Q2"/>
    <s v="Jun"/>
    <s v="2015-06"/>
    <s v="N/A"/>
    <s v="Production       "/>
    <n v="66.666666666666657"/>
    <n v="0"/>
    <s v="Low"/>
  </r>
  <r>
    <s v="Huynh, Ming"/>
    <n v="10160"/>
    <n v="0"/>
    <n v="2"/>
    <n v="0"/>
    <n v="5"/>
    <n v="5"/>
    <n v="3"/>
    <n v="0"/>
    <x v="135"/>
    <n v="1"/>
    <n v="20"/>
    <s v="Production Technician II"/>
    <s v="MA"/>
    <n v="1742"/>
    <d v="1976-09-22T00:00:00"/>
    <s v="F"/>
    <s v="Divorced"/>
    <s v="US Citizen"/>
    <s v="No"/>
    <s v="White"/>
    <d v="2011-02-21T00:00:00"/>
    <d v="2013-04-01T00:00:00"/>
    <s v="unhappy"/>
    <s v="Voluntarily Terminated"/>
    <x v="0"/>
    <s v="Amy Dunn"/>
    <n v="11"/>
    <s v="Google Search"/>
    <s v="Fully Meets"/>
    <n v="3.72"/>
    <n v="3"/>
    <n v="0"/>
    <s v="2/1/2013"/>
    <n v="0"/>
    <n v="18"/>
    <s v="Normal"/>
    <s v="low Outlier"/>
    <n v="49"/>
    <x v="6"/>
    <n v="2"/>
    <x v="0"/>
    <s v="46-55"/>
    <s v="Mid (40-70K)"/>
    <n v="0"/>
    <n v="2011"/>
    <n v="2"/>
    <s v="Q1"/>
    <s v="Feb"/>
    <s v="2011-02"/>
    <n v="2013"/>
    <s v="Production       "/>
    <n v="91.666666666666657"/>
    <n v="11"/>
    <s v="Medium"/>
  </r>
  <r>
    <s v="Immediato, Walter"/>
    <n v="10289"/>
    <n v="1"/>
    <n v="1"/>
    <n v="1"/>
    <n v="5"/>
    <n v="5"/>
    <n v="2"/>
    <n v="0"/>
    <x v="136"/>
    <n v="1"/>
    <n v="18"/>
    <s v="Production Manager"/>
    <s v="MA"/>
    <n v="2128"/>
    <d v="1976-11-15T00:00:00"/>
    <s v="M "/>
    <s v="Married"/>
    <s v="US Citizen"/>
    <s v="No"/>
    <s v="Asian"/>
    <d v="2011-02-21T00:00:00"/>
    <d v="2012-09-24T00:00:00"/>
    <s v="unhappy"/>
    <s v="Voluntarily Terminated"/>
    <x v="0"/>
    <s v="Janet King"/>
    <n v="2"/>
    <s v="Indeed"/>
    <s v="Needs Improvement"/>
    <n v="2.34"/>
    <n v="2"/>
    <n v="0"/>
    <s v="4/12/2012"/>
    <n v="3"/>
    <n v="4"/>
    <s v="Normal"/>
    <s v="low Outlier"/>
    <n v="49"/>
    <x v="6"/>
    <n v="1"/>
    <x v="0"/>
    <s v="46-55"/>
    <s v="Senior (70-100K)"/>
    <n v="0"/>
    <n v="2011"/>
    <n v="2"/>
    <s v="Q1"/>
    <s v="Feb"/>
    <s v="2011-02"/>
    <n v="2012"/>
    <s v="Production       "/>
    <n v="41.666666666666671"/>
    <n v="10"/>
    <s v="Medium"/>
  </r>
  <r>
    <s v="Ivey, Rose "/>
    <n v="10139"/>
    <n v="0"/>
    <n v="0"/>
    <n v="0"/>
    <n v="1"/>
    <n v="5"/>
    <n v="3"/>
    <n v="0"/>
    <x v="137"/>
    <n v="0"/>
    <n v="19"/>
    <s v="Production Technician I"/>
    <s v="MA"/>
    <n v="1775"/>
    <d v="1991-01-28T00:00:00"/>
    <s v="F"/>
    <s v="Single"/>
    <s v="US Citizen"/>
    <s v="No"/>
    <s v="White"/>
    <d v="2013-08-19T00:00:00"/>
    <m/>
    <s v="N/A-StillEmployed"/>
    <s v="Active"/>
    <x v="0"/>
    <s v="Brannon Miller"/>
    <n v="12"/>
    <s v="Indeed"/>
    <s v="Fully Meets"/>
    <n v="3.99"/>
    <n v="3"/>
    <n v="0"/>
    <s v="1/14/2019"/>
    <n v="0"/>
    <n v="14"/>
    <s v="Normal"/>
    <s v="low Outlier"/>
    <n v="35"/>
    <x v="4"/>
    <n v="12"/>
    <x v="0"/>
    <s v="26-35"/>
    <s v="Mid (40-70K)"/>
    <n v="1"/>
    <n v="2013"/>
    <n v="8"/>
    <s v="Q3"/>
    <s v="Aug"/>
    <s v="2013-08"/>
    <s v="N/A"/>
    <s v="Production       "/>
    <n v="30.76923076923077"/>
    <n v="0"/>
    <s v="Medium"/>
  </r>
  <r>
    <s v="Jackson, Maryellen"/>
    <n v="10227"/>
    <n v="0"/>
    <n v="0"/>
    <n v="0"/>
    <n v="1"/>
    <n v="5"/>
    <n v="3"/>
    <n v="0"/>
    <x v="112"/>
    <n v="0"/>
    <n v="19"/>
    <s v="Production Technician I"/>
    <s v="MA"/>
    <n v="2081"/>
    <d v="1972-09-11T00:00:00"/>
    <s v="F"/>
    <s v="Single"/>
    <s v="US Citizen"/>
    <s v="No"/>
    <s v="Black or African American"/>
    <d v="2012-11-05T00:00:00"/>
    <m/>
    <s v="N/A-StillEmployed"/>
    <s v="Active"/>
    <x v="0"/>
    <s v="David Stanley"/>
    <n v="14"/>
    <s v="LinkedIn"/>
    <s v="Fully Meets"/>
    <n v="4.0999999999999996"/>
    <n v="3"/>
    <n v="0"/>
    <s v="1/17/2019"/>
    <n v="0"/>
    <n v="7"/>
    <s v="Normal"/>
    <s v="low Outlier"/>
    <n v="53"/>
    <x v="7"/>
    <n v="13"/>
    <x v="0"/>
    <s v="46-55"/>
    <s v="Mid (40-70K)"/>
    <n v="1"/>
    <n v="2012"/>
    <n v="11"/>
    <s v="Q4"/>
    <s v="Nov"/>
    <s v="2012-11"/>
    <s v="N/A"/>
    <s v="Production       "/>
    <n v="23.076923076923077"/>
    <n v="0"/>
    <s v="Low"/>
  </r>
  <r>
    <s v="Jacobi, Hannah  "/>
    <n v="10236"/>
    <n v="0"/>
    <n v="2"/>
    <n v="0"/>
    <n v="1"/>
    <n v="5"/>
    <n v="3"/>
    <n v="0"/>
    <x v="138"/>
    <n v="0"/>
    <n v="19"/>
    <s v="Production Technician I"/>
    <s v="MA"/>
    <n v="1778"/>
    <d v="1966-03-22T00:00:00"/>
    <s v="F"/>
    <s v="Divorced"/>
    <s v="US Citizen"/>
    <s v="No"/>
    <s v="White"/>
    <d v="2013-09-30T00:00:00"/>
    <m/>
    <s v="N/A-StillEmployed"/>
    <s v="Active"/>
    <x v="0"/>
    <s v="Kissy Sullivan"/>
    <n v="20"/>
    <s v="Employee Referral"/>
    <s v="Fully Meets"/>
    <n v="4.3"/>
    <n v="5"/>
    <n v="0"/>
    <s v="2/22/2019"/>
    <n v="0"/>
    <n v="7"/>
    <s v="Normal"/>
    <s v="low Outlier"/>
    <n v="59"/>
    <x v="4"/>
    <n v="12"/>
    <x v="0"/>
    <s v="55+"/>
    <s v="Mid (40-70K)"/>
    <n v="1"/>
    <n v="2013"/>
    <n v="9"/>
    <s v="Q3"/>
    <s v="Sep"/>
    <s v="2013-09"/>
    <s v="N/A"/>
    <s v="Production       "/>
    <n v="57.142857142857139"/>
    <n v="0"/>
    <s v="Low"/>
  </r>
  <r>
    <s v="Jeannite, Tayana"/>
    <n v="10009"/>
    <n v="0"/>
    <n v="2"/>
    <n v="0"/>
    <n v="1"/>
    <n v="5"/>
    <n v="4"/>
    <n v="0"/>
    <x v="139"/>
    <n v="0"/>
    <n v="20"/>
    <s v="Production Technician II"/>
    <s v="MA"/>
    <n v="1821"/>
    <d v="1986-11-06T00:00:00"/>
    <s v="F"/>
    <s v="Divorced"/>
    <s v="US Citizen"/>
    <s v="No"/>
    <s v="American Indian or Alaska Native"/>
    <d v="2011-07-05T00:00:00"/>
    <m/>
    <s v="N/A-StillEmployed"/>
    <s v="Active"/>
    <x v="0"/>
    <s v="Ketsia Liebig"/>
    <n v="19"/>
    <s v="LinkedIn"/>
    <s v="Exceeds"/>
    <n v="4.5999999999999996"/>
    <n v="4"/>
    <n v="0"/>
    <s v="2/25/2019"/>
    <n v="0"/>
    <n v="11"/>
    <s v="Normal"/>
    <s v="low Outlier"/>
    <n v="39"/>
    <x v="0"/>
    <n v="14"/>
    <x v="0"/>
    <s v="36-45"/>
    <s v="Mid (40-70K)"/>
    <n v="1"/>
    <n v="2011"/>
    <n v="7"/>
    <s v="Q3"/>
    <s v="Jul"/>
    <s v="2011-07"/>
    <s v="N/A"/>
    <s v="Production       "/>
    <n v="36.363636363636367"/>
    <n v="0"/>
    <s v="Medium"/>
  </r>
  <r>
    <s v="Jhaveri, Sneha  "/>
    <n v="10060"/>
    <n v="0"/>
    <n v="3"/>
    <n v="0"/>
    <n v="1"/>
    <n v="5"/>
    <n v="3"/>
    <n v="0"/>
    <x v="140"/>
    <n v="0"/>
    <n v="19"/>
    <s v="Production Technician I"/>
    <s v="MA"/>
    <n v="2109"/>
    <d v="1964-04-13T00:00:00"/>
    <s v="F"/>
    <s v="Separated"/>
    <s v="US Citizen"/>
    <s v="No"/>
    <s v="White"/>
    <d v="2014-01-06T00:00:00"/>
    <m/>
    <s v="N/A-StillEmployed"/>
    <s v="Active"/>
    <x v="0"/>
    <s v="Kelley Spirea"/>
    <n v="18"/>
    <s v="LinkedIn"/>
    <s v="Fully Meets"/>
    <n v="5"/>
    <n v="5"/>
    <n v="0"/>
    <s v="1/21/2019"/>
    <n v="0"/>
    <n v="9"/>
    <s v="Normal"/>
    <s v="low Outlier"/>
    <n v="61"/>
    <x v="4"/>
    <n v="12"/>
    <x v="0"/>
    <s v="55+"/>
    <s v="Mid (40-70K)"/>
    <n v="1"/>
    <n v="2014"/>
    <n v="1"/>
    <s v="Q1"/>
    <s v="Jan"/>
    <s v="2014-01"/>
    <s v="N/A"/>
    <s v="Production       "/>
    <n v="20"/>
    <n v="0"/>
    <s v="Low"/>
  </r>
  <r>
    <s v="Johnson, George"/>
    <n v="10034"/>
    <n v="1"/>
    <n v="1"/>
    <n v="1"/>
    <n v="5"/>
    <n v="5"/>
    <n v="4"/>
    <n v="0"/>
    <x v="141"/>
    <n v="1"/>
    <n v="19"/>
    <s v="Production Technician I"/>
    <s v="MA"/>
    <n v="2445"/>
    <d v="1959-08-19T00:00:00"/>
    <s v="M "/>
    <s v="Married"/>
    <s v="US Citizen"/>
    <s v="No"/>
    <s v="White"/>
    <d v="2011-11-07T00:00:00"/>
    <d v="2018-04-29T00:00:00"/>
    <s v="more money"/>
    <s v="Voluntarily Terminated"/>
    <x v="0"/>
    <s v="Michael Albert"/>
    <n v="22"/>
    <s v="CareerBuilder"/>
    <s v="Exceeds"/>
    <n v="4.7"/>
    <n v="4"/>
    <n v="0"/>
    <s v="2/14/2018"/>
    <n v="0"/>
    <n v="9"/>
    <s v="Normal"/>
    <s v="low Outlier"/>
    <n v="66"/>
    <x v="0"/>
    <n v="6"/>
    <x v="0"/>
    <s v="55+"/>
    <s v="Mid (40-70K)"/>
    <n v="0"/>
    <n v="2011"/>
    <n v="11"/>
    <s v="Q4"/>
    <s v="Nov"/>
    <s v="2011-11"/>
    <n v="2018"/>
    <s v="Production       "/>
    <n v="50"/>
    <n v="9"/>
    <s v="Low"/>
  </r>
  <r>
    <s v="Johnson, Noelle "/>
    <n v="10156"/>
    <n v="1"/>
    <n v="1"/>
    <n v="0"/>
    <n v="3"/>
    <n v="3"/>
    <n v="3"/>
    <n v="0"/>
    <x v="142"/>
    <n v="0"/>
    <n v="8"/>
    <s v="Database Administrator"/>
    <s v="MA"/>
    <n v="2301"/>
    <d v="1986-11-07T00:00:00"/>
    <s v="F"/>
    <s v="Married"/>
    <s v="US Citizen"/>
    <s v="No"/>
    <s v="Asian"/>
    <d v="2015-01-05T00:00:00"/>
    <m/>
    <s v="N/A-StillEmployed"/>
    <s v="Active"/>
    <x v="1"/>
    <s v="Simon Roup"/>
    <n v="4"/>
    <s v="Indeed"/>
    <s v="Fully Meets"/>
    <n v="3.75"/>
    <n v="3"/>
    <n v="5"/>
    <s v="2/11/2019"/>
    <n v="0"/>
    <n v="2"/>
    <s v="Normal"/>
    <s v="low Outlier"/>
    <n v="39"/>
    <x v="3"/>
    <n v="11"/>
    <x v="0"/>
    <s v="36-45"/>
    <s v="Executive (100K+)"/>
    <n v="1"/>
    <n v="2015"/>
    <n v="1"/>
    <s v="Q1"/>
    <s v="Jan"/>
    <s v="2015-01"/>
    <s v="N/A"/>
    <s v="Production       "/>
    <n v="44.444444444444443"/>
    <n v="0"/>
    <s v="Low"/>
  </r>
  <r>
    <s v="Johnston, Yen"/>
    <n v="10036"/>
    <n v="0"/>
    <n v="0"/>
    <n v="0"/>
    <n v="1"/>
    <n v="5"/>
    <n v="4"/>
    <n v="0"/>
    <x v="143"/>
    <n v="0"/>
    <n v="20"/>
    <s v="Production Technician II"/>
    <s v="MA"/>
    <n v="2128"/>
    <d v="1969-09-08T00:00:00"/>
    <s v="F"/>
    <s v="Single"/>
    <s v="US Citizen"/>
    <s v="No"/>
    <s v="White"/>
    <d v="2014-07-07T00:00:00"/>
    <m/>
    <s v="N/A-StillEmployed"/>
    <s v="Active"/>
    <x v="0"/>
    <s v="Brannon Miller"/>
    <n v="12"/>
    <s v="LinkedIn"/>
    <s v="Exceeds"/>
    <n v="4.3"/>
    <n v="3"/>
    <n v="0"/>
    <s v="1/11/2019"/>
    <n v="0"/>
    <n v="1"/>
    <s v="Normal"/>
    <s v="low Outlier"/>
    <n v="56"/>
    <x v="3"/>
    <n v="11"/>
    <x v="0"/>
    <s v="55+"/>
    <s v="Mid (40-70K)"/>
    <n v="1"/>
    <n v="2014"/>
    <n v="7"/>
    <s v="Q3"/>
    <s v="Jul"/>
    <s v="2014-07"/>
    <s v="N/A"/>
    <s v="Production       "/>
    <n v="33.333333333333329"/>
    <n v="0"/>
    <s v="Low"/>
  </r>
  <r>
    <s v="Jung, Judy  "/>
    <n v="10138"/>
    <n v="1"/>
    <n v="1"/>
    <n v="0"/>
    <n v="5"/>
    <n v="5"/>
    <n v="3"/>
    <n v="0"/>
    <x v="144"/>
    <n v="1"/>
    <n v="19"/>
    <s v="Production Technician I"/>
    <s v="MA"/>
    <n v="2446"/>
    <d v="1986-04-17T00:00:00"/>
    <s v="F"/>
    <s v="Married"/>
    <s v="US Citizen"/>
    <s v="No"/>
    <s v="Black or African American"/>
    <d v="2011-01-10T00:00:00"/>
    <d v="2016-04-01T00:00:00"/>
    <s v="unhappy"/>
    <s v="Voluntarily Terminated"/>
    <x v="0"/>
    <s v="Elijiah Gray"/>
    <n v="16"/>
    <s v="CareerBuilder"/>
    <s v="Fully Meets"/>
    <n v="4"/>
    <n v="4"/>
    <n v="0"/>
    <s v="2/3/2016"/>
    <n v="0"/>
    <n v="4"/>
    <s v="Normal"/>
    <s v="low Outlier"/>
    <n v="39"/>
    <x v="6"/>
    <n v="5"/>
    <x v="0"/>
    <s v="36-45"/>
    <s v="Mid (40-70K)"/>
    <n v="0"/>
    <n v="2011"/>
    <n v="1"/>
    <s v="Q1"/>
    <s v="Jan"/>
    <s v="2011-01"/>
    <n v="2016"/>
    <s v="Production       "/>
    <n v="38.461538461538467"/>
    <n v="9"/>
    <s v="Low"/>
  </r>
  <r>
    <s v="Kampew, Donysha"/>
    <n v="10244"/>
    <n v="0"/>
    <n v="0"/>
    <n v="0"/>
    <n v="5"/>
    <n v="6"/>
    <n v="3"/>
    <n v="0"/>
    <x v="145"/>
    <n v="1"/>
    <n v="21"/>
    <s v="Sales Manager"/>
    <s v="PA"/>
    <n v="19444"/>
    <d v="1989-11-11T00:00:00"/>
    <s v="F"/>
    <s v="Single"/>
    <s v="US Citizen"/>
    <s v="No"/>
    <s v="White"/>
    <d v="2011-11-07T00:00:00"/>
    <d v="2014-04-24T00:00:00"/>
    <s v="maternity leave - did not return"/>
    <s v="Voluntarily Terminated"/>
    <x v="4"/>
    <s v="Debra Houlihan"/>
    <n v="15"/>
    <s v="Google Search"/>
    <s v="Fully Meets"/>
    <n v="4.5"/>
    <n v="5"/>
    <n v="0"/>
    <s v="3/30/2013"/>
    <n v="0"/>
    <n v="2"/>
    <s v="Normal"/>
    <s v="low Outlier"/>
    <n v="36"/>
    <x v="0"/>
    <n v="2"/>
    <x v="0"/>
    <s v="36-45"/>
    <s v="Mid (40-70K)"/>
    <n v="0"/>
    <n v="2011"/>
    <n v="11"/>
    <s v="Q4"/>
    <s v="Nov"/>
    <s v="2011-11"/>
    <n v="2014"/>
    <s v="Production       "/>
    <n v="50"/>
    <n v="3"/>
    <s v="Low"/>
  </r>
  <r>
    <s v="Keatts, Kramer "/>
    <n v="10192"/>
    <n v="0"/>
    <n v="0"/>
    <n v="1"/>
    <n v="1"/>
    <n v="5"/>
    <n v="3"/>
    <n v="0"/>
    <x v="146"/>
    <n v="0"/>
    <n v="19"/>
    <s v="Production Technician I"/>
    <s v="MA"/>
    <n v="1887"/>
    <d v="1976-01-19T00:00:00"/>
    <s v="M "/>
    <s v="Single"/>
    <s v="US Citizen"/>
    <s v="No"/>
    <s v="White"/>
    <d v="2013-09-30T00:00:00"/>
    <m/>
    <s v="N/A-StillEmployed"/>
    <s v="Active"/>
    <x v="0"/>
    <s v="Michael Albert"/>
    <n v="22"/>
    <s v="Indeed"/>
    <s v="Fully Meets"/>
    <n v="3.07"/>
    <n v="4"/>
    <n v="0"/>
    <s v="1/23/2019"/>
    <n v="0"/>
    <n v="10"/>
    <s v="Normal"/>
    <s v="low Outlier"/>
    <n v="50"/>
    <x v="4"/>
    <n v="12"/>
    <x v="0"/>
    <s v="46-55"/>
    <s v="Mid (40-70K)"/>
    <n v="1"/>
    <n v="2013"/>
    <n v="9"/>
    <s v="Q3"/>
    <s v="Sep"/>
    <s v="2013-09"/>
    <s v="N/A"/>
    <s v="Production       "/>
    <n v="45.454545454545453"/>
    <n v="0"/>
    <s v="Low"/>
  </r>
  <r>
    <s v="Khemmich, Bartholemew"/>
    <n v="10231"/>
    <n v="0"/>
    <n v="0"/>
    <n v="1"/>
    <n v="1"/>
    <n v="6"/>
    <n v="3"/>
    <n v="0"/>
    <x v="147"/>
    <n v="0"/>
    <n v="3"/>
    <s v="Area Sales Manager"/>
    <s v="CO"/>
    <n v="80820"/>
    <d v="1979-11-27T00:00:00"/>
    <s v="M "/>
    <s v="Single"/>
    <s v="US Citizen"/>
    <s v="No"/>
    <s v="White"/>
    <d v="2013-08-19T00:00:00"/>
    <m/>
    <s v="N/A-StillEmployed"/>
    <s v="Active"/>
    <x v="4"/>
    <s v="Lynn Daneault"/>
    <n v="21"/>
    <s v="Indeed"/>
    <s v="Fully Meets"/>
    <n v="4.3"/>
    <n v="5"/>
    <n v="0"/>
    <s v="1/22/2019"/>
    <n v="0"/>
    <n v="13"/>
    <s v="Normal"/>
    <s v="low Outlier"/>
    <n v="46"/>
    <x v="4"/>
    <n v="12"/>
    <x v="0"/>
    <s v="46-55"/>
    <s v="Mid (40-70K)"/>
    <n v="1"/>
    <n v="2013"/>
    <n v="8"/>
    <s v="Q3"/>
    <s v="Aug"/>
    <s v="2013-08"/>
    <s v="N/A"/>
    <s v="Production       "/>
    <n v="0"/>
    <n v="0"/>
    <s v="Medium"/>
  </r>
  <r>
    <s v="King, Janet"/>
    <n v="10089"/>
    <n v="1"/>
    <n v="1"/>
    <n v="0"/>
    <n v="1"/>
    <n v="2"/>
    <n v="3"/>
    <n v="0"/>
    <x v="148"/>
    <n v="0"/>
    <n v="16"/>
    <s v="President &amp; CEO"/>
    <s v="MA"/>
    <n v="1902"/>
    <d v="1954-09-21T00:00:00"/>
    <s v="F"/>
    <s v="Married"/>
    <s v="US Citizen"/>
    <s v="Yes"/>
    <s v="White"/>
    <d v="2012-07-02T00:00:00"/>
    <m/>
    <s v="N/A-StillEmployed"/>
    <s v="Active"/>
    <x v="5"/>
    <s v="Board of Directors"/>
    <n v="9"/>
    <s v="Indeed"/>
    <s v="Fully Meets"/>
    <n v="4.83"/>
    <n v="3"/>
    <n v="0"/>
    <s v="1/17/2019"/>
    <n v="0"/>
    <n v="10"/>
    <s v=" high Outlier"/>
    <s v="low Outlier"/>
    <n v="71"/>
    <x v="7"/>
    <n v="13"/>
    <x v="0"/>
    <s v="55+"/>
    <s v="Executive (100K+)"/>
    <n v="1"/>
    <n v="2012"/>
    <n v="7"/>
    <s v="Q3"/>
    <s v="Jul"/>
    <s v="2012-07"/>
    <s v="N/A"/>
    <s v="Production       "/>
    <n v="0"/>
    <n v="0"/>
    <s v="Low"/>
  </r>
  <r>
    <s v="Kinsella, Kathleen  "/>
    <n v="10166"/>
    <n v="1"/>
    <n v="1"/>
    <n v="0"/>
    <n v="5"/>
    <n v="5"/>
    <n v="3"/>
    <n v="0"/>
    <x v="149"/>
    <n v="1"/>
    <n v="19"/>
    <s v="Production Technician I"/>
    <s v="MA"/>
    <n v="2170"/>
    <d v="1973-12-08T00:00:00"/>
    <s v="F"/>
    <s v="Married"/>
    <s v="US Citizen"/>
    <s v="No"/>
    <s v="White"/>
    <d v="2011-09-26T00:00:00"/>
    <d v="2015-06-04T00:00:00"/>
    <s v="more money"/>
    <s v="Voluntarily Terminated"/>
    <x v="0"/>
    <s v="Webster Butler"/>
    <n v="39"/>
    <s v="Google Search"/>
    <s v="Fully Meets"/>
    <n v="3.6"/>
    <n v="5"/>
    <n v="0"/>
    <s v="3/1/2015"/>
    <n v="0"/>
    <n v="16"/>
    <s v="Normal"/>
    <s v="low Outlier"/>
    <n v="52"/>
    <x v="0"/>
    <n v="3"/>
    <x v="0"/>
    <s v="46-55"/>
    <s v="Mid (40-70K)"/>
    <n v="0"/>
    <n v="2011"/>
    <n v="9"/>
    <s v="Q3"/>
    <s v="Sep"/>
    <s v="2011-09"/>
    <n v="2015"/>
    <s v="Production       "/>
    <n v="72.727272727272734"/>
    <n v="8"/>
    <s v="Medium"/>
  </r>
  <r>
    <s v="Kirill, Alexandra  "/>
    <n v="10170"/>
    <n v="1"/>
    <n v="1"/>
    <n v="0"/>
    <n v="5"/>
    <n v="5"/>
    <n v="3"/>
    <n v="0"/>
    <x v="150"/>
    <n v="1"/>
    <n v="19"/>
    <s v="Production Technician I"/>
    <s v="MA"/>
    <n v="2127"/>
    <d v="1970-10-08T00:00:00"/>
    <s v="F"/>
    <s v="Married"/>
    <s v="US Citizen"/>
    <s v="No"/>
    <s v="White"/>
    <d v="2011-09-26T00:00:00"/>
    <d v="2014-01-09T00:00:00"/>
    <s v="more money"/>
    <s v="Voluntarily Terminated"/>
    <x v="0"/>
    <s v="Amy Dunn"/>
    <n v="11"/>
    <s v="Google Search"/>
    <s v="Fully Meets"/>
    <n v="3.49"/>
    <n v="4"/>
    <n v="0"/>
    <s v="1/30/2013"/>
    <n v="0"/>
    <n v="6"/>
    <s v="Normal"/>
    <s v="low Outlier"/>
    <n v="55"/>
    <x v="0"/>
    <n v="2"/>
    <x v="0"/>
    <s v="46-55"/>
    <s v="Mid (40-70K)"/>
    <n v="0"/>
    <n v="2011"/>
    <n v="9"/>
    <s v="Q3"/>
    <s v="Sep"/>
    <s v="2011-09"/>
    <n v="2014"/>
    <s v="Production       "/>
    <n v="90.909090909090907"/>
    <n v="7"/>
    <s v="Low"/>
  </r>
  <r>
    <s v="Knapp, Bradley  J"/>
    <n v="10208"/>
    <n v="0"/>
    <n v="0"/>
    <n v="1"/>
    <n v="1"/>
    <n v="5"/>
    <n v="3"/>
    <n v="0"/>
    <x v="151"/>
    <n v="0"/>
    <n v="19"/>
    <s v="Production Technician I"/>
    <s v="MA"/>
    <n v="1721"/>
    <d v="1977-11-10T00:00:00"/>
    <s v="M "/>
    <s v="Single"/>
    <s v="US Citizen"/>
    <s v="No"/>
    <s v="Black or African American"/>
    <d v="2014-02-17T00:00:00"/>
    <m/>
    <s v="N/A-StillEmployed"/>
    <s v="Active"/>
    <x v="0"/>
    <s v="Ketsia Liebig"/>
    <n v="19"/>
    <s v="LinkedIn"/>
    <s v="Fully Meets"/>
    <n v="3.1"/>
    <n v="3"/>
    <n v="0"/>
    <s v="2/6/2019"/>
    <n v="0"/>
    <n v="3"/>
    <s v="Normal"/>
    <s v="low Outlier"/>
    <n v="48"/>
    <x v="4"/>
    <n v="12"/>
    <x v="0"/>
    <s v="46-55"/>
    <s v="Mid (40-70K)"/>
    <n v="1"/>
    <n v="2014"/>
    <n v="2"/>
    <s v="Q1"/>
    <s v="Feb"/>
    <s v="2014-02"/>
    <s v="N/A"/>
    <s v="Production       "/>
    <n v="40"/>
    <n v="0"/>
    <s v="Low"/>
  </r>
  <r>
    <s v="Kretschmer, John"/>
    <n v="10176"/>
    <n v="1"/>
    <n v="1"/>
    <n v="1"/>
    <n v="1"/>
    <n v="5"/>
    <n v="3"/>
    <n v="0"/>
    <x v="152"/>
    <n v="0"/>
    <n v="19"/>
    <s v="Production Technician I"/>
    <s v="MA"/>
    <n v="1801"/>
    <d v="1980-02-02T00:00:00"/>
    <s v="M "/>
    <s v="Married"/>
    <s v="US Citizen"/>
    <s v="No"/>
    <s v="Asian"/>
    <d v="2011-01-10T00:00:00"/>
    <m/>
    <s v="N/A-StillEmployed"/>
    <s v="Active"/>
    <x v="0"/>
    <s v="Brannon Miller"/>
    <n v="12"/>
    <s v="Indeed"/>
    <s v="Fully Meets"/>
    <n v="3.38"/>
    <n v="3"/>
    <n v="0"/>
    <s v="1/21/2019"/>
    <n v="0"/>
    <n v="17"/>
    <s v="Normal"/>
    <s v="low Outlier"/>
    <n v="46"/>
    <x v="6"/>
    <n v="15"/>
    <x v="0"/>
    <s v="46-55"/>
    <s v="Mid (40-70K)"/>
    <n v="1"/>
    <n v="2011"/>
    <n v="1"/>
    <s v="Q1"/>
    <s v="Jan"/>
    <s v="2011-01"/>
    <s v="N/A"/>
    <s v="Production       "/>
    <n v="36.363636363636367"/>
    <n v="0"/>
    <s v="Medium"/>
  </r>
  <r>
    <s v="Kreuger, Freddy"/>
    <n v="10165"/>
    <n v="0"/>
    <n v="0"/>
    <n v="1"/>
    <n v="1"/>
    <n v="6"/>
    <n v="3"/>
    <n v="1"/>
    <x v="153"/>
    <n v="0"/>
    <n v="3"/>
    <s v="Area Sales Manager"/>
    <s v="NY"/>
    <n v="10171"/>
    <d v="1969-02-24T00:00:00"/>
    <s v="M "/>
    <s v="Single"/>
    <s v="US Citizen"/>
    <s v="Yes"/>
    <s v="Black or African American"/>
    <d v="2011-03-07T00:00:00"/>
    <m/>
    <s v="N/A-StillEmployed"/>
    <s v="Active"/>
    <x v="4"/>
    <s v="John Smith"/>
    <n v="17"/>
    <s v="Diversity Job Fair"/>
    <s v="Fully Meets"/>
    <n v="3.65"/>
    <n v="5"/>
    <n v="0"/>
    <s v="1/17/2019"/>
    <n v="0"/>
    <n v="20"/>
    <s v="Normal"/>
    <s v="low Outlier"/>
    <n v="57"/>
    <x v="6"/>
    <n v="15"/>
    <x v="0"/>
    <s v="55+"/>
    <s v="Senior (70-100K)"/>
    <n v="1"/>
    <n v="2011"/>
    <n v="3"/>
    <s v="Q1"/>
    <s v="Mar"/>
    <s v="2011-03"/>
    <s v="N/A"/>
    <s v="Production       "/>
    <n v="0"/>
    <n v="0"/>
    <s v="Medium"/>
  </r>
  <r>
    <s v="Lajiri,  Jyoti"/>
    <n v="10113"/>
    <n v="1"/>
    <n v="1"/>
    <n v="1"/>
    <n v="3"/>
    <n v="3"/>
    <n v="3"/>
    <n v="0"/>
    <x v="154"/>
    <n v="0"/>
    <n v="28"/>
    <s v="Sr. Network Engineer"/>
    <s v="MA"/>
    <n v="2169"/>
    <d v="1986-04-23T00:00:00"/>
    <s v="M "/>
    <s v="Married"/>
    <s v="US Citizen"/>
    <s v="No"/>
    <s v="White"/>
    <d v="2014-11-10T00:00:00"/>
    <m/>
    <s v="N/A-StillEmployed"/>
    <s v="Active"/>
    <x v="1"/>
    <s v="Peter Monroe"/>
    <n v="7"/>
    <s v="Employee Referral"/>
    <s v="Fully Meets"/>
    <n v="4.46"/>
    <n v="5"/>
    <n v="6"/>
    <s v="1/7/2019"/>
    <n v="0"/>
    <n v="7"/>
    <s v="Normal"/>
    <s v="low Outlier"/>
    <n v="39"/>
    <x v="3"/>
    <n v="11"/>
    <x v="0"/>
    <s v="36-45"/>
    <s v="Senior (70-100K)"/>
    <n v="1"/>
    <n v="2014"/>
    <n v="11"/>
    <s v="Q4"/>
    <s v="Nov"/>
    <s v="2014-11"/>
    <s v="N/A"/>
    <s v="Production       "/>
    <n v="14.285714285714285"/>
    <n v="0"/>
    <s v="Low"/>
  </r>
  <r>
    <s v="Landa, Hans"/>
    <n v="10092"/>
    <n v="1"/>
    <n v="1"/>
    <n v="1"/>
    <n v="4"/>
    <n v="5"/>
    <n v="3"/>
    <n v="0"/>
    <x v="155"/>
    <n v="1"/>
    <n v="18"/>
    <s v="Production Manager"/>
    <s v="MA"/>
    <n v="1890"/>
    <d v="1972-07-01T00:00:00"/>
    <s v="M "/>
    <s v="Married"/>
    <s v="US Citizen"/>
    <s v="No"/>
    <s v="White"/>
    <d v="2011-01-10T00:00:00"/>
    <d v="2015-12-12T00:00:00"/>
    <s v="attendance"/>
    <s v="Terminated for Cause"/>
    <x v="0"/>
    <s v="Janet King"/>
    <n v="2"/>
    <s v="Employee Referral"/>
    <s v="Fully Meets"/>
    <n v="4.78"/>
    <n v="4"/>
    <n v="0"/>
    <s v="2/15/2015"/>
    <n v="0"/>
    <n v="9"/>
    <s v="Normal"/>
    <s v="low Outlier"/>
    <n v="53"/>
    <x v="6"/>
    <n v="4"/>
    <x v="0"/>
    <s v="46-55"/>
    <s v="Senior (70-100K)"/>
    <n v="0"/>
    <n v="2011"/>
    <n v="1"/>
    <s v="Q1"/>
    <s v="Jan"/>
    <s v="2011-01"/>
    <n v="2015"/>
    <s v="Production       "/>
    <n v="36.363636363636367"/>
    <n v="3"/>
    <s v="Low"/>
  </r>
  <r>
    <s v="Langford, Lindsey"/>
    <n v="10106"/>
    <n v="0"/>
    <n v="2"/>
    <n v="0"/>
    <n v="5"/>
    <n v="5"/>
    <n v="3"/>
    <n v="0"/>
    <x v="156"/>
    <n v="1"/>
    <n v="20"/>
    <s v="Production Technician II"/>
    <s v="MA"/>
    <n v="2090"/>
    <d v="1979-07-25T00:00:00"/>
    <s v="F"/>
    <s v="Divorced"/>
    <s v="US Citizen"/>
    <s v="No"/>
    <s v="Asian"/>
    <d v="2013-01-07T00:00:00"/>
    <d v="2014-03-31T00:00:00"/>
    <s v="Another position"/>
    <s v="Voluntarily Terminated"/>
    <x v="0"/>
    <s v="David Stanley"/>
    <n v="14"/>
    <s v="Indeed"/>
    <s v="Fully Meets"/>
    <n v="4.5199999999999996"/>
    <n v="3"/>
    <n v="0"/>
    <s v="2/20/2014"/>
    <n v="0"/>
    <n v="20"/>
    <s v="Normal"/>
    <s v="low Outlier"/>
    <n v="46"/>
    <x v="7"/>
    <n v="1"/>
    <x v="0"/>
    <s v="46-55"/>
    <s v="Mid (40-70K)"/>
    <n v="0"/>
    <n v="2013"/>
    <n v="1"/>
    <s v="Q1"/>
    <s v="Jan"/>
    <s v="2013-01"/>
    <n v="2014"/>
    <s v="Production       "/>
    <n v="25"/>
    <n v="16"/>
    <s v="Medium"/>
  </r>
  <r>
    <s v="Langton, Enrico"/>
    <n v="10052"/>
    <n v="1"/>
    <n v="1"/>
    <n v="1"/>
    <n v="1"/>
    <n v="5"/>
    <n v="3"/>
    <n v="0"/>
    <x v="157"/>
    <n v="0"/>
    <n v="19"/>
    <s v="Production Technician I"/>
    <s v="MA"/>
    <n v="2048"/>
    <d v="1986-12-09T00:00:00"/>
    <s v="M "/>
    <s v="Married"/>
    <s v="US Citizen"/>
    <s v="No"/>
    <s v="White"/>
    <d v="2012-07-09T00:00:00"/>
    <m/>
    <s v="N/A-StillEmployed"/>
    <s v="Active"/>
    <x v="0"/>
    <s v="David Stanley"/>
    <n v="14"/>
    <s v="LinkedIn"/>
    <s v="Fully Meets"/>
    <n v="5"/>
    <n v="5"/>
    <n v="0"/>
    <s v="2/4/2019"/>
    <n v="0"/>
    <n v="13"/>
    <s v="Normal"/>
    <s v="low Outlier"/>
    <n v="39"/>
    <x v="7"/>
    <n v="13"/>
    <x v="0"/>
    <s v="36-45"/>
    <s v="Mid (40-70K)"/>
    <n v="1"/>
    <n v="2012"/>
    <n v="7"/>
    <s v="Q3"/>
    <s v="Jul"/>
    <s v="2012-07"/>
    <s v="N/A"/>
    <s v="Production       "/>
    <n v="18.181818181818183"/>
    <n v="0"/>
    <s v="Medium"/>
  </r>
  <r>
    <s v="LaRotonda, William  "/>
    <n v="10038"/>
    <n v="0"/>
    <n v="2"/>
    <n v="1"/>
    <n v="1"/>
    <n v="1"/>
    <n v="3"/>
    <n v="0"/>
    <x v="158"/>
    <n v="0"/>
    <n v="1"/>
    <s v="Accountant I"/>
    <s v="MA"/>
    <n v="1460"/>
    <d v="1984-04-26T00:00:00"/>
    <s v="M "/>
    <s v="Divorced"/>
    <s v="US Citizen"/>
    <s v="No"/>
    <s v="Black or African American"/>
    <d v="2014-01-06T00:00:00"/>
    <m/>
    <s v="N/A-StillEmployed"/>
    <s v="Active"/>
    <x v="3"/>
    <s v="Brandon R. LeBlanc"/>
    <n v="1"/>
    <s v="Website"/>
    <s v="Fully Meets"/>
    <n v="5"/>
    <n v="4"/>
    <n v="4"/>
    <s v="1/17/2019"/>
    <n v="0"/>
    <n v="3"/>
    <s v="Normal"/>
    <s v="low Outlier"/>
    <n v="41"/>
    <x v="4"/>
    <n v="12"/>
    <x v="0"/>
    <s v="36-45"/>
    <s v="Mid (40-70K)"/>
    <n v="1"/>
    <n v="2014"/>
    <n v="1"/>
    <s v="Q1"/>
    <s v="Jan"/>
    <s v="2014-01"/>
    <s v="N/A"/>
    <s v="Production       "/>
    <n v="25"/>
    <n v="0"/>
    <s v="Low"/>
  </r>
  <r>
    <s v="Latif, Mohammed"/>
    <n v="10249"/>
    <n v="1"/>
    <n v="1"/>
    <n v="1"/>
    <n v="5"/>
    <n v="5"/>
    <n v="3"/>
    <n v="0"/>
    <x v="159"/>
    <n v="1"/>
    <n v="20"/>
    <s v="Production Technician II"/>
    <s v="MA"/>
    <n v="2126"/>
    <d v="1984-05-09T00:00:00"/>
    <s v="M "/>
    <s v="Married"/>
    <s v="US Citizen"/>
    <s v="No"/>
    <s v="White"/>
    <d v="2012-04-02T00:00:00"/>
    <d v="2013-04-15T00:00:00"/>
    <s v="more money"/>
    <s v="Voluntarily Terminated"/>
    <x v="0"/>
    <s v="Kissy Sullivan"/>
    <n v="20"/>
    <s v="Google Search"/>
    <s v="Fully Meets"/>
    <n v="4.9000000000000004"/>
    <n v="3"/>
    <n v="0"/>
    <s v="2/20/2013"/>
    <n v="0"/>
    <n v="20"/>
    <s v="Normal"/>
    <s v="low Outlier"/>
    <n v="41"/>
    <x v="7"/>
    <n v="1"/>
    <x v="0"/>
    <s v="36-45"/>
    <s v="Mid (40-70K)"/>
    <n v="0"/>
    <n v="2012"/>
    <n v="4"/>
    <s v="Q2"/>
    <s v="Apr"/>
    <s v="2012-04"/>
    <n v="2013"/>
    <s v="Production       "/>
    <n v="61.53846153846154"/>
    <n v="6"/>
    <s v="Medium"/>
  </r>
  <r>
    <s v="Le, Binh"/>
    <n v="10232"/>
    <n v="0"/>
    <n v="0"/>
    <n v="0"/>
    <n v="1"/>
    <n v="3"/>
    <n v="3"/>
    <n v="0"/>
    <x v="160"/>
    <n v="0"/>
    <n v="22"/>
    <s v="Senior BI Developer"/>
    <s v="MA"/>
    <n v="1886"/>
    <d v="1987-06-14T00:00:00"/>
    <s v="F"/>
    <s v="Single"/>
    <s v="US Citizen"/>
    <s v="No"/>
    <s v="Asian"/>
    <d v="2016-10-02T00:00:00"/>
    <m/>
    <s v="N/A-StillEmployed"/>
    <s v="Active"/>
    <x v="1"/>
    <s v="Brian Champaigne"/>
    <n v="13"/>
    <s v="Indeed"/>
    <s v="Fully Meets"/>
    <n v="4.0999999999999996"/>
    <n v="5"/>
    <n v="7"/>
    <s v="1/8/2019"/>
    <n v="0"/>
    <n v="2"/>
    <s v="Normal"/>
    <s v="low Outlier"/>
    <n v="38"/>
    <x v="8"/>
    <n v="9"/>
    <x v="1"/>
    <s v="36-45"/>
    <s v="Senior (70-100K)"/>
    <n v="1"/>
    <n v="2016"/>
    <n v="10"/>
    <s v="Q4"/>
    <s v="Oct"/>
    <s v="2016-10"/>
    <s v="N/A"/>
    <s v="Production       "/>
    <n v="0"/>
    <n v="0"/>
    <s v="Low"/>
  </r>
  <r>
    <s v="Leach, Dallas"/>
    <n v="10087"/>
    <n v="0"/>
    <n v="0"/>
    <n v="0"/>
    <n v="5"/>
    <n v="5"/>
    <n v="3"/>
    <n v="0"/>
    <x v="161"/>
    <n v="1"/>
    <n v="19"/>
    <s v="Production Technician I"/>
    <s v="MA"/>
    <n v="1810"/>
    <d v="1979-01-17T00:00:00"/>
    <s v="F"/>
    <s v="Single"/>
    <s v="US Citizen"/>
    <s v="No"/>
    <s v="Asian"/>
    <d v="2011-09-26T00:00:00"/>
    <d v="2018-08-19T00:00:00"/>
    <s v="return to school"/>
    <s v="Voluntarily Terminated"/>
    <x v="0"/>
    <s v="Kissy Sullivan"/>
    <n v="20"/>
    <s v="CareerBuilder"/>
    <s v="Fully Meets"/>
    <n v="4.88"/>
    <n v="3"/>
    <n v="0"/>
    <s v="7/2/2017"/>
    <n v="0"/>
    <n v="17"/>
    <s v="Normal"/>
    <s v="low Outlier"/>
    <n v="47"/>
    <x v="0"/>
    <n v="6"/>
    <x v="0"/>
    <s v="46-55"/>
    <s v="Mid (40-70K)"/>
    <n v="0"/>
    <n v="2011"/>
    <n v="9"/>
    <s v="Q3"/>
    <s v="Sep"/>
    <s v="2011-09"/>
    <n v="2018"/>
    <s v="Production       "/>
    <n v="58.333333333333336"/>
    <n v="4"/>
    <s v="Medium"/>
  </r>
  <r>
    <s v="LeBlanc, Brandon  R"/>
    <n v="10134"/>
    <n v="1"/>
    <n v="1"/>
    <n v="1"/>
    <n v="1"/>
    <n v="1"/>
    <n v="3"/>
    <n v="0"/>
    <x v="162"/>
    <n v="0"/>
    <n v="23"/>
    <s v="Shared Services Manager"/>
    <s v="MA"/>
    <n v="1460"/>
    <d v="1984-06-10T00:00:00"/>
    <s v="M "/>
    <s v="Married"/>
    <s v="US Citizen"/>
    <s v="No"/>
    <s v="White"/>
    <d v="2016-01-05T00:00:00"/>
    <m/>
    <s v="N/A-StillEmployed"/>
    <s v="Active"/>
    <x v="3"/>
    <s v="Janet King"/>
    <n v="2"/>
    <s v="CareerBuilder"/>
    <s v="Fully Meets"/>
    <n v="4.0999999999999996"/>
    <n v="4"/>
    <n v="0"/>
    <s v="1/28/2019"/>
    <n v="0"/>
    <n v="20"/>
    <s v="Normal"/>
    <s v="low Outlier"/>
    <n v="41"/>
    <x v="1"/>
    <n v="10"/>
    <x v="0"/>
    <s v="36-45"/>
    <s v="Senior (70-100K)"/>
    <n v="1"/>
    <n v="2016"/>
    <n v="1"/>
    <s v="Q1"/>
    <s v="Jan"/>
    <s v="2016-01"/>
    <s v="N/A"/>
    <s v="Production       "/>
    <n v="30"/>
    <n v="0"/>
    <s v="Medium"/>
  </r>
  <r>
    <s v="Lecter, Hannibal"/>
    <n v="10251"/>
    <n v="1"/>
    <n v="1"/>
    <n v="1"/>
    <n v="1"/>
    <n v="5"/>
    <n v="3"/>
    <n v="0"/>
    <x v="163"/>
    <n v="0"/>
    <n v="19"/>
    <s v="Production Technician I"/>
    <s v="MA"/>
    <n v="1776"/>
    <d v="1982-09-02T00:00:00"/>
    <s v="M "/>
    <s v="Married"/>
    <s v="US Citizen"/>
    <s v="No"/>
    <s v="Asian"/>
    <d v="2012-05-14T00:00:00"/>
    <m/>
    <s v="N/A-StillEmployed"/>
    <s v="Active"/>
    <x v="0"/>
    <s v="Elijiah Gray"/>
    <n v="16"/>
    <s v="Google Search"/>
    <s v="Fully Meets"/>
    <n v="4.0999999999999996"/>
    <n v="3"/>
    <n v="0"/>
    <s v="2/22/2019"/>
    <n v="0"/>
    <n v="10"/>
    <s v="Normal"/>
    <s v="low Outlier"/>
    <n v="43"/>
    <x v="7"/>
    <n v="13"/>
    <x v="0"/>
    <s v="36-45"/>
    <s v="Mid (40-70K)"/>
    <n v="1"/>
    <n v="2012"/>
    <n v="5"/>
    <s v="Q2"/>
    <s v="May"/>
    <s v="2012-05"/>
    <s v="N/A"/>
    <s v="Production       "/>
    <n v="33.333333333333329"/>
    <n v="0"/>
    <s v="Low"/>
  </r>
  <r>
    <s v="Leruth, Giovanni"/>
    <n v="10103"/>
    <n v="0"/>
    <n v="3"/>
    <n v="1"/>
    <n v="1"/>
    <n v="6"/>
    <n v="3"/>
    <n v="0"/>
    <x v="164"/>
    <n v="0"/>
    <n v="3"/>
    <s v="Area Sales Manager"/>
    <s v="UT"/>
    <n v="84111"/>
    <d v="1988-12-27T00:00:00"/>
    <s v="M "/>
    <s v="Separated"/>
    <s v="US Citizen"/>
    <s v="No"/>
    <s v="Black or African American"/>
    <d v="2012-04-30T00:00:00"/>
    <m/>
    <s v="N/A-StillEmployed"/>
    <s v="Active"/>
    <x v="4"/>
    <s v="John Smith"/>
    <n v="17"/>
    <s v="Website"/>
    <s v="Fully Meets"/>
    <n v="4.53"/>
    <n v="3"/>
    <n v="0"/>
    <s v="1/29/2019"/>
    <n v="0"/>
    <n v="16"/>
    <s v="Normal"/>
    <s v="low Outlier"/>
    <n v="37"/>
    <x v="7"/>
    <n v="13"/>
    <x v="0"/>
    <s v="36-45"/>
    <s v="Senior (70-100K)"/>
    <n v="1"/>
    <n v="2012"/>
    <n v="4"/>
    <s v="Q2"/>
    <s v="Apr"/>
    <s v="2012-04"/>
    <s v="N/A"/>
    <s v="Production       "/>
    <n v="0"/>
    <n v="0"/>
    <s v="Medium"/>
  </r>
  <r>
    <s v="Liebig, Ketsia"/>
    <n v="10017"/>
    <n v="1"/>
    <n v="1"/>
    <n v="0"/>
    <n v="1"/>
    <n v="5"/>
    <n v="4"/>
    <n v="0"/>
    <x v="165"/>
    <n v="0"/>
    <n v="18"/>
    <s v="Production Manager"/>
    <s v="MA"/>
    <n v="2110"/>
    <d v="1981-10-26T00:00:00"/>
    <s v="F"/>
    <s v="Married"/>
    <s v="US Citizen"/>
    <s v="No"/>
    <s v="White"/>
    <d v="2013-09-30T00:00:00"/>
    <m/>
    <s v="N/A-StillEmployed"/>
    <s v="Active"/>
    <x v="0"/>
    <s v="Janet King"/>
    <n v="2"/>
    <s v="Website"/>
    <s v="Exceeds"/>
    <n v="4.0999999999999996"/>
    <n v="3"/>
    <n v="0"/>
    <s v="1/21/2019"/>
    <n v="0"/>
    <n v="11"/>
    <s v="Normal"/>
    <s v="low Outlier"/>
    <n v="44"/>
    <x v="4"/>
    <n v="12"/>
    <x v="0"/>
    <s v="36-45"/>
    <s v="Senior (70-100K)"/>
    <n v="1"/>
    <n v="2013"/>
    <n v="9"/>
    <s v="Q3"/>
    <s v="Sep"/>
    <s v="2013-09"/>
    <s v="N/A"/>
    <s v="Production       "/>
    <n v="33.333333333333329"/>
    <n v="0"/>
    <s v="Medium"/>
  </r>
  <r>
    <s v="Linares, Marilyn "/>
    <n v="10186"/>
    <n v="1"/>
    <n v="1"/>
    <n v="0"/>
    <n v="5"/>
    <n v="5"/>
    <n v="3"/>
    <n v="0"/>
    <x v="166"/>
    <n v="1"/>
    <n v="19"/>
    <s v="Production Technician I"/>
    <s v="MA"/>
    <n v="1886"/>
    <d v="1981-03-26T00:00:00"/>
    <s v="F"/>
    <s v="Married"/>
    <s v="US Citizen"/>
    <s v="No"/>
    <s v="White"/>
    <d v="2011-07-05T00:00:00"/>
    <d v="2018-09-26T00:00:00"/>
    <s v="unhappy"/>
    <s v="Voluntarily Terminated"/>
    <x v="0"/>
    <s v="Michael Albert"/>
    <n v="22"/>
    <s v="Indeed"/>
    <s v="Fully Meets"/>
    <n v="3.18"/>
    <n v="4"/>
    <n v="0"/>
    <s v="3/2/2018"/>
    <n v="0"/>
    <n v="16"/>
    <s v="Normal"/>
    <s v="low Outlier"/>
    <n v="44"/>
    <x v="0"/>
    <n v="7"/>
    <x v="0"/>
    <s v="36-45"/>
    <s v="Mid (40-70K)"/>
    <n v="0"/>
    <n v="2011"/>
    <n v="7"/>
    <s v="Q3"/>
    <s v="Jul"/>
    <s v="2011-07"/>
    <n v="2018"/>
    <s v="Production       "/>
    <n v="50"/>
    <n v="8"/>
    <s v="Medium"/>
  </r>
  <r>
    <s v="Linden, Mathew"/>
    <n v="10137"/>
    <n v="1"/>
    <n v="1"/>
    <n v="1"/>
    <n v="3"/>
    <n v="5"/>
    <n v="3"/>
    <n v="0"/>
    <x v="167"/>
    <n v="0"/>
    <n v="20"/>
    <s v="Production Technician II"/>
    <s v="MA"/>
    <n v="1770"/>
    <d v="1979-03-19T00:00:00"/>
    <s v="M "/>
    <s v="Married"/>
    <s v="US Citizen"/>
    <s v="No"/>
    <s v="White"/>
    <d v="2013-07-08T00:00:00"/>
    <m/>
    <s v="N/A-StillEmployed"/>
    <s v="Active"/>
    <x v="0"/>
    <s v="Kelley Spirea"/>
    <n v="18"/>
    <s v="LinkedIn"/>
    <s v="Fully Meets"/>
    <n v="4"/>
    <n v="3"/>
    <n v="0"/>
    <s v="2/18/2019"/>
    <n v="0"/>
    <n v="7"/>
    <s v="Normal"/>
    <s v="low Outlier"/>
    <n v="46"/>
    <x v="4"/>
    <n v="12"/>
    <x v="0"/>
    <s v="46-55"/>
    <s v="Mid (40-70K)"/>
    <n v="1"/>
    <n v="2013"/>
    <n v="7"/>
    <s v="Q3"/>
    <s v="Jul"/>
    <s v="2013-07"/>
    <s v="N/A"/>
    <s v="Production       "/>
    <n v="22.222222222222221"/>
    <n v="0"/>
    <s v="Low"/>
  </r>
  <r>
    <s v="Lindsay, Leonara "/>
    <n v="10008"/>
    <n v="0"/>
    <n v="0"/>
    <n v="0"/>
    <n v="1"/>
    <n v="3"/>
    <n v="4"/>
    <n v="1"/>
    <x v="168"/>
    <n v="0"/>
    <n v="14"/>
    <s v="IT Support"/>
    <s v="CT"/>
    <n v="6070"/>
    <d v="1988-10-05T00:00:00"/>
    <s v="F"/>
    <s v="Single"/>
    <s v="US Citizen"/>
    <s v="Yes"/>
    <s v="Black or African American"/>
    <d v="2011-01-21T00:00:00"/>
    <m/>
    <s v="N/A-StillEmployed"/>
    <s v="Active"/>
    <x v="1"/>
    <s v="Eric Dougall"/>
    <n v="6"/>
    <s v="Diversity Job Fair"/>
    <s v="Exceeds"/>
    <n v="4.6399999999999997"/>
    <n v="4"/>
    <n v="5"/>
    <s v="1/25/2019"/>
    <n v="0"/>
    <n v="14"/>
    <s v="Normal"/>
    <s v="low Outlier"/>
    <n v="37"/>
    <x v="6"/>
    <n v="15"/>
    <x v="0"/>
    <s v="36-45"/>
    <s v="Mid (40-70K)"/>
    <n v="1"/>
    <n v="2011"/>
    <n v="1"/>
    <s v="Q1"/>
    <s v="Jan"/>
    <s v="2011-01"/>
    <s v="N/A"/>
    <s v="Production       "/>
    <n v="0"/>
    <n v="0"/>
    <s v="Low"/>
  </r>
  <r>
    <s v="Lundy, Susan"/>
    <n v="10096"/>
    <n v="0"/>
    <n v="4"/>
    <n v="0"/>
    <n v="5"/>
    <n v="5"/>
    <n v="3"/>
    <n v="0"/>
    <x v="169"/>
    <n v="1"/>
    <n v="20"/>
    <s v="Production Technician II"/>
    <s v="MA"/>
    <n v="2122"/>
    <d v="1976-12-26T00:00:00"/>
    <s v="F"/>
    <s v="Widowed"/>
    <s v="US Citizen"/>
    <s v="No"/>
    <s v="White"/>
    <d v="2013-07-08T00:00:00"/>
    <d v="2016-09-15T00:00:00"/>
    <s v="more money"/>
    <s v="Voluntarily Terminated"/>
    <x v="0"/>
    <s v="Michael Albert"/>
    <n v="22"/>
    <s v="LinkedIn"/>
    <s v="Fully Meets"/>
    <n v="4.6500000000000004"/>
    <n v="4"/>
    <n v="0"/>
    <s v="6/10/2016"/>
    <n v="0"/>
    <n v="15"/>
    <s v="Normal"/>
    <s v="low Outlier"/>
    <n v="49"/>
    <x v="4"/>
    <n v="3"/>
    <x v="0"/>
    <s v="46-55"/>
    <s v="Mid (40-70K)"/>
    <n v="0"/>
    <n v="2013"/>
    <n v="7"/>
    <s v="Q3"/>
    <s v="Jul"/>
    <s v="2013-07"/>
    <n v="2016"/>
    <s v="Production       "/>
    <n v="44.444444444444443"/>
    <n v="5"/>
    <s v="Medium"/>
  </r>
  <r>
    <s v="Lunquist, Lisa"/>
    <n v="10035"/>
    <n v="0"/>
    <n v="0"/>
    <n v="0"/>
    <n v="1"/>
    <n v="5"/>
    <n v="4"/>
    <n v="0"/>
    <x v="170"/>
    <n v="0"/>
    <n v="20"/>
    <s v="Production Technician II"/>
    <s v="MA"/>
    <n v="2324"/>
    <d v="1982-03-28T00:00:00"/>
    <s v="F"/>
    <s v="Single"/>
    <s v="US Citizen"/>
    <s v="No"/>
    <s v="Black or African American"/>
    <d v="2013-08-19T00:00:00"/>
    <m/>
    <s v="N/A-StillEmployed"/>
    <s v="Active"/>
    <x v="0"/>
    <s v="Elijiah Gray"/>
    <n v="16"/>
    <s v="Indeed"/>
    <s v="Exceeds"/>
    <n v="4.2"/>
    <n v="4"/>
    <n v="0"/>
    <s v="2/12/2019"/>
    <n v="0"/>
    <n v="19"/>
    <s v="Normal"/>
    <s v="low Outlier"/>
    <n v="43"/>
    <x v="4"/>
    <n v="12"/>
    <x v="0"/>
    <s v="36-45"/>
    <s v="Senior (70-100K)"/>
    <n v="1"/>
    <n v="2013"/>
    <n v="8"/>
    <s v="Q3"/>
    <s v="Aug"/>
    <s v="2013-08"/>
    <s v="N/A"/>
    <s v="Production       "/>
    <n v="36.363636363636367"/>
    <n v="0"/>
    <s v="Medium"/>
  </r>
  <r>
    <s v="Lydon, Allison"/>
    <n v="10057"/>
    <n v="1"/>
    <n v="1"/>
    <n v="0"/>
    <n v="3"/>
    <n v="5"/>
    <n v="3"/>
    <n v="0"/>
    <x v="171"/>
    <n v="0"/>
    <n v="19"/>
    <s v="Production Technician I"/>
    <s v="MA"/>
    <n v="2122"/>
    <d v="1975-10-22T00:00:00"/>
    <s v="F"/>
    <s v="Married"/>
    <s v="US Citizen"/>
    <s v="No"/>
    <s v="Black or African American"/>
    <d v="2015-02-16T00:00:00"/>
    <m/>
    <s v="N/A-StillEmployed"/>
    <s v="Active"/>
    <x v="0"/>
    <s v="Elijiah Gray"/>
    <n v="16"/>
    <s v="Website"/>
    <s v="Fully Meets"/>
    <n v="5"/>
    <n v="3"/>
    <n v="0"/>
    <s v="1/23/2019"/>
    <n v="0"/>
    <n v="6"/>
    <s v="Normal"/>
    <s v="low Outlier"/>
    <n v="50"/>
    <x v="3"/>
    <n v="11"/>
    <x v="0"/>
    <s v="46-55"/>
    <s v="Mid (40-70K)"/>
    <n v="1"/>
    <n v="2015"/>
    <n v="2"/>
    <s v="Q1"/>
    <s v="Feb"/>
    <s v="2015-02"/>
    <s v="N/A"/>
    <s v="Production       "/>
    <n v="40"/>
    <n v="0"/>
    <s v="Low"/>
  </r>
  <r>
    <s v="Lynch, Lindsay"/>
    <n v="10004"/>
    <n v="0"/>
    <n v="0"/>
    <n v="0"/>
    <n v="5"/>
    <n v="5"/>
    <n v="4"/>
    <n v="1"/>
    <x v="172"/>
    <n v="1"/>
    <n v="19"/>
    <s v="Production Technician I"/>
    <s v="MA"/>
    <n v="1844"/>
    <d v="1973-02-14T00:00:00"/>
    <s v="F"/>
    <s v="Single"/>
    <s v="US Citizen"/>
    <s v="Yes"/>
    <s v="Black or African American"/>
    <d v="2011-11-07T00:00:00"/>
    <d v="2015-11-14T00:00:00"/>
    <s v="Another position"/>
    <s v="Voluntarily Terminated"/>
    <x v="0"/>
    <s v="Webster Butler"/>
    <n v="39"/>
    <s v="Diversity Job Fair"/>
    <s v="Exceeds"/>
    <n v="5"/>
    <n v="4"/>
    <n v="0"/>
    <s v="2/2/2015"/>
    <n v="0"/>
    <n v="17"/>
    <s v="Normal"/>
    <s v="low Outlier"/>
    <n v="53"/>
    <x v="0"/>
    <n v="4"/>
    <x v="0"/>
    <s v="46-55"/>
    <s v="Mid (40-70K)"/>
    <n v="0"/>
    <n v="2011"/>
    <n v="11"/>
    <s v="Q4"/>
    <s v="Nov"/>
    <s v="2011-11"/>
    <n v="2015"/>
    <s v="Production       "/>
    <n v="70"/>
    <n v="15"/>
    <s v="Medium"/>
  </r>
  <r>
    <s v="MacLennan, Samuel"/>
    <n v="10191"/>
    <n v="0"/>
    <n v="4"/>
    <n v="1"/>
    <n v="5"/>
    <n v="5"/>
    <n v="3"/>
    <n v="0"/>
    <x v="173"/>
    <n v="1"/>
    <n v="19"/>
    <s v="Production Technician I"/>
    <s v="MA"/>
    <n v="1938"/>
    <d v="1972-11-09T00:00:00"/>
    <s v="M "/>
    <s v="Widowed"/>
    <s v="US Citizen"/>
    <s v="No"/>
    <s v="White"/>
    <d v="2012-09-24T00:00:00"/>
    <d v="2017-09-26T00:00:00"/>
    <s v="hours"/>
    <s v="Voluntarily Terminated"/>
    <x v="0"/>
    <s v="Amy Dunn"/>
    <n v="11"/>
    <s v="Indeed"/>
    <s v="Fully Meets"/>
    <n v="3.08"/>
    <n v="4"/>
    <n v="0"/>
    <s v="4/1/2017"/>
    <n v="0"/>
    <n v="18"/>
    <s v="Normal"/>
    <s v="low Outlier"/>
    <n v="53"/>
    <x v="7"/>
    <n v="5"/>
    <x v="0"/>
    <s v="46-55"/>
    <s v="Mid (40-70K)"/>
    <n v="0"/>
    <n v="2012"/>
    <n v="9"/>
    <s v="Q3"/>
    <s v="Sep"/>
    <s v="2012-09"/>
    <n v="2017"/>
    <s v="Production       "/>
    <n v="90"/>
    <n v="4"/>
    <s v="Medium"/>
  </r>
  <r>
    <s v="Mahoney, Lauren  "/>
    <n v="10219"/>
    <n v="0"/>
    <n v="0"/>
    <n v="0"/>
    <n v="1"/>
    <n v="5"/>
    <n v="3"/>
    <n v="0"/>
    <x v="174"/>
    <n v="0"/>
    <n v="19"/>
    <s v="Production Technician I"/>
    <s v="MA"/>
    <n v="2189"/>
    <d v="1986-07-07T00:00:00"/>
    <s v="F"/>
    <s v="Single"/>
    <s v="US Citizen"/>
    <s v="No"/>
    <s v="White"/>
    <d v="2014-01-06T00:00:00"/>
    <m/>
    <s v="N/A-StillEmployed"/>
    <s v="Active"/>
    <x v="0"/>
    <s v="Ketsia Liebig"/>
    <n v="19"/>
    <s v="LinkedIn"/>
    <s v="Fully Meets"/>
    <n v="4.5999999999999996"/>
    <n v="4"/>
    <n v="0"/>
    <s v="2/26/2019"/>
    <n v="0"/>
    <n v="14"/>
    <s v="Normal"/>
    <s v="low Outlier"/>
    <n v="39"/>
    <x v="4"/>
    <n v="12"/>
    <x v="0"/>
    <s v="36-45"/>
    <s v="Mid (40-70K)"/>
    <n v="1"/>
    <n v="2014"/>
    <n v="1"/>
    <s v="Q1"/>
    <s v="Jan"/>
    <s v="2014-01"/>
    <s v="N/A"/>
    <s v="Production       "/>
    <n v="44.444444444444443"/>
    <n v="0"/>
    <s v="Medium"/>
  </r>
  <r>
    <s v="Manchester, Robyn"/>
    <n v="10077"/>
    <n v="1"/>
    <n v="1"/>
    <n v="0"/>
    <n v="2"/>
    <n v="5"/>
    <n v="3"/>
    <n v="0"/>
    <x v="175"/>
    <n v="0"/>
    <n v="20"/>
    <s v="Production Technician II"/>
    <s v="MA"/>
    <n v="2324"/>
    <d v="1976-08-25T00:00:00"/>
    <s v="F"/>
    <s v="Married"/>
    <s v="US Citizen"/>
    <s v="No"/>
    <s v="White"/>
    <d v="2016-05-11T00:00:00"/>
    <m/>
    <s v="N/A-StillEmployed"/>
    <s v="Active"/>
    <x v="0"/>
    <s v="Webster Butler"/>
    <m/>
    <s v="LinkedIn"/>
    <s v="Fully Meets"/>
    <n v="5"/>
    <n v="3"/>
    <n v="0"/>
    <s v="1/21/2019"/>
    <n v="0"/>
    <n v="4"/>
    <s v="Normal"/>
    <s v="low Outlier"/>
    <n v="49"/>
    <x v="8"/>
    <n v="9"/>
    <x v="1"/>
    <s v="46-55"/>
    <s v="Mid (40-70K)"/>
    <n v="1"/>
    <n v="2016"/>
    <n v="5"/>
    <s v="Q2"/>
    <s v="May"/>
    <s v="2016-05"/>
    <s v="N/A"/>
    <s v="Production       "/>
    <n v="66.666666666666657"/>
    <n v="0"/>
    <s v="Low"/>
  </r>
  <r>
    <s v="Mancuso, Karen"/>
    <n v="10073"/>
    <n v="1"/>
    <n v="1"/>
    <n v="0"/>
    <n v="5"/>
    <n v="5"/>
    <n v="3"/>
    <n v="0"/>
    <x v="176"/>
    <n v="1"/>
    <n v="20"/>
    <s v="Production Technician II"/>
    <s v="MA"/>
    <n v="2176"/>
    <d v="1986-12-10T00:00:00"/>
    <s v="F"/>
    <s v="Married"/>
    <s v="US Citizen"/>
    <s v="No"/>
    <s v="Two or more races"/>
    <d v="2011-07-05T00:00:00"/>
    <d v="2012-08-19T00:00:00"/>
    <s v="Another position"/>
    <s v="Voluntarily Terminated"/>
    <x v="0"/>
    <s v="Amy Dunn"/>
    <n v="11"/>
    <s v="LinkedIn"/>
    <s v="Fully Meets"/>
    <n v="5"/>
    <n v="4"/>
    <n v="0"/>
    <s v="7/2/2012"/>
    <n v="0"/>
    <n v="16"/>
    <s v="Normal"/>
    <s v="low Outlier"/>
    <n v="39"/>
    <x v="0"/>
    <n v="1"/>
    <x v="0"/>
    <s v="36-45"/>
    <s v="Mid (40-70K)"/>
    <n v="0"/>
    <n v="2011"/>
    <n v="7"/>
    <s v="Q3"/>
    <s v="Jul"/>
    <s v="2011-07"/>
    <n v="2012"/>
    <s v="Production       "/>
    <n v="88.888888888888886"/>
    <n v="14"/>
    <s v="Medium"/>
  </r>
  <r>
    <s v="Mangal, Debbie"/>
    <n v="10279"/>
    <n v="1"/>
    <n v="1"/>
    <n v="0"/>
    <n v="1"/>
    <n v="5"/>
    <n v="3"/>
    <n v="0"/>
    <x v="177"/>
    <n v="0"/>
    <n v="19"/>
    <s v="Production Technician I"/>
    <s v="MA"/>
    <n v="2451"/>
    <d v="1974-11-07T00:00:00"/>
    <s v="F"/>
    <s v="Married"/>
    <s v="US Citizen"/>
    <s v="No"/>
    <s v="White"/>
    <d v="2013-11-11T00:00:00"/>
    <m/>
    <s v="N/A-StillEmployed"/>
    <s v="Active"/>
    <x v="0"/>
    <s v="Brannon Miller"/>
    <n v="12"/>
    <s v="LinkedIn"/>
    <s v="Fully Meets"/>
    <n v="4.0999999999999996"/>
    <n v="3"/>
    <n v="0"/>
    <s v="1/22/2019"/>
    <n v="0"/>
    <n v="11"/>
    <s v="Normal"/>
    <s v="low Outlier"/>
    <n v="51"/>
    <x v="4"/>
    <n v="12"/>
    <x v="0"/>
    <s v="46-55"/>
    <s v="Mid (40-70K)"/>
    <n v="1"/>
    <n v="2013"/>
    <n v="11"/>
    <s v="Q4"/>
    <s v="Nov"/>
    <s v="2013-11"/>
    <s v="N/A"/>
    <s v="Production       "/>
    <n v="40"/>
    <n v="0"/>
    <s v="Medium"/>
  </r>
  <r>
    <s v="Martin, Sandra"/>
    <n v="10110"/>
    <n v="0"/>
    <n v="0"/>
    <n v="0"/>
    <n v="1"/>
    <n v="4"/>
    <n v="3"/>
    <n v="0"/>
    <x v="178"/>
    <n v="0"/>
    <n v="24"/>
    <s v="Software Engineer"/>
    <s v="MA"/>
    <n v="2135"/>
    <d v="1987-11-07T00:00:00"/>
    <s v="F"/>
    <s v="Single"/>
    <s v="US Citizen"/>
    <s v="No"/>
    <s v="Asian"/>
    <d v="2013-11-11T00:00:00"/>
    <m/>
    <s v="N/A-StillEmployed"/>
    <s v="Active"/>
    <x v="2"/>
    <s v="Alex Sweetwater"/>
    <n v="10"/>
    <s v="Google Search"/>
    <s v="Fully Meets"/>
    <n v="4.5"/>
    <n v="5"/>
    <n v="4"/>
    <s v="1/14/2019"/>
    <n v="0"/>
    <n v="14"/>
    <s v="Normal"/>
    <s v="low Outlier"/>
    <n v="38"/>
    <x v="4"/>
    <n v="12"/>
    <x v="0"/>
    <s v="36-45"/>
    <s v="Executive (100K+)"/>
    <n v="1"/>
    <n v="2013"/>
    <n v="11"/>
    <s v="Q4"/>
    <s v="Nov"/>
    <s v="2013-11"/>
    <s v="N/A"/>
    <s v="Production       "/>
    <n v="40"/>
    <n v="0"/>
    <s v="Low"/>
  </r>
  <r>
    <s v="Maurice, Shana"/>
    <n v="10053"/>
    <n v="1"/>
    <n v="1"/>
    <n v="0"/>
    <n v="1"/>
    <n v="5"/>
    <n v="3"/>
    <n v="0"/>
    <x v="179"/>
    <n v="0"/>
    <n v="19"/>
    <s v="Production Technician I"/>
    <s v="MA"/>
    <n v="2330"/>
    <d v="1977-11-22T00:00:00"/>
    <s v="F"/>
    <s v="Married"/>
    <s v="US Citizen"/>
    <s v="No"/>
    <s v="White"/>
    <d v="2011-05-31T00:00:00"/>
    <m/>
    <s v="N/A-StillEmployed"/>
    <s v="Active"/>
    <x v="0"/>
    <s v="David Stanley"/>
    <n v="14"/>
    <s v="Indeed"/>
    <s v="Fully Meets"/>
    <n v="5"/>
    <n v="4"/>
    <n v="0"/>
    <s v="1/10/2019"/>
    <n v="0"/>
    <n v="8"/>
    <s v="Normal"/>
    <s v="low Outlier"/>
    <n v="48"/>
    <x v="0"/>
    <n v="14"/>
    <x v="0"/>
    <s v="46-55"/>
    <s v="Mid (40-70K)"/>
    <n v="1"/>
    <n v="2011"/>
    <n v="5"/>
    <s v="Q2"/>
    <s v="May"/>
    <s v="2011-05"/>
    <s v="N/A"/>
    <s v="Production       "/>
    <n v="20"/>
    <n v="0"/>
    <s v="Low"/>
  </r>
  <r>
    <s v="Carthy, B'rigit"/>
    <n v="10076"/>
    <n v="0"/>
    <n v="0"/>
    <n v="0"/>
    <n v="1"/>
    <n v="5"/>
    <n v="3"/>
    <n v="0"/>
    <x v="180"/>
    <n v="0"/>
    <n v="20"/>
    <s v="Production Technician II"/>
    <s v="MA"/>
    <n v="2149"/>
    <d v="1987-05-21T00:00:00"/>
    <s v="F"/>
    <s v="Single"/>
    <s v="US Citizen"/>
    <s v="No"/>
    <s v="Black or African American"/>
    <d v="2015-03-30T00:00:00"/>
    <m/>
    <s v="N/A-StillEmployed"/>
    <s v="Active"/>
    <x v="0"/>
    <s v="Ketsia Liebig"/>
    <n v="19"/>
    <s v="LinkedIn"/>
    <s v="Fully Meets"/>
    <n v="5"/>
    <n v="5"/>
    <n v="0"/>
    <s v="2/7/2019"/>
    <n v="0"/>
    <n v="16"/>
    <s v="Normal"/>
    <s v="low Outlier"/>
    <n v="38"/>
    <x v="1"/>
    <n v="10"/>
    <x v="0"/>
    <s v="36-45"/>
    <s v="Mid (40-70K)"/>
    <n v="1"/>
    <n v="2015"/>
    <n v="3"/>
    <s v="Q1"/>
    <s v="Mar"/>
    <s v="2015-03"/>
    <s v="N/A"/>
    <s v="Production       "/>
    <n v="50"/>
    <n v="0"/>
    <s v="Medium"/>
  </r>
  <r>
    <s v="Mckenna, Sandy"/>
    <n v="10145"/>
    <n v="1"/>
    <n v="1"/>
    <n v="0"/>
    <n v="1"/>
    <n v="5"/>
    <n v="3"/>
    <n v="0"/>
    <x v="181"/>
    <n v="0"/>
    <n v="19"/>
    <s v="Production Technician I"/>
    <s v="MA"/>
    <n v="2184"/>
    <d v="1987-01-07T00:00:00"/>
    <s v="F"/>
    <s v="Married"/>
    <s v="US Citizen"/>
    <s v="No"/>
    <s v="Black or African American"/>
    <d v="2013-01-07T00:00:00"/>
    <m/>
    <s v="N/A-StillEmployed"/>
    <s v="Active"/>
    <x v="0"/>
    <s v="Kissy Sullivan"/>
    <n v="20"/>
    <s v="CareerBuilder"/>
    <s v="Fully Meets"/>
    <n v="3.93"/>
    <n v="3"/>
    <n v="0"/>
    <s v="1/30/2019"/>
    <n v="0"/>
    <n v="20"/>
    <s v="Normal"/>
    <s v="low Outlier"/>
    <n v="39"/>
    <x v="7"/>
    <n v="13"/>
    <x v="0"/>
    <s v="36-45"/>
    <s v="Mid (40-70K)"/>
    <n v="1"/>
    <n v="2013"/>
    <n v="1"/>
    <s v="Q1"/>
    <s v="Jan"/>
    <s v="2013-01"/>
    <s v="N/A"/>
    <s v="Production       "/>
    <n v="54.54545454545454"/>
    <n v="0"/>
    <s v="Medium"/>
  </r>
  <r>
    <s v="McKinzie, Jac"/>
    <n v="10202"/>
    <n v="1"/>
    <n v="1"/>
    <n v="1"/>
    <n v="2"/>
    <n v="6"/>
    <n v="3"/>
    <n v="0"/>
    <x v="182"/>
    <n v="0"/>
    <n v="3"/>
    <s v="Area Sales Manager"/>
    <s v="TX"/>
    <n v="78789"/>
    <d v="1984-07-01T00:00:00"/>
    <s v="M "/>
    <s v="Married"/>
    <s v="US Citizen"/>
    <s v="No"/>
    <s v="Two or more races"/>
    <d v="2016-07-06T00:00:00"/>
    <m/>
    <s v="N/A-StillEmployed"/>
    <s v="Active"/>
    <x v="4"/>
    <s v="Lynn Daneault"/>
    <n v="21"/>
    <s v="Website"/>
    <s v="Fully Meets"/>
    <n v="3.4"/>
    <n v="4"/>
    <n v="0"/>
    <s v="1/29/2019"/>
    <n v="0"/>
    <n v="7"/>
    <s v="Normal"/>
    <s v="low Outlier"/>
    <n v="41"/>
    <x v="8"/>
    <n v="9"/>
    <x v="1"/>
    <s v="36-45"/>
    <s v="Mid (40-70K)"/>
    <n v="1"/>
    <n v="2016"/>
    <n v="7"/>
    <s v="Q3"/>
    <s v="Jul"/>
    <s v="2016-07"/>
    <s v="N/A"/>
    <s v="Production       "/>
    <n v="0"/>
    <n v="0"/>
    <s v="Low"/>
  </r>
  <r>
    <s v="Meads, Elizabeth"/>
    <n v="10128"/>
    <n v="0"/>
    <n v="0"/>
    <n v="0"/>
    <n v="5"/>
    <n v="5"/>
    <n v="3"/>
    <n v="1"/>
    <x v="183"/>
    <n v="1"/>
    <n v="19"/>
    <s v="Production Technician I"/>
    <s v="MA"/>
    <n v="1760"/>
    <d v="1968-05-30T00:00:00"/>
    <s v="F"/>
    <s v="Single"/>
    <s v="US Citizen"/>
    <s v="No"/>
    <s v="Black or African American"/>
    <d v="2012-04-02T00:00:00"/>
    <d v="2016-11-11T00:00:00"/>
    <s v="Another position"/>
    <s v="Voluntarily Terminated"/>
    <x v="0"/>
    <s v="Kelley Spirea"/>
    <n v="18"/>
    <s v="Diversity Job Fair"/>
    <s v="Fully Meets"/>
    <n v="4.18"/>
    <n v="4"/>
    <n v="0"/>
    <s v="2/5/2016"/>
    <n v="0"/>
    <n v="17"/>
    <s v="Normal"/>
    <s v="low Outlier"/>
    <n v="57"/>
    <x v="7"/>
    <n v="4"/>
    <x v="0"/>
    <s v="55+"/>
    <s v="Mid (40-70K)"/>
    <n v="0"/>
    <n v="2012"/>
    <n v="4"/>
    <s v="Q2"/>
    <s v="Apr"/>
    <s v="2012-04"/>
    <n v="2016"/>
    <s v="Production       "/>
    <n v="25"/>
    <n v="13"/>
    <s v="Medium"/>
  </r>
  <r>
    <s v="Medeiros, Jennifer"/>
    <n v="10068"/>
    <n v="0"/>
    <n v="0"/>
    <n v="0"/>
    <n v="1"/>
    <n v="5"/>
    <n v="3"/>
    <n v="0"/>
    <x v="184"/>
    <n v="0"/>
    <n v="19"/>
    <s v="Production Technician I"/>
    <s v="MA"/>
    <n v="2346"/>
    <d v="1976-09-22T00:00:00"/>
    <s v="F"/>
    <s v="Single"/>
    <s v="US Citizen"/>
    <s v="No"/>
    <s v="White"/>
    <d v="2015-03-30T00:00:00"/>
    <m/>
    <s v="N/A-StillEmployed"/>
    <s v="Active"/>
    <x v="0"/>
    <s v="Michael Albert"/>
    <n v="22"/>
    <s v="CareerBuilder"/>
    <s v="Fully Meets"/>
    <n v="5"/>
    <n v="4"/>
    <n v="0"/>
    <s v="1/21/2019"/>
    <n v="0"/>
    <n v="10"/>
    <s v="Normal"/>
    <s v="low Outlier"/>
    <n v="49"/>
    <x v="1"/>
    <n v="10"/>
    <x v="0"/>
    <s v="46-55"/>
    <s v="Mid (40-70K)"/>
    <n v="1"/>
    <n v="2015"/>
    <n v="3"/>
    <s v="Q1"/>
    <s v="Mar"/>
    <s v="2015-03"/>
    <s v="N/A"/>
    <s v="Production       "/>
    <n v="37.5"/>
    <n v="0"/>
    <s v="Low"/>
  </r>
  <r>
    <s v="Miller, Brannon"/>
    <n v="10116"/>
    <n v="0"/>
    <n v="0"/>
    <n v="1"/>
    <n v="1"/>
    <n v="5"/>
    <n v="3"/>
    <n v="0"/>
    <x v="185"/>
    <n v="0"/>
    <n v="18"/>
    <s v="Production Manager"/>
    <s v="MA"/>
    <n v="2045"/>
    <d v="1981-08-10T00:00:00"/>
    <s v="M "/>
    <s v="Single"/>
    <s v="US Citizen"/>
    <s v="Yes"/>
    <s v="Hispanic"/>
    <d v="2012-08-16T00:00:00"/>
    <m/>
    <s v="N/A-StillEmployed"/>
    <s v="Active"/>
    <x v="0"/>
    <s v="Janet King"/>
    <n v="2"/>
    <s v="Indeed"/>
    <s v="Fully Meets"/>
    <n v="4.37"/>
    <n v="3"/>
    <n v="0"/>
    <s v="1/14/2019"/>
    <n v="0"/>
    <n v="2"/>
    <s v="Normal"/>
    <s v="low Outlier"/>
    <n v="44"/>
    <x v="7"/>
    <n v="13"/>
    <x v="0"/>
    <s v="36-45"/>
    <s v="Senior (70-100K)"/>
    <n v="1"/>
    <n v="2012"/>
    <n v="8"/>
    <s v="Q3"/>
    <s v="Aug"/>
    <s v="2012-08"/>
    <s v="N/A"/>
    <s v="Production       "/>
    <n v="37.5"/>
    <n v="0"/>
    <s v="Low"/>
  </r>
  <r>
    <s v="Miller, Ned"/>
    <n v="10298"/>
    <n v="0"/>
    <n v="0"/>
    <n v="1"/>
    <n v="5"/>
    <n v="5"/>
    <n v="1"/>
    <n v="0"/>
    <x v="186"/>
    <n v="1"/>
    <n v="20"/>
    <s v="Production Technician II"/>
    <s v="MA"/>
    <n v="2472"/>
    <d v="1985-06-29T00:00:00"/>
    <s v="M "/>
    <s v="Single"/>
    <s v="US Citizen"/>
    <s v="No"/>
    <s v="White"/>
    <d v="2011-08-15T00:00:00"/>
    <d v="2014-09-04T00:00:00"/>
    <s v="unhappy"/>
    <s v="Voluntarily Terminated"/>
    <x v="0"/>
    <s v="Brannon Miller"/>
    <n v="12"/>
    <s v="LinkedIn"/>
    <s v="PIP"/>
    <n v="3"/>
    <n v="2"/>
    <n v="0"/>
    <s v="1/14/2013"/>
    <n v="6"/>
    <n v="6"/>
    <s v="Normal"/>
    <s v="low Outlier"/>
    <n v="40"/>
    <x v="0"/>
    <n v="3"/>
    <x v="0"/>
    <s v="36-45"/>
    <s v="Mid (40-70K)"/>
    <n v="0"/>
    <n v="2011"/>
    <n v="8"/>
    <s v="Q3"/>
    <s v="Aug"/>
    <s v="2011-08"/>
    <n v="2014"/>
    <s v="Production       "/>
    <n v="44.444444444444443"/>
    <n v="7"/>
    <s v="Medium"/>
  </r>
  <r>
    <s v="Monkfish, Erasumus"/>
    <n v="10213"/>
    <n v="1"/>
    <n v="1"/>
    <n v="1"/>
    <n v="1"/>
    <n v="5"/>
    <n v="3"/>
    <n v="0"/>
    <x v="187"/>
    <n v="0"/>
    <n v="20"/>
    <s v="Production Technician II"/>
    <s v="MA"/>
    <n v="1450"/>
    <d v="1992-08-17T00:00:00"/>
    <s v="M "/>
    <s v="Married"/>
    <s v="US Citizen"/>
    <s v="No"/>
    <s v="White"/>
    <d v="2011-11-07T00:00:00"/>
    <m/>
    <s v="N/A-StillEmployed"/>
    <s v="Active"/>
    <x v="0"/>
    <s v="David Stanley"/>
    <n v="14"/>
    <s v="LinkedIn"/>
    <s v="Fully Meets"/>
    <n v="3.7"/>
    <n v="3"/>
    <n v="0"/>
    <s v="1/8/2019"/>
    <n v="0"/>
    <n v="14"/>
    <s v="Normal"/>
    <s v="low Outlier"/>
    <n v="33"/>
    <x v="0"/>
    <n v="14"/>
    <x v="0"/>
    <s v="26-35"/>
    <s v="Mid (40-70K)"/>
    <n v="1"/>
    <n v="2011"/>
    <n v="11"/>
    <s v="Q4"/>
    <s v="Nov"/>
    <s v="2011-11"/>
    <s v="N/A"/>
    <s v="Production       "/>
    <n v="22.222222222222221"/>
    <n v="0"/>
    <s v="Medium"/>
  </r>
  <r>
    <s v="Monroe, Peter"/>
    <n v="10288"/>
    <n v="1"/>
    <n v="1"/>
    <n v="1"/>
    <n v="1"/>
    <n v="3"/>
    <n v="2"/>
    <n v="1"/>
    <x v="188"/>
    <n v="0"/>
    <n v="13"/>
    <s v="IT Manager - Infra"/>
    <s v="MA"/>
    <n v="2134"/>
    <d v="1986-10-05T00:00:00"/>
    <s v="M "/>
    <s v="Married"/>
    <s v="Eligible NonCitizen"/>
    <s v="Yes"/>
    <s v="Black or African American"/>
    <d v="2012-02-15T00:00:00"/>
    <m/>
    <s v="N/A-StillEmployed"/>
    <s v="Active"/>
    <x v="1"/>
    <s v="Jennifer Zamora"/>
    <n v="5"/>
    <s v="Diversity Job Fair"/>
    <s v="Needs Improvement"/>
    <n v="2.39"/>
    <n v="3"/>
    <n v="6"/>
    <s v="2/22/2019"/>
    <n v="4"/>
    <n v="13"/>
    <s v=" high Outlier"/>
    <s v="low Outlier"/>
    <n v="39"/>
    <x v="0"/>
    <n v="14"/>
    <x v="0"/>
    <s v="36-45"/>
    <s v="Executive (100K+)"/>
    <n v="1"/>
    <n v="2012"/>
    <n v="2"/>
    <s v="Q1"/>
    <s v="Feb"/>
    <s v="2012-02"/>
    <s v="N/A"/>
    <s v="Production       "/>
    <n v="33.333333333333329"/>
    <n v="0"/>
    <s v="Medium"/>
  </r>
  <r>
    <s v="Monterro, Luisa"/>
    <n v="10025"/>
    <n v="0"/>
    <n v="0"/>
    <n v="0"/>
    <n v="1"/>
    <n v="5"/>
    <n v="4"/>
    <n v="0"/>
    <x v="189"/>
    <n v="0"/>
    <n v="20"/>
    <s v="Production Technician II"/>
    <s v="MA"/>
    <n v="2126"/>
    <d v="1970-04-24T00:00:00"/>
    <s v="F"/>
    <s v="Single"/>
    <s v="US Citizen"/>
    <s v="No"/>
    <s v="Black or African American"/>
    <d v="2013-05-13T00:00:00"/>
    <m/>
    <s v="N/A-StillEmployed"/>
    <s v="Active"/>
    <x v="0"/>
    <s v="Kissy Sullivan"/>
    <n v="20"/>
    <s v="Indeed"/>
    <s v="Exceeds"/>
    <n v="4.7"/>
    <n v="3"/>
    <n v="0"/>
    <s v="1/14/2019"/>
    <n v="0"/>
    <n v="1"/>
    <s v="Normal"/>
    <s v="low Outlier"/>
    <n v="55"/>
    <x v="4"/>
    <n v="12"/>
    <x v="0"/>
    <s v="46-55"/>
    <s v="Senior (70-100K)"/>
    <n v="1"/>
    <n v="2013"/>
    <n v="5"/>
    <s v="Q2"/>
    <s v="May"/>
    <s v="2013-05"/>
    <s v="N/A"/>
    <s v="Production       "/>
    <n v="60"/>
    <n v="0"/>
    <s v="Low"/>
  </r>
  <r>
    <s v="Moran, Patrick"/>
    <n v="10223"/>
    <n v="0"/>
    <n v="0"/>
    <n v="1"/>
    <n v="3"/>
    <n v="5"/>
    <n v="3"/>
    <n v="1"/>
    <x v="190"/>
    <n v="0"/>
    <n v="20"/>
    <s v="Production Technician II"/>
    <s v="MA"/>
    <n v="2127"/>
    <d v="1976-12-03T00:00:00"/>
    <s v="M "/>
    <s v="Single"/>
    <s v="US Citizen"/>
    <s v="No"/>
    <s v="Black or African American"/>
    <d v="2012-01-09T00:00:00"/>
    <m/>
    <s v="N/A-StillEmployed"/>
    <s v="Active"/>
    <x v="0"/>
    <s v="Kelley Spirea"/>
    <n v="18"/>
    <s v="Diversity Job Fair"/>
    <s v="Fully Meets"/>
    <n v="4.0999999999999996"/>
    <n v="4"/>
    <n v="0"/>
    <s v="1/31/2019"/>
    <n v="0"/>
    <n v="12"/>
    <s v="Normal"/>
    <s v="low Outlier"/>
    <n v="49"/>
    <x v="0"/>
    <n v="14"/>
    <x v="0"/>
    <s v="46-55"/>
    <s v="Senior (70-100K)"/>
    <n v="1"/>
    <n v="2012"/>
    <n v="1"/>
    <s v="Q1"/>
    <s v="Jan"/>
    <s v="2012-01"/>
    <s v="N/A"/>
    <s v="Production       "/>
    <n v="14.285714285714285"/>
    <n v="0"/>
    <s v="Medium"/>
  </r>
  <r>
    <s v="Morway, Tanya"/>
    <n v="10151"/>
    <n v="1"/>
    <n v="1"/>
    <n v="0"/>
    <n v="1"/>
    <n v="3"/>
    <n v="3"/>
    <n v="0"/>
    <x v="191"/>
    <n v="0"/>
    <n v="15"/>
    <s v="Network Engineer"/>
    <s v="MA"/>
    <n v="2048"/>
    <d v="1979-04-04T00:00:00"/>
    <s v="F"/>
    <s v="Married"/>
    <s v="US Citizen"/>
    <s v="No"/>
    <s v="White"/>
    <d v="2015-02-16T00:00:00"/>
    <m/>
    <s v="N/A-StillEmployed"/>
    <s v="Active"/>
    <x v="1"/>
    <s v="Peter Monroe"/>
    <n v="7"/>
    <s v="CareerBuilder"/>
    <s v="Fully Meets"/>
    <n v="3.81"/>
    <n v="3"/>
    <n v="6"/>
    <s v="2/11/2019"/>
    <n v="0"/>
    <n v="6"/>
    <s v="Normal"/>
    <s v="low Outlier"/>
    <n v="46"/>
    <x v="3"/>
    <n v="11"/>
    <x v="0"/>
    <s v="46-55"/>
    <s v="Mid (40-70K)"/>
    <n v="1"/>
    <n v="2015"/>
    <n v="2"/>
    <s v="Q1"/>
    <s v="Feb"/>
    <s v="2015-02"/>
    <s v="N/A"/>
    <s v="Production       "/>
    <n v="16.666666666666664"/>
    <n v="0"/>
    <s v="Low"/>
  </r>
  <r>
    <s v="Motlagh,  Dawn"/>
    <n v="10254"/>
    <n v="0"/>
    <n v="2"/>
    <n v="0"/>
    <n v="1"/>
    <n v="5"/>
    <n v="3"/>
    <n v="0"/>
    <x v="192"/>
    <n v="0"/>
    <n v="19"/>
    <s v="Production Technician I"/>
    <s v="MA"/>
    <n v="2453"/>
    <d v="1984-07-07T00:00:00"/>
    <s v="F"/>
    <s v="Divorced"/>
    <s v="US Citizen"/>
    <s v="No"/>
    <s v="White"/>
    <d v="2013-04-01T00:00:00"/>
    <m/>
    <s v="N/A-StillEmployed"/>
    <s v="Active"/>
    <x v="0"/>
    <s v="Elijiah Gray"/>
    <n v="16"/>
    <s v="LinkedIn"/>
    <s v="Fully Meets"/>
    <n v="4.4000000000000004"/>
    <n v="4"/>
    <n v="0"/>
    <s v="1/17/2019"/>
    <n v="0"/>
    <n v="18"/>
    <s v="Normal"/>
    <s v="low Outlier"/>
    <n v="41"/>
    <x v="4"/>
    <n v="12"/>
    <x v="0"/>
    <s v="36-45"/>
    <s v="Mid (40-70K)"/>
    <n v="1"/>
    <n v="2013"/>
    <n v="4"/>
    <s v="Q2"/>
    <s v="Apr"/>
    <s v="2013-04"/>
    <s v="N/A"/>
    <s v="Production       "/>
    <n v="44.444444444444443"/>
    <n v="0"/>
    <s v="Medium"/>
  </r>
  <r>
    <s v="Moumanil, Maliki "/>
    <n v="10120"/>
    <n v="0"/>
    <n v="3"/>
    <n v="1"/>
    <n v="1"/>
    <n v="5"/>
    <n v="3"/>
    <n v="0"/>
    <x v="193"/>
    <n v="0"/>
    <n v="20"/>
    <s v="Production Technician II"/>
    <s v="MA"/>
    <n v="1460"/>
    <d v="1974-12-01T00:00:00"/>
    <s v="M "/>
    <s v="Separated"/>
    <s v="US Citizen"/>
    <s v="No"/>
    <s v="Black or African American"/>
    <d v="2013-05-13T00:00:00"/>
    <m/>
    <s v="N/A-StillEmployed"/>
    <s v="Active"/>
    <x v="0"/>
    <s v="Michael Albert"/>
    <n v="22"/>
    <s v="LinkedIn"/>
    <s v="Fully Meets"/>
    <n v="4.29"/>
    <n v="5"/>
    <n v="0"/>
    <s v="1/28/2019"/>
    <n v="0"/>
    <n v="11"/>
    <s v="Normal"/>
    <s v="low Outlier"/>
    <n v="51"/>
    <x v="4"/>
    <n v="12"/>
    <x v="0"/>
    <s v="46-55"/>
    <s v="Senior (70-100K)"/>
    <n v="1"/>
    <n v="2013"/>
    <n v="5"/>
    <s v="Q2"/>
    <s v="May"/>
    <s v="2013-05"/>
    <s v="N/A"/>
    <s v="Production       "/>
    <n v="42.857142857142854"/>
    <n v="0"/>
    <s v="Medium"/>
  </r>
  <r>
    <s v="Myers, Michael"/>
    <n v="10216"/>
    <n v="0"/>
    <n v="0"/>
    <n v="1"/>
    <n v="1"/>
    <n v="5"/>
    <n v="3"/>
    <n v="0"/>
    <x v="194"/>
    <n v="0"/>
    <n v="19"/>
    <s v="Production Technician I"/>
    <s v="MA"/>
    <n v="1550"/>
    <d v="1980-04-18T00:00:00"/>
    <s v="M "/>
    <s v="Single"/>
    <s v="US Citizen"/>
    <s v="No"/>
    <s v="Asian"/>
    <d v="2013-07-08T00:00:00"/>
    <m/>
    <s v="N/A-StillEmployed"/>
    <s v="Active"/>
    <x v="0"/>
    <s v="Kissy Sullivan"/>
    <n v="20"/>
    <s v="LinkedIn"/>
    <s v="Fully Meets"/>
    <n v="4.0999999999999996"/>
    <n v="4"/>
    <n v="0"/>
    <s v="1/22/2019"/>
    <n v="0"/>
    <n v="13"/>
    <s v="Normal"/>
    <s v="low Outlier"/>
    <n v="45"/>
    <x v="4"/>
    <n v="12"/>
    <x v="0"/>
    <s v="36-45"/>
    <s v="Mid (40-70K)"/>
    <n v="1"/>
    <n v="2013"/>
    <n v="7"/>
    <s v="Q3"/>
    <s v="Jul"/>
    <s v="2013-07"/>
    <s v="N/A"/>
    <s v="Production       "/>
    <n v="66.666666666666657"/>
    <n v="0"/>
    <s v="Medium"/>
  </r>
  <r>
    <s v="Navathe, Kurt"/>
    <n v="10079"/>
    <n v="0"/>
    <n v="0"/>
    <n v="1"/>
    <n v="1"/>
    <n v="3"/>
    <n v="3"/>
    <n v="0"/>
    <x v="195"/>
    <n v="0"/>
    <n v="22"/>
    <s v="Senior BI Developer"/>
    <s v="MA"/>
    <n v="2056"/>
    <d v="1970-04-25T00:00:00"/>
    <s v="M "/>
    <s v="Single"/>
    <s v="US Citizen"/>
    <s v="No"/>
    <s v="Asian"/>
    <d v="2017-02-10T00:00:00"/>
    <m/>
    <s v="N/A-StillEmployed"/>
    <s v="Active"/>
    <x v="1"/>
    <s v="Brian Champaigne"/>
    <n v="13"/>
    <s v="Indeed"/>
    <s v="Fully Meets"/>
    <n v="5"/>
    <n v="3"/>
    <n v="6"/>
    <s v="2/25/2019"/>
    <n v="0"/>
    <n v="17"/>
    <s v="Normal"/>
    <s v="low Outlier"/>
    <n v="55"/>
    <x v="8"/>
    <n v="9"/>
    <x v="1"/>
    <s v="46-55"/>
    <s v="Senior (70-100K)"/>
    <n v="1"/>
    <n v="2017"/>
    <n v="2"/>
    <s v="Q1"/>
    <s v="Feb"/>
    <s v="2017-02"/>
    <s v="N/A"/>
    <s v="Production       "/>
    <n v="0"/>
    <n v="0"/>
    <s v="Low"/>
  </r>
  <r>
    <s v="Ndzi, Colombui"/>
    <n v="10215"/>
    <n v="0"/>
    <n v="0"/>
    <n v="1"/>
    <n v="5"/>
    <n v="5"/>
    <n v="3"/>
    <n v="1"/>
    <x v="196"/>
    <n v="1"/>
    <n v="19"/>
    <s v="Production Technician I"/>
    <s v="MA"/>
    <n v="2110"/>
    <d v="1989-05-02T00:00:00"/>
    <s v="M "/>
    <s v="Single"/>
    <s v="US Citizen"/>
    <s v="No"/>
    <s v="Black or African American"/>
    <d v="2011-09-26T00:00:00"/>
    <d v="2014-04-04T00:00:00"/>
    <s v="return to school"/>
    <s v="Voluntarily Terminated"/>
    <x v="0"/>
    <s v="Webster Butler"/>
    <n v="39"/>
    <s v="Diversity Job Fair"/>
    <s v="Fully Meets"/>
    <n v="4.3"/>
    <n v="3"/>
    <n v="0"/>
    <s v="3/2/2013"/>
    <n v="0"/>
    <n v="19"/>
    <s v="Normal"/>
    <s v="low Outlier"/>
    <n v="36"/>
    <x v="0"/>
    <n v="2"/>
    <x v="0"/>
    <s v="36-45"/>
    <s v="Mid (40-70K)"/>
    <n v="0"/>
    <n v="2011"/>
    <n v="9"/>
    <s v="Q3"/>
    <s v="Sep"/>
    <s v="2011-09"/>
    <n v="2014"/>
    <s v="Production       "/>
    <n v="75"/>
    <n v="3"/>
    <s v="Medium"/>
  </r>
  <r>
    <s v="Ndzi, Horia"/>
    <n v="10185"/>
    <n v="1"/>
    <n v="1"/>
    <n v="1"/>
    <n v="5"/>
    <n v="5"/>
    <n v="3"/>
    <n v="0"/>
    <x v="197"/>
    <n v="1"/>
    <n v="19"/>
    <s v="Production Technician I"/>
    <s v="MA"/>
    <n v="2421"/>
    <d v="1983-03-28T00:00:00"/>
    <s v="M "/>
    <s v="Married"/>
    <s v="US Citizen"/>
    <s v="No"/>
    <s v="White"/>
    <d v="2013-04-01T00:00:00"/>
    <d v="2016-05-25T00:00:00"/>
    <s v="more money"/>
    <s v="Voluntarily Terminated"/>
    <x v="0"/>
    <s v="Amy Dunn"/>
    <n v="11"/>
    <s v="Employee Referral"/>
    <s v="Fully Meets"/>
    <n v="3.18"/>
    <n v="3"/>
    <n v="0"/>
    <s v="3/6/2016"/>
    <n v="0"/>
    <n v="10"/>
    <s v="Normal"/>
    <s v="low Outlier"/>
    <n v="42"/>
    <x v="4"/>
    <n v="3"/>
    <x v="0"/>
    <s v="36-45"/>
    <s v="Mid (40-70K)"/>
    <n v="0"/>
    <n v="2013"/>
    <n v="4"/>
    <s v="Q2"/>
    <s v="Apr"/>
    <s v="2013-04"/>
    <n v="2016"/>
    <s v="Production       "/>
    <n v="87.5"/>
    <n v="4"/>
    <s v="Low"/>
  </r>
  <r>
    <s v="Newman, Richard "/>
    <n v="10063"/>
    <n v="1"/>
    <n v="1"/>
    <n v="1"/>
    <n v="3"/>
    <n v="5"/>
    <n v="3"/>
    <n v="0"/>
    <x v="198"/>
    <n v="0"/>
    <n v="19"/>
    <s v="Production Technician I"/>
    <s v="MA"/>
    <n v="2136"/>
    <d v="1977-04-08T00:00:00"/>
    <s v="M "/>
    <s v="Married"/>
    <s v="US Citizen"/>
    <s v="No"/>
    <s v="White"/>
    <d v="2014-05-12T00:00:00"/>
    <m/>
    <s v="N/A-StillEmployed"/>
    <s v="Active"/>
    <x v="0"/>
    <s v="Ketsia Liebig"/>
    <n v="19"/>
    <s v="LinkedIn"/>
    <s v="Fully Meets"/>
    <n v="5"/>
    <n v="5"/>
    <n v="0"/>
    <s v="2/18/2019"/>
    <n v="0"/>
    <n v="11"/>
    <s v="Normal"/>
    <s v="low Outlier"/>
    <n v="48"/>
    <x v="3"/>
    <n v="11"/>
    <x v="0"/>
    <s v="46-55"/>
    <s v="Mid (40-70K)"/>
    <n v="1"/>
    <n v="2014"/>
    <n v="5"/>
    <s v="Q2"/>
    <s v="May"/>
    <s v="2014-05"/>
    <s v="N/A"/>
    <s v="Production       "/>
    <n v="57.142857142857139"/>
    <n v="0"/>
    <s v="Medium"/>
  </r>
  <r>
    <s v="Ngodup, Shari "/>
    <n v="10037"/>
    <n v="0"/>
    <n v="3"/>
    <n v="0"/>
    <n v="1"/>
    <n v="5"/>
    <n v="4"/>
    <n v="1"/>
    <x v="199"/>
    <n v="0"/>
    <n v="19"/>
    <s v="Production Technician I"/>
    <s v="MA"/>
    <n v="1810"/>
    <d v="1967-06-03T00:00:00"/>
    <s v="F"/>
    <s v="Separated"/>
    <s v="US Citizen"/>
    <s v="No"/>
    <s v="Black or African American"/>
    <d v="2013-04-01T00:00:00"/>
    <m/>
    <s v="N/A-StillEmployed"/>
    <s v="Active"/>
    <x v="0"/>
    <s v="Brannon Miller"/>
    <n v="12"/>
    <s v="Diversity Job Fair"/>
    <s v="Exceeds"/>
    <n v="4"/>
    <n v="3"/>
    <n v="0"/>
    <s v="2/13/2019"/>
    <n v="0"/>
    <n v="12"/>
    <s v="Normal"/>
    <s v="low Outlier"/>
    <n v="58"/>
    <x v="4"/>
    <n v="12"/>
    <x v="0"/>
    <s v="55+"/>
    <s v="Mid (40-70K)"/>
    <n v="1"/>
    <n v="2013"/>
    <n v="4"/>
    <s v="Q2"/>
    <s v="Apr"/>
    <s v="2013-04"/>
    <s v="N/A"/>
    <s v="Production       "/>
    <n v="37.5"/>
    <n v="0"/>
    <s v="Medium"/>
  </r>
  <r>
    <s v="Nguyen, Dheepa"/>
    <n v="10042"/>
    <n v="0"/>
    <n v="0"/>
    <n v="0"/>
    <n v="1"/>
    <n v="6"/>
    <n v="3"/>
    <n v="0"/>
    <x v="200"/>
    <n v="0"/>
    <n v="3"/>
    <s v="Area Sales Manager"/>
    <s v="GA"/>
    <n v="30428"/>
    <d v="1989-03-31T00:00:00"/>
    <s v="F"/>
    <s v="Single"/>
    <s v="US Citizen"/>
    <s v="No"/>
    <s v="Two or more races"/>
    <d v="2013-07-08T00:00:00"/>
    <m/>
    <s v="N/A-StillEmployed"/>
    <s v="Active"/>
    <x v="4"/>
    <s v="Lynn Daneault"/>
    <n v="21"/>
    <s v="Indeed"/>
    <s v="Fully Meets"/>
    <n v="5"/>
    <n v="5"/>
    <n v="0"/>
    <s v="1/25/2019"/>
    <n v="0"/>
    <n v="2"/>
    <s v="Normal"/>
    <s v="low Outlier"/>
    <n v="36"/>
    <x v="4"/>
    <n v="12"/>
    <x v="0"/>
    <s v="36-45"/>
    <s v="Mid (40-70K)"/>
    <n v="1"/>
    <n v="2013"/>
    <n v="7"/>
    <s v="Q3"/>
    <s v="Jul"/>
    <s v="2013-07"/>
    <s v="N/A"/>
    <s v="Production       "/>
    <n v="0"/>
    <n v="0"/>
    <s v="Low"/>
  </r>
  <r>
    <s v="Nguyen, Lei-Ming"/>
    <n v="10206"/>
    <n v="0"/>
    <n v="0"/>
    <n v="0"/>
    <n v="1"/>
    <n v="5"/>
    <n v="3"/>
    <n v="0"/>
    <x v="201"/>
    <n v="0"/>
    <n v="19"/>
    <s v="Production Technician I"/>
    <s v="MA"/>
    <n v="2132"/>
    <d v="1984-07-07T00:00:00"/>
    <s v="F"/>
    <s v="Single"/>
    <s v="US Citizen"/>
    <s v="No"/>
    <s v="White"/>
    <d v="2013-07-08T00:00:00"/>
    <m/>
    <s v="N/A-StillEmployed"/>
    <s v="Active"/>
    <x v="0"/>
    <s v="David Stanley"/>
    <n v="14"/>
    <s v="LinkedIn"/>
    <s v="Fully Meets"/>
    <n v="3.6"/>
    <n v="5"/>
    <n v="0"/>
    <s v="1/2/2019"/>
    <n v="0"/>
    <n v="4"/>
    <s v="Normal"/>
    <s v="low Outlier"/>
    <n v="41"/>
    <x v="4"/>
    <n v="12"/>
    <x v="0"/>
    <s v="36-45"/>
    <s v="Mid (40-70K)"/>
    <n v="1"/>
    <n v="2013"/>
    <n v="7"/>
    <s v="Q3"/>
    <s v="Jul"/>
    <s v="2013-07"/>
    <s v="N/A"/>
    <s v="Production       "/>
    <n v="25"/>
    <n v="0"/>
    <s v="Low"/>
  </r>
  <r>
    <s v="Nowlan, Kristie"/>
    <n v="10104"/>
    <n v="0"/>
    <n v="0"/>
    <n v="0"/>
    <n v="1"/>
    <n v="5"/>
    <n v="3"/>
    <n v="0"/>
    <x v="202"/>
    <n v="0"/>
    <n v="20"/>
    <s v="Production Technician II"/>
    <s v="MA"/>
    <n v="1040"/>
    <d v="1985-11-23T00:00:00"/>
    <s v="F"/>
    <s v="Single"/>
    <s v="US Citizen"/>
    <s v="No"/>
    <s v="White"/>
    <d v="2014-11-10T00:00:00"/>
    <m/>
    <s v="N/A-StillEmployed"/>
    <s v="Active"/>
    <x v="0"/>
    <s v="Elijiah Gray"/>
    <n v="16"/>
    <s v="Indeed"/>
    <s v="Fully Meets"/>
    <n v="4.53"/>
    <n v="5"/>
    <n v="0"/>
    <s v="1/16/2019"/>
    <n v="0"/>
    <n v="5"/>
    <s v="Normal"/>
    <s v="low Outlier"/>
    <n v="40"/>
    <x v="3"/>
    <n v="11"/>
    <x v="0"/>
    <s v="36-45"/>
    <s v="Mid (40-70K)"/>
    <n v="1"/>
    <n v="2014"/>
    <n v="11"/>
    <s v="Q4"/>
    <s v="Nov"/>
    <s v="2014-11"/>
    <s v="N/A"/>
    <s v="Production       "/>
    <n v="50"/>
    <n v="0"/>
    <s v="Low"/>
  </r>
  <r>
    <s v="O'hare, Lynn"/>
    <n v="10303"/>
    <n v="0"/>
    <n v="0"/>
    <n v="0"/>
    <n v="4"/>
    <n v="5"/>
    <n v="1"/>
    <n v="0"/>
    <x v="203"/>
    <n v="1"/>
    <n v="19"/>
    <s v="Production Technician I"/>
    <s v="MA"/>
    <n v="2152"/>
    <d v="1980-09-30T00:00:00"/>
    <s v="F"/>
    <s v="Single"/>
    <s v="US Citizen"/>
    <s v="No"/>
    <s v="Two or more races"/>
    <d v="2014-03-31T00:00:00"/>
    <d v="2018-05-01T00:00:00"/>
    <s v="performance"/>
    <s v="Terminated for Cause"/>
    <x v="0"/>
    <s v="Kissy Sullivan"/>
    <n v="20"/>
    <s v="LinkedIn"/>
    <s v="PIP"/>
    <n v="2.33"/>
    <n v="2"/>
    <n v="0"/>
    <s v="3/9/2018"/>
    <n v="6"/>
    <n v="3"/>
    <s v="Normal"/>
    <s v="low Outlier"/>
    <n v="45"/>
    <x v="3"/>
    <n v="4"/>
    <x v="0"/>
    <s v="36-45"/>
    <s v="Mid (40-70K)"/>
    <n v="0"/>
    <n v="2014"/>
    <n v="3"/>
    <s v="Q1"/>
    <s v="Mar"/>
    <s v="2014-03"/>
    <n v="2018"/>
    <s v="Production       "/>
    <n v="75"/>
    <n v="2"/>
    <s v="High"/>
  </r>
  <r>
    <s v="Oliver, Brooke "/>
    <n v="10078"/>
    <n v="1"/>
    <n v="1"/>
    <n v="0"/>
    <n v="5"/>
    <n v="5"/>
    <n v="3"/>
    <n v="0"/>
    <x v="204"/>
    <n v="1"/>
    <n v="20"/>
    <s v="Production Technician II"/>
    <s v="MA"/>
    <n v="2492"/>
    <d v="1952-02-11T00:00:00"/>
    <s v="F"/>
    <s v="Married"/>
    <s v="US Citizen"/>
    <s v="No"/>
    <s v="Asian"/>
    <d v="2012-05-14T00:00:00"/>
    <d v="2013-08-19T00:00:00"/>
    <s v="unhappy"/>
    <s v="Voluntarily Terminated"/>
    <x v="0"/>
    <s v="Webster Butler"/>
    <n v="39"/>
    <s v="LinkedIn"/>
    <s v="Fully Meets"/>
    <n v="5"/>
    <n v="3"/>
    <n v="0"/>
    <s v="7/2/2013"/>
    <n v="0"/>
    <n v="17"/>
    <s v="Normal"/>
    <s v="low Outlier"/>
    <n v="74"/>
    <x v="7"/>
    <n v="1"/>
    <x v="0"/>
    <s v="55+"/>
    <s v="Senior (70-100K)"/>
    <n v="0"/>
    <n v="2012"/>
    <n v="5"/>
    <s v="Q2"/>
    <s v="May"/>
    <s v="2012-05"/>
    <n v="2013"/>
    <s v="Production       "/>
    <n v="71.428571428571431"/>
    <n v="6"/>
    <s v="Medium"/>
  </r>
  <r>
    <s v="Onque, Jasmine"/>
    <n v="10121"/>
    <n v="0"/>
    <n v="0"/>
    <n v="0"/>
    <n v="1"/>
    <n v="6"/>
    <n v="3"/>
    <n v="0"/>
    <x v="205"/>
    <n v="0"/>
    <n v="3"/>
    <s v="Area Sales Manager"/>
    <s v="FL"/>
    <n v="33174"/>
    <d v="1990-05-11T00:00:00"/>
    <s v="F"/>
    <s v="Single"/>
    <s v="US Citizen"/>
    <s v="Yes"/>
    <s v="White"/>
    <d v="2013-09-30T00:00:00"/>
    <m/>
    <s v="N/A-StillEmployed"/>
    <s v="Active"/>
    <x v="4"/>
    <s v="Lynn Daneault"/>
    <n v="21"/>
    <s v="Indeed"/>
    <s v="Fully Meets"/>
    <n v="4.28"/>
    <n v="3"/>
    <n v="0"/>
    <s v="1/25/2019"/>
    <n v="0"/>
    <n v="1"/>
    <s v="Normal"/>
    <s v="low Outlier"/>
    <n v="35"/>
    <x v="4"/>
    <n v="12"/>
    <x v="0"/>
    <s v="26-35"/>
    <s v="Mid (40-70K)"/>
    <n v="1"/>
    <n v="2013"/>
    <n v="9"/>
    <s v="Q3"/>
    <s v="Sep"/>
    <s v="2013-09"/>
    <s v="N/A"/>
    <s v="Production       "/>
    <n v="0"/>
    <n v="0"/>
    <s v="Low"/>
  </r>
  <r>
    <s v="Osturnka, Adeel"/>
    <n v="10021"/>
    <n v="1"/>
    <n v="1"/>
    <n v="1"/>
    <n v="1"/>
    <n v="5"/>
    <n v="4"/>
    <n v="0"/>
    <x v="206"/>
    <n v="0"/>
    <n v="19"/>
    <s v="Production Technician I"/>
    <s v="MA"/>
    <n v="2478"/>
    <d v="1976-12-11T00:00:00"/>
    <s v="M "/>
    <s v="Married"/>
    <s v="US Citizen"/>
    <s v="No"/>
    <s v="White"/>
    <d v="2013-09-30T00:00:00"/>
    <m/>
    <s v="N/A-StillEmployed"/>
    <s v="Active"/>
    <x v="0"/>
    <s v="Kelley Spirea"/>
    <n v="18"/>
    <s v="LinkedIn"/>
    <s v="Exceeds"/>
    <n v="5"/>
    <n v="3"/>
    <n v="0"/>
    <s v="2/7/2019"/>
    <n v="0"/>
    <n v="13"/>
    <s v="Normal"/>
    <s v="low Outlier"/>
    <n v="49"/>
    <x v="4"/>
    <n v="12"/>
    <x v="0"/>
    <s v="46-55"/>
    <s v="Mid (40-70K)"/>
    <n v="1"/>
    <n v="2013"/>
    <n v="9"/>
    <s v="Q3"/>
    <s v="Sep"/>
    <s v="2013-09"/>
    <s v="N/A"/>
    <s v="Production       "/>
    <n v="16.666666666666664"/>
    <n v="0"/>
    <s v="Medium"/>
  </r>
  <r>
    <s v="Owad, Clinton"/>
    <n v="10281"/>
    <n v="0"/>
    <n v="0"/>
    <n v="1"/>
    <n v="1"/>
    <n v="5"/>
    <n v="2"/>
    <n v="0"/>
    <x v="207"/>
    <n v="0"/>
    <n v="19"/>
    <s v="Production Technician I"/>
    <s v="MA"/>
    <n v="1760"/>
    <d v="1979-11-24T00:00:00"/>
    <s v="M "/>
    <s v="Single"/>
    <s v="US Citizen"/>
    <s v="No"/>
    <s v="Black or African American"/>
    <d v="2014-02-17T00:00:00"/>
    <m/>
    <s v="N/A-StillEmployed"/>
    <s v="Active"/>
    <x v="0"/>
    <s v="Michael Albert"/>
    <n v="22"/>
    <s v="LinkedIn"/>
    <s v="Needs Improvement"/>
    <n v="4.25"/>
    <n v="3"/>
    <n v="0"/>
    <s v="2/4/2019"/>
    <n v="4"/>
    <n v="6"/>
    <s v="Normal"/>
    <s v="low Outlier"/>
    <n v="46"/>
    <x v="4"/>
    <n v="12"/>
    <x v="0"/>
    <s v="46-55"/>
    <s v="Mid (40-70K)"/>
    <n v="1"/>
    <n v="2014"/>
    <n v="2"/>
    <s v="Q1"/>
    <s v="Feb"/>
    <s v="2014-02"/>
    <s v="N/A"/>
    <s v="Production       "/>
    <n v="50"/>
    <n v="0"/>
    <s v="Low"/>
  </r>
  <r>
    <s v="Ozark, Travis"/>
    <n v="10041"/>
    <n v="0"/>
    <n v="0"/>
    <n v="1"/>
    <n v="1"/>
    <n v="6"/>
    <n v="3"/>
    <n v="0"/>
    <x v="208"/>
    <n v="0"/>
    <n v="3"/>
    <s v="Area Sales Manager"/>
    <s v="NC"/>
    <n v="27229"/>
    <d v="1982-05-19T00:00:00"/>
    <s v="M "/>
    <s v="Single"/>
    <s v="US Citizen"/>
    <s v="No"/>
    <s v="White"/>
    <d v="2015-01-05T00:00:00"/>
    <m/>
    <s v="N/A-StillEmployed"/>
    <s v="Active"/>
    <x v="4"/>
    <s v="John Smith"/>
    <n v="17"/>
    <s v="Website"/>
    <s v="Fully Meets"/>
    <n v="5"/>
    <n v="5"/>
    <n v="0"/>
    <s v="1/14/2019"/>
    <n v="0"/>
    <n v="18"/>
    <s v="Normal"/>
    <s v="low Outlier"/>
    <n v="43"/>
    <x v="3"/>
    <n v="11"/>
    <x v="0"/>
    <s v="36-45"/>
    <s v="Mid (40-70K)"/>
    <n v="1"/>
    <n v="2015"/>
    <n v="1"/>
    <s v="Q1"/>
    <s v="Jan"/>
    <s v="2015-01"/>
    <s v="N/A"/>
    <s v="Production       "/>
    <n v="0"/>
    <n v="0"/>
    <s v="Medium"/>
  </r>
  <r>
    <s v="Panjwani, Nina"/>
    <n v="10148"/>
    <n v="1"/>
    <n v="1"/>
    <n v="0"/>
    <n v="5"/>
    <n v="5"/>
    <n v="3"/>
    <n v="0"/>
    <x v="209"/>
    <n v="1"/>
    <n v="19"/>
    <s v="Production Technician I"/>
    <s v="MA"/>
    <n v="2351"/>
    <d v="1979-05-01T00:00:00"/>
    <s v="F"/>
    <s v="Married"/>
    <s v="US Citizen"/>
    <s v="No"/>
    <s v="White"/>
    <d v="2011-02-07T00:00:00"/>
    <d v="2014-01-12T00:00:00"/>
    <s v="Another position"/>
    <s v="Voluntarily Terminated"/>
    <x v="0"/>
    <s v="Elijiah Gray"/>
    <n v="16"/>
    <s v="Google Search"/>
    <s v="Fully Meets"/>
    <n v="3.89"/>
    <n v="4"/>
    <n v="0"/>
    <s v="3/4/2013"/>
    <n v="0"/>
    <n v="7"/>
    <s v="Normal"/>
    <s v="low Outlier"/>
    <n v="46"/>
    <x v="6"/>
    <n v="2"/>
    <x v="0"/>
    <s v="46-55"/>
    <s v="Mid (40-70K)"/>
    <n v="0"/>
    <n v="2011"/>
    <n v="2"/>
    <s v="Q1"/>
    <s v="Feb"/>
    <s v="2011-02"/>
    <n v="2014"/>
    <s v="Production       "/>
    <n v="57.142857142857139"/>
    <n v="12"/>
    <s v="Low"/>
  </r>
  <r>
    <s v="Patronick, Lucas"/>
    <n v="10005"/>
    <n v="0"/>
    <n v="0"/>
    <n v="1"/>
    <n v="5"/>
    <n v="4"/>
    <n v="4"/>
    <n v="1"/>
    <x v="210"/>
    <n v="1"/>
    <n v="24"/>
    <s v="Software Engineer"/>
    <s v="MA"/>
    <n v="1844"/>
    <d v="1979-02-20T00:00:00"/>
    <s v="M "/>
    <s v="Single"/>
    <s v="US Citizen"/>
    <s v="No"/>
    <s v="Black or African American"/>
    <d v="2011-11-07T00:00:00"/>
    <d v="2015-09-07T00:00:00"/>
    <s v="Another position"/>
    <s v="Voluntarily Terminated"/>
    <x v="2"/>
    <s v="Alex Sweetwater"/>
    <n v="10"/>
    <s v="Diversity Job Fair"/>
    <s v="Exceeds"/>
    <n v="5"/>
    <n v="5"/>
    <n v="3"/>
    <s v="8/16/2015"/>
    <n v="0"/>
    <n v="13"/>
    <s v="Normal"/>
    <s v="low Outlier"/>
    <n v="47"/>
    <x v="0"/>
    <n v="3"/>
    <x v="0"/>
    <s v="46-55"/>
    <s v="Executive (100K+)"/>
    <n v="0"/>
    <n v="2011"/>
    <n v="11"/>
    <s v="Q4"/>
    <s v="Nov"/>
    <s v="2011-11"/>
    <n v="2015"/>
    <s v="Production       "/>
    <n v="50"/>
    <n v="11"/>
    <s v="Low"/>
  </r>
  <r>
    <s v="Pearson, Randall"/>
    <n v="10259"/>
    <n v="1"/>
    <n v="1"/>
    <n v="1"/>
    <n v="5"/>
    <n v="3"/>
    <n v="3"/>
    <n v="0"/>
    <x v="211"/>
    <n v="1"/>
    <n v="9"/>
    <s v="Data Analyst"/>
    <s v="MA"/>
    <n v="2747"/>
    <d v="1984-09-05T00:00:00"/>
    <s v="M "/>
    <s v="Married"/>
    <s v="US Citizen"/>
    <s v="No"/>
    <s v="White"/>
    <d v="2014-12-01T00:00:00"/>
    <d v="2016-05-01T00:00:00"/>
    <s v="performance"/>
    <s v="Voluntarily Terminated"/>
    <x v="1"/>
    <s v="Simon Roup"/>
    <n v="4"/>
    <s v="Employee Referral"/>
    <s v="Fully Meets"/>
    <n v="4.7"/>
    <n v="4"/>
    <n v="5"/>
    <s v="1/16/2016"/>
    <n v="0"/>
    <n v="19"/>
    <s v="Normal"/>
    <s v="low Outlier"/>
    <n v="41"/>
    <x v="3"/>
    <n v="1"/>
    <x v="0"/>
    <s v="36-45"/>
    <s v="Senior (70-100K)"/>
    <n v="0"/>
    <n v="2014"/>
    <n v="12"/>
    <s v="Q4"/>
    <s v="Dec"/>
    <s v="2014-12"/>
    <n v="2016"/>
    <s v="Production       "/>
    <n v="50"/>
    <n v="1"/>
    <s v="Low"/>
  </r>
  <r>
    <s v="Smith, Martin"/>
    <n v="10286"/>
    <n v="0"/>
    <n v="0"/>
    <n v="1"/>
    <n v="5"/>
    <n v="5"/>
    <n v="2"/>
    <n v="0"/>
    <x v="212"/>
    <n v="1"/>
    <n v="19"/>
    <s v="Production Technician I"/>
    <s v="MA"/>
    <n v="2458"/>
    <d v="1988-03-17T00:00:00"/>
    <s v="M "/>
    <s v="Single"/>
    <s v="US Citizen"/>
    <s v="No"/>
    <s v="Black or African American"/>
    <d v="2011-01-10T00:00:00"/>
    <d v="2017-12-28T00:00:00"/>
    <s v="career change"/>
    <s v="Voluntarily Terminated"/>
    <x v="0"/>
    <s v="Webster Butler"/>
    <n v="39"/>
    <s v="Google Search"/>
    <s v="Needs Improvement"/>
    <n v="3.54"/>
    <n v="5"/>
    <n v="0"/>
    <s v="4/6/2017"/>
    <n v="4"/>
    <n v="15"/>
    <s v="Normal"/>
    <s v="low Outlier"/>
    <n v="37"/>
    <x v="6"/>
    <n v="6"/>
    <x v="0"/>
    <s v="36-45"/>
    <s v="Mid (40-70K)"/>
    <n v="0"/>
    <n v="2011"/>
    <n v="1"/>
    <s v="Q1"/>
    <s v="Jan"/>
    <s v="2011-01"/>
    <n v="2017"/>
    <s v="Production       "/>
    <n v="66.666666666666657"/>
    <n v="4"/>
    <s v="Medium"/>
  </r>
  <r>
    <s v="Pelletier, Ermine"/>
    <n v="10297"/>
    <n v="1"/>
    <n v="1"/>
    <n v="0"/>
    <n v="5"/>
    <n v="5"/>
    <n v="2"/>
    <n v="0"/>
    <x v="213"/>
    <n v="1"/>
    <n v="20"/>
    <s v="Production Technician II"/>
    <s v="MA"/>
    <n v="2472"/>
    <d v="1989-07-18T00:00:00"/>
    <s v="F"/>
    <s v="Married"/>
    <s v="US Citizen"/>
    <s v="No"/>
    <s v="Asian"/>
    <d v="2011-07-05T00:00:00"/>
    <d v="2015-09-15T00:00:00"/>
    <s v="unhappy"/>
    <s v="Voluntarily Terminated"/>
    <x v="0"/>
    <s v="Amy Dunn"/>
    <n v="11"/>
    <s v="CareerBuilder"/>
    <s v="Needs Improvement"/>
    <n v="2.4"/>
    <n v="5"/>
    <n v="0"/>
    <s v="2/6/2015"/>
    <n v="5"/>
    <n v="2"/>
    <s v="Normal"/>
    <s v="low Outlier"/>
    <n v="36"/>
    <x v="0"/>
    <n v="4"/>
    <x v="0"/>
    <s v="36-45"/>
    <s v="Mid (40-70K)"/>
    <n v="0"/>
    <n v="2011"/>
    <n v="7"/>
    <s v="Q3"/>
    <s v="Jul"/>
    <s v="2011-07"/>
    <n v="2015"/>
    <s v="Production       "/>
    <n v="85.714285714285708"/>
    <n v="5"/>
    <s v="Medium"/>
  </r>
  <r>
    <s v="Perry, Shakira"/>
    <n v="10171"/>
    <n v="0"/>
    <n v="0"/>
    <n v="0"/>
    <n v="5"/>
    <n v="5"/>
    <n v="3"/>
    <n v="0"/>
    <x v="214"/>
    <n v="1"/>
    <n v="19"/>
    <s v="Production Technician I"/>
    <s v="MA"/>
    <n v="2176"/>
    <d v="1986-07-20T00:00:00"/>
    <s v="F"/>
    <s v="Single"/>
    <s v="US Citizen"/>
    <s v="No"/>
    <s v="White"/>
    <d v="2011-05-16T00:00:00"/>
    <d v="2015-10-25T00:00:00"/>
    <s v="medical issues"/>
    <s v="Voluntarily Terminated"/>
    <x v="0"/>
    <s v="Amy Dunn"/>
    <n v="11"/>
    <s v="LinkedIn"/>
    <s v="Fully Meets"/>
    <n v="3.45"/>
    <n v="4"/>
    <n v="0"/>
    <s v="5/13/2014"/>
    <n v="0"/>
    <n v="5"/>
    <s v="Normal"/>
    <s v="low Outlier"/>
    <n v="39"/>
    <x v="0"/>
    <n v="4"/>
    <x v="0"/>
    <s v="36-45"/>
    <s v="Mid (40-70K)"/>
    <n v="0"/>
    <n v="2011"/>
    <n v="5"/>
    <s v="Q2"/>
    <s v="May"/>
    <s v="2011-05"/>
    <n v="2015"/>
    <s v="Production       "/>
    <n v="83.333333333333343"/>
    <n v="3"/>
    <s v="Low"/>
  </r>
  <r>
    <s v="Peters, Lauren"/>
    <n v="10032"/>
    <n v="1"/>
    <n v="1"/>
    <n v="0"/>
    <n v="5"/>
    <n v="5"/>
    <n v="4"/>
    <n v="0"/>
    <x v="215"/>
    <n v="1"/>
    <n v="20"/>
    <s v="Production Technician II"/>
    <s v="MA"/>
    <n v="1886"/>
    <d v="1986-08-17T00:00:00"/>
    <s v="F"/>
    <s v="Married"/>
    <s v="US Citizen"/>
    <s v="No"/>
    <s v="White"/>
    <d v="2011-05-16T00:00:00"/>
    <d v="2013-02-04T00:00:00"/>
    <s v="more money"/>
    <s v="Voluntarily Terminated"/>
    <x v="0"/>
    <s v="Ketsia Liebig"/>
    <n v="19"/>
    <s v="Indeed"/>
    <s v="Exceeds"/>
    <n v="4.2"/>
    <n v="5"/>
    <n v="0"/>
    <s v="1/10/2013"/>
    <n v="0"/>
    <n v="12"/>
    <s v="Normal"/>
    <s v="low Outlier"/>
    <n v="39"/>
    <x v="0"/>
    <n v="1"/>
    <x v="0"/>
    <s v="36-45"/>
    <s v="Mid (40-70K)"/>
    <n v="0"/>
    <n v="2011"/>
    <n v="5"/>
    <s v="Q2"/>
    <s v="May"/>
    <s v="2011-05"/>
    <n v="2013"/>
    <s v="Production       "/>
    <n v="66.666666666666657"/>
    <n v="3"/>
    <s v="Medium"/>
  </r>
  <r>
    <s v="Peterson, Ebonee  "/>
    <n v="10130"/>
    <n v="1"/>
    <n v="1"/>
    <n v="0"/>
    <n v="5"/>
    <n v="5"/>
    <n v="3"/>
    <n v="0"/>
    <x v="216"/>
    <n v="1"/>
    <n v="18"/>
    <s v="Production Manager"/>
    <s v="MA"/>
    <n v="2030"/>
    <d v="1977-05-09T00:00:00"/>
    <s v="F"/>
    <s v="Married"/>
    <s v="US Citizen"/>
    <s v="No"/>
    <s v="White"/>
    <d v="2010-10-25T00:00:00"/>
    <d v="2016-05-18T00:00:00"/>
    <s v="Another position"/>
    <s v="Voluntarily Terminated"/>
    <x v="0"/>
    <s v="Janet King"/>
    <n v="2"/>
    <s v="Indeed"/>
    <s v="Fully Meets"/>
    <n v="4.16"/>
    <n v="5"/>
    <n v="0"/>
    <s v="3/5/2015"/>
    <n v="0"/>
    <n v="6"/>
    <s v="Normal"/>
    <s v="low Outlier"/>
    <n v="48"/>
    <x v="6"/>
    <n v="5"/>
    <x v="0"/>
    <s v="46-55"/>
    <s v="Senior (70-100K)"/>
    <n v="0"/>
    <n v="2010"/>
    <n v="10"/>
    <s v="Q4"/>
    <s v="Oct"/>
    <s v="2010-10"/>
    <n v="2016"/>
    <s v="Production       "/>
    <n v="42.857142857142854"/>
    <n v="10"/>
    <s v="Low"/>
  </r>
  <r>
    <s v="Petingill, Shana  "/>
    <n v="10217"/>
    <n v="1"/>
    <n v="1"/>
    <n v="0"/>
    <n v="1"/>
    <n v="5"/>
    <n v="3"/>
    <n v="0"/>
    <x v="217"/>
    <n v="0"/>
    <n v="20"/>
    <s v="Production Technician II"/>
    <s v="MA"/>
    <n v="2050"/>
    <d v="1979-03-10T00:00:00"/>
    <s v="F"/>
    <s v="Married"/>
    <s v="Eligible NonCitizen"/>
    <s v="No"/>
    <s v="Asian"/>
    <d v="2012-04-02T00:00:00"/>
    <m/>
    <s v="N/A-StillEmployed"/>
    <s v="Active"/>
    <x v="0"/>
    <s v="Brannon Miller"/>
    <n v="12"/>
    <s v="LinkedIn"/>
    <s v="Fully Meets"/>
    <n v="4.3"/>
    <n v="3"/>
    <n v="0"/>
    <s v="1/14/2019"/>
    <n v="0"/>
    <n v="14"/>
    <s v="Normal"/>
    <s v="low Outlier"/>
    <n v="47"/>
    <x v="7"/>
    <n v="13"/>
    <x v="0"/>
    <s v="46-55"/>
    <s v="Senior (70-100K)"/>
    <n v="1"/>
    <n v="2012"/>
    <n v="4"/>
    <s v="Q2"/>
    <s v="Apr"/>
    <s v="2012-04"/>
    <s v="N/A"/>
    <s v="Production       "/>
    <n v="42.857142857142854"/>
    <n v="0"/>
    <s v="Medium"/>
  </r>
  <r>
    <s v="Petrowsky, Thelma"/>
    <n v="10016"/>
    <n v="1"/>
    <n v="1"/>
    <n v="0"/>
    <n v="1"/>
    <n v="3"/>
    <n v="4"/>
    <n v="0"/>
    <x v="218"/>
    <n v="0"/>
    <n v="9"/>
    <s v="Data Analyst"/>
    <s v="MA"/>
    <n v="1886"/>
    <d v="1984-09-16T00:00:00"/>
    <s v="F"/>
    <s v="Married"/>
    <s v="US Citizen"/>
    <s v="No"/>
    <s v="Black or African American"/>
    <d v="2014-11-10T00:00:00"/>
    <m/>
    <s v="N/A-StillEmployed"/>
    <s v="Active"/>
    <x v="1"/>
    <s v="Simon Roup"/>
    <n v="4"/>
    <s v="Employee Referral"/>
    <s v="Exceeds"/>
    <n v="4.5999999999999996"/>
    <n v="5"/>
    <n v="7"/>
    <s v="1/4/2019"/>
    <n v="0"/>
    <n v="16"/>
    <s v="Normal"/>
    <s v="low Outlier"/>
    <n v="41"/>
    <x v="3"/>
    <n v="11"/>
    <x v="0"/>
    <s v="36-45"/>
    <s v="Senior (70-100K)"/>
    <n v="1"/>
    <n v="2014"/>
    <n v="11"/>
    <s v="Q4"/>
    <s v="Nov"/>
    <s v="2014-11"/>
    <s v="N/A"/>
    <s v="Production       "/>
    <n v="42.857142857142854"/>
    <n v="0"/>
    <s v="Low"/>
  </r>
  <r>
    <s v="Pham, Hong"/>
    <n v="10050"/>
    <n v="1"/>
    <n v="1"/>
    <n v="1"/>
    <n v="5"/>
    <n v="5"/>
    <n v="3"/>
    <n v="0"/>
    <x v="219"/>
    <n v="1"/>
    <n v="19"/>
    <s v="Production Technician I"/>
    <s v="MA"/>
    <n v="2451"/>
    <d v="1988-03-06T00:00:00"/>
    <s v="M "/>
    <s v="Married"/>
    <s v="US Citizen"/>
    <s v="No"/>
    <s v="Asian"/>
    <d v="2011-07-05T00:00:00"/>
    <d v="2012-11-30T00:00:00"/>
    <s v="more money"/>
    <s v="Voluntarily Terminated"/>
    <x v="0"/>
    <s v="Brannon Miller"/>
    <n v="12"/>
    <s v="Google Search"/>
    <s v="Fully Meets"/>
    <n v="5"/>
    <n v="3"/>
    <n v="0"/>
    <s v="2/20/2012"/>
    <n v="0"/>
    <n v="13"/>
    <s v="Normal"/>
    <s v="low Outlier"/>
    <n v="38"/>
    <x v="0"/>
    <n v="1"/>
    <x v="0"/>
    <s v="36-45"/>
    <s v="Mid (40-70K)"/>
    <n v="0"/>
    <n v="2011"/>
    <n v="7"/>
    <s v="Q3"/>
    <s v="Jul"/>
    <s v="2011-07"/>
    <n v="2012"/>
    <s v="Production       "/>
    <n v="50"/>
    <n v="2"/>
    <s v="Medium"/>
  </r>
  <r>
    <s v="Pitt, Brad "/>
    <n v="10164"/>
    <n v="0"/>
    <n v="0"/>
    <n v="1"/>
    <n v="1"/>
    <n v="5"/>
    <n v="3"/>
    <n v="0"/>
    <x v="220"/>
    <n v="0"/>
    <n v="19"/>
    <s v="Production Technician I"/>
    <s v="MA"/>
    <n v="2451"/>
    <d v="1981-11-23T00:00:00"/>
    <s v="M "/>
    <s v="Single"/>
    <s v="US Citizen"/>
    <s v="No"/>
    <s v="White"/>
    <d v="2007-11-05T00:00:00"/>
    <m/>
    <s v="N/A-StillEmployed"/>
    <s v="Active"/>
    <x v="0"/>
    <s v="David Stanley"/>
    <n v="14"/>
    <s v="Google Search"/>
    <s v="Fully Meets"/>
    <n v="3.66"/>
    <n v="3"/>
    <n v="0"/>
    <s v="2/25/2019"/>
    <n v="0"/>
    <n v="15"/>
    <s v="Normal"/>
    <s v="low Outlier"/>
    <n v="44"/>
    <x v="2"/>
    <n v="18"/>
    <x v="0"/>
    <s v="36-45"/>
    <s v="Mid (40-70K)"/>
    <n v="1"/>
    <n v="2007"/>
    <n v="11"/>
    <s v="Q4"/>
    <s v="Nov"/>
    <s v="2007-11"/>
    <s v="N/A"/>
    <s v="Production       "/>
    <n v="28.571428571428569"/>
    <n v="0"/>
    <s v="Medium"/>
  </r>
  <r>
    <s v="Potts, Xana"/>
    <n v="10124"/>
    <n v="1"/>
    <n v="1"/>
    <n v="0"/>
    <n v="1"/>
    <n v="6"/>
    <n v="3"/>
    <n v="0"/>
    <x v="221"/>
    <n v="0"/>
    <n v="3"/>
    <s v="Area Sales Manager"/>
    <s v="KY"/>
    <n v="40220"/>
    <d v="1988-08-29T00:00:00"/>
    <s v="F"/>
    <s v="Married"/>
    <s v="US Citizen"/>
    <s v="No"/>
    <s v="Black or African American"/>
    <d v="2012-01-09T00:00:00"/>
    <m/>
    <s v="N/A-StillEmployed"/>
    <s v="Active"/>
    <x v="4"/>
    <s v="Lynn Daneault"/>
    <n v="21"/>
    <s v="Website"/>
    <s v="Fully Meets"/>
    <n v="4.2"/>
    <n v="5"/>
    <n v="0"/>
    <s v="2/1/2019"/>
    <n v="0"/>
    <n v="9"/>
    <s v="Normal"/>
    <s v="low Outlier"/>
    <n v="37"/>
    <x v="0"/>
    <n v="14"/>
    <x v="0"/>
    <s v="36-45"/>
    <s v="Mid (40-70K)"/>
    <n v="1"/>
    <n v="2012"/>
    <n v="1"/>
    <s v="Q1"/>
    <s v="Jan"/>
    <s v="2012-01"/>
    <s v="N/A"/>
    <s v="Production       "/>
    <n v="0"/>
    <n v="0"/>
    <s v="Low"/>
  </r>
  <r>
    <s v="Power, Morissa"/>
    <n v="10187"/>
    <n v="0"/>
    <n v="2"/>
    <n v="0"/>
    <n v="5"/>
    <n v="5"/>
    <n v="3"/>
    <n v="0"/>
    <x v="222"/>
    <n v="1"/>
    <n v="19"/>
    <s v="Production Technician I"/>
    <s v="MA"/>
    <n v="1742"/>
    <d v="1984-10-15T00:00:00"/>
    <s v="F"/>
    <s v="Divorced"/>
    <s v="Eligible NonCitizen"/>
    <s v="No"/>
    <s v="Asian"/>
    <d v="2011-05-16T00:00:00"/>
    <d v="2018-06-04T00:00:00"/>
    <s v="Another position"/>
    <s v="Voluntarily Terminated"/>
    <x v="0"/>
    <s v="Kissy Sullivan"/>
    <n v="20"/>
    <s v="Google Search"/>
    <s v="Fully Meets"/>
    <n v="3.17"/>
    <n v="4"/>
    <n v="0"/>
    <s v="4/2/2018"/>
    <n v="0"/>
    <n v="14"/>
    <s v="Normal"/>
    <s v="low Outlier"/>
    <n v="41"/>
    <x v="0"/>
    <n v="7"/>
    <x v="0"/>
    <s v="36-45"/>
    <s v="Mid (40-70K)"/>
    <n v="0"/>
    <n v="2011"/>
    <n v="5"/>
    <s v="Q2"/>
    <s v="May"/>
    <s v="2011-05"/>
    <n v="2018"/>
    <s v="Production       "/>
    <n v="71.428571428571431"/>
    <n v="9"/>
    <s v="Medium"/>
  </r>
  <r>
    <s v="Punjabhi, Louis  "/>
    <n v="10225"/>
    <n v="0"/>
    <n v="0"/>
    <n v="1"/>
    <n v="1"/>
    <n v="5"/>
    <n v="3"/>
    <n v="0"/>
    <x v="223"/>
    <n v="0"/>
    <n v="19"/>
    <s v="Production Technician I"/>
    <s v="MA"/>
    <n v="2109"/>
    <d v="1961-06-19T00:00:00"/>
    <s v="M "/>
    <s v="Single"/>
    <s v="US Citizen"/>
    <s v="No"/>
    <s v="White"/>
    <d v="2014-01-06T00:00:00"/>
    <m/>
    <s v="N/A-StillEmployed"/>
    <s v="Active"/>
    <x v="0"/>
    <s v="Kelley Spirea"/>
    <n v="18"/>
    <s v="Employee Referral"/>
    <s v="Fully Meets"/>
    <n v="4.8"/>
    <n v="3"/>
    <n v="0"/>
    <s v="1/7/2019"/>
    <n v="0"/>
    <n v="14"/>
    <s v="Normal"/>
    <s v="low Outlier"/>
    <n v="64"/>
    <x v="4"/>
    <n v="12"/>
    <x v="0"/>
    <s v="55+"/>
    <s v="Mid (40-70K)"/>
    <n v="1"/>
    <n v="2014"/>
    <n v="1"/>
    <s v="Q1"/>
    <s v="Jan"/>
    <s v="2014-01"/>
    <s v="N/A"/>
    <s v="Production       "/>
    <n v="20"/>
    <n v="0"/>
    <s v="Medium"/>
  </r>
  <r>
    <s v="Purinton, Janine"/>
    <n v="10262"/>
    <n v="0"/>
    <n v="2"/>
    <n v="0"/>
    <n v="5"/>
    <n v="5"/>
    <n v="3"/>
    <n v="0"/>
    <x v="224"/>
    <n v="1"/>
    <n v="19"/>
    <s v="Production Technician I"/>
    <s v="MA"/>
    <n v="2474"/>
    <d v="1970-09-22T00:00:00"/>
    <s v="F"/>
    <s v="Divorced"/>
    <s v="US Citizen"/>
    <s v="No"/>
    <s v="White"/>
    <d v="2012-09-24T00:00:00"/>
    <d v="2013-06-18T00:00:00"/>
    <s v="unhappy"/>
    <s v="Voluntarily Terminated"/>
    <x v="0"/>
    <s v="Kissy Sullivan"/>
    <n v="20"/>
    <s v="Indeed"/>
    <s v="Fully Meets"/>
    <n v="4.5"/>
    <n v="5"/>
    <n v="0"/>
    <s v="4/2/2013"/>
    <n v="0"/>
    <n v="16"/>
    <s v="Normal"/>
    <s v="low Outlier"/>
    <n v="55"/>
    <x v="7"/>
    <n v="0"/>
    <x v="0"/>
    <s v="46-55"/>
    <s v="Mid (40-70K)"/>
    <n v="0"/>
    <n v="2012"/>
    <n v="9"/>
    <s v="Q3"/>
    <s v="Sep"/>
    <s v="2012-09"/>
    <n v="2013"/>
    <s v="Production       "/>
    <n v="66.666666666666657"/>
    <n v="4"/>
    <s v="Medium"/>
  </r>
  <r>
    <s v="Quinn, Sean"/>
    <n v="10131"/>
    <n v="1"/>
    <n v="1"/>
    <n v="1"/>
    <n v="5"/>
    <n v="1"/>
    <n v="3"/>
    <n v="1"/>
    <x v="225"/>
    <n v="1"/>
    <n v="23"/>
    <s v="Software Engineer"/>
    <s v="MA"/>
    <n v="2045"/>
    <d v="1984-11-06T00:00:00"/>
    <s v="M "/>
    <s v="Married"/>
    <s v="Eligible NonCitizen"/>
    <s v="No"/>
    <s v="Black or African American"/>
    <d v="2011-02-21T00:00:00"/>
    <d v="2015-08-15T00:00:00"/>
    <s v="career change"/>
    <s v="Voluntarily Terminated"/>
    <x v="2"/>
    <s v="Janet King"/>
    <n v="2"/>
    <s v="Diversity Job Fair"/>
    <s v="Fully Meets"/>
    <n v="4.1500000000000004"/>
    <n v="4"/>
    <n v="0"/>
    <s v="4/19/2014"/>
    <n v="0"/>
    <n v="4"/>
    <s v="Normal"/>
    <s v="low Outlier"/>
    <n v="41"/>
    <x v="6"/>
    <n v="4"/>
    <x v="0"/>
    <s v="36-45"/>
    <s v="Senior (70-100K)"/>
    <n v="0"/>
    <n v="2011"/>
    <n v="2"/>
    <s v="Q1"/>
    <s v="Feb"/>
    <s v="2011-02"/>
    <n v="2015"/>
    <s v="Production       "/>
    <n v="33.333333333333329"/>
    <n v="3"/>
    <s v="Low"/>
  </r>
  <r>
    <s v="Rachael, Maggie"/>
    <n v="10239"/>
    <n v="1"/>
    <n v="1"/>
    <n v="0"/>
    <n v="1"/>
    <n v="3"/>
    <n v="3"/>
    <n v="0"/>
    <x v="226"/>
    <n v="0"/>
    <n v="4"/>
    <s v="BI Developer"/>
    <s v="MA"/>
    <n v="2110"/>
    <d v="1980-05-12T00:00:00"/>
    <s v="F"/>
    <s v="Married"/>
    <s v="US Citizen"/>
    <s v="No"/>
    <s v="Black or African American"/>
    <d v="2016-10-02T00:00:00"/>
    <m/>
    <s v="N/A-StillEmployed"/>
    <s v="Active"/>
    <x v="1"/>
    <s v="Brian Champaigne"/>
    <n v="13"/>
    <s v="Indeed"/>
    <s v="Fully Meets"/>
    <n v="4.4000000000000004"/>
    <n v="4"/>
    <n v="6"/>
    <s v="2/6/2019"/>
    <n v="0"/>
    <n v="10"/>
    <s v="Normal"/>
    <s v="low Outlier"/>
    <n v="45"/>
    <x v="8"/>
    <n v="9"/>
    <x v="1"/>
    <s v="36-45"/>
    <s v="Senior (70-100K)"/>
    <n v="1"/>
    <n v="2016"/>
    <n v="10"/>
    <s v="Q4"/>
    <s v="Oct"/>
    <s v="2016-10"/>
    <s v="N/A"/>
    <s v="Production       "/>
    <n v="0"/>
    <n v="0"/>
    <s v="Low"/>
  </r>
  <r>
    <s v="Rarrick, Quinn"/>
    <n v="10152"/>
    <n v="0"/>
    <n v="2"/>
    <n v="1"/>
    <n v="5"/>
    <n v="5"/>
    <n v="3"/>
    <n v="0"/>
    <x v="227"/>
    <n v="1"/>
    <n v="19"/>
    <s v="Production Technician I"/>
    <s v="MA"/>
    <n v="2478"/>
    <d v="1984-12-31T00:00:00"/>
    <s v="M "/>
    <s v="Divorced"/>
    <s v="US Citizen"/>
    <s v="No"/>
    <s v="White"/>
    <d v="2011-09-26T00:00:00"/>
    <d v="2018-04-07T00:00:00"/>
    <s v="more money"/>
    <s v="Voluntarily Terminated"/>
    <x v="0"/>
    <s v="Michael Albert"/>
    <n v="22"/>
    <s v="Indeed"/>
    <s v="Fully Meets"/>
    <n v="3.8"/>
    <n v="5"/>
    <n v="0"/>
    <s v="2/4/2018"/>
    <n v="0"/>
    <n v="19"/>
    <s v="Normal"/>
    <s v="low Outlier"/>
    <n v="41"/>
    <x v="0"/>
    <n v="6"/>
    <x v="0"/>
    <s v="36-45"/>
    <s v="Mid (40-70K)"/>
    <n v="0"/>
    <n v="2011"/>
    <n v="9"/>
    <s v="Q3"/>
    <s v="Sep"/>
    <s v="2011-09"/>
    <n v="2018"/>
    <s v="Production       "/>
    <n v="60"/>
    <n v="1"/>
    <s v="Medium"/>
  </r>
  <r>
    <s v="Ren, Kylo"/>
    <n v="10140"/>
    <n v="1"/>
    <n v="1"/>
    <n v="1"/>
    <n v="1"/>
    <n v="6"/>
    <n v="3"/>
    <n v="0"/>
    <x v="228"/>
    <n v="0"/>
    <n v="3"/>
    <s v="Area Sales Manager"/>
    <s v="ID"/>
    <n v="83706"/>
    <d v="1954-10-12T00:00:00"/>
    <s v="M "/>
    <s v="Married"/>
    <s v="US Citizen"/>
    <s v="No"/>
    <s v="White"/>
    <d v="2014-05-12T00:00:00"/>
    <m/>
    <s v="N/A-StillEmployed"/>
    <s v="Active"/>
    <x v="4"/>
    <s v="John Smith"/>
    <n v="17"/>
    <s v="CareerBuilder"/>
    <s v="Fully Meets"/>
    <n v="3.98"/>
    <n v="3"/>
    <n v="0"/>
    <s v="1/28/2019"/>
    <n v="0"/>
    <n v="4"/>
    <s v="Normal"/>
    <s v="low Outlier"/>
    <n v="71"/>
    <x v="3"/>
    <n v="11"/>
    <x v="0"/>
    <s v="55+"/>
    <s v="Mid (40-70K)"/>
    <n v="1"/>
    <n v="2014"/>
    <n v="5"/>
    <s v="Q2"/>
    <s v="May"/>
    <s v="2014-05"/>
    <s v="N/A"/>
    <s v="Production       "/>
    <n v="0"/>
    <n v="0"/>
    <s v="Low"/>
  </r>
  <r>
    <s v="Rhoads, Thomas"/>
    <n v="10058"/>
    <n v="0"/>
    <n v="2"/>
    <n v="1"/>
    <n v="5"/>
    <n v="5"/>
    <n v="3"/>
    <n v="0"/>
    <x v="229"/>
    <n v="1"/>
    <n v="19"/>
    <s v="Production Technician I"/>
    <s v="MA"/>
    <n v="2176"/>
    <d v="1982-07-22T00:00:00"/>
    <s v="M "/>
    <s v="Divorced"/>
    <s v="US Citizen"/>
    <s v="Yes"/>
    <s v="White"/>
    <d v="2011-05-16T00:00:00"/>
    <d v="2016-01-15T00:00:00"/>
    <s v="retiring"/>
    <s v="Voluntarily Terminated"/>
    <x v="0"/>
    <s v="Elijiah Gray"/>
    <n v="16"/>
    <s v="LinkedIn"/>
    <s v="Fully Meets"/>
    <n v="5"/>
    <n v="4"/>
    <n v="0"/>
    <s v="3/30/2015"/>
    <n v="0"/>
    <n v="11"/>
    <s v="Normal"/>
    <s v="low Outlier"/>
    <n v="43"/>
    <x v="0"/>
    <n v="4"/>
    <x v="0"/>
    <s v="36-45"/>
    <s v="Mid (40-70K)"/>
    <n v="0"/>
    <n v="2011"/>
    <n v="5"/>
    <s v="Q2"/>
    <s v="May"/>
    <s v="2011-05"/>
    <n v="2016"/>
    <s v="Production       "/>
    <n v="50"/>
    <n v="2"/>
    <s v="Medium"/>
  </r>
  <r>
    <s v="Rivera, Haley  "/>
    <n v="10011"/>
    <n v="1"/>
    <n v="1"/>
    <n v="0"/>
    <n v="1"/>
    <n v="5"/>
    <n v="4"/>
    <n v="0"/>
    <x v="230"/>
    <n v="0"/>
    <n v="19"/>
    <s v="Production Technician I"/>
    <s v="MA"/>
    <n v="2171"/>
    <d v="1973-01-12T00:00:00"/>
    <s v="F"/>
    <s v="Married"/>
    <s v="US Citizen"/>
    <s v="No"/>
    <s v="Asian"/>
    <d v="2011-11-28T00:00:00"/>
    <m/>
    <s v="N/A-StillEmployed"/>
    <s v="Active"/>
    <x v="0"/>
    <s v="Webster Butler"/>
    <m/>
    <s v="Google Search"/>
    <s v="Exceeds"/>
    <n v="4.3600000000000003"/>
    <n v="5"/>
    <n v="0"/>
    <s v="2/11/2019"/>
    <n v="0"/>
    <n v="16"/>
    <s v="Normal"/>
    <s v="low Outlier"/>
    <n v="53"/>
    <x v="0"/>
    <n v="14"/>
    <x v="0"/>
    <s v="46-55"/>
    <s v="Mid (40-70K)"/>
    <n v="1"/>
    <n v="2011"/>
    <n v="11"/>
    <s v="Q4"/>
    <s v="Nov"/>
    <s v="2011-11"/>
    <s v="N/A"/>
    <s v="Production       "/>
    <n v="60"/>
    <n v="0"/>
    <s v="Medium"/>
  </r>
  <r>
    <s v="Roberson, May"/>
    <n v="10230"/>
    <n v="0"/>
    <n v="2"/>
    <n v="0"/>
    <n v="5"/>
    <n v="5"/>
    <n v="3"/>
    <n v="0"/>
    <x v="231"/>
    <n v="1"/>
    <n v="20"/>
    <s v="Production Technician II"/>
    <s v="MA"/>
    <n v="1902"/>
    <d v="1981-09-05T00:00:00"/>
    <s v="F"/>
    <s v="Divorced"/>
    <s v="Eligible NonCitizen"/>
    <s v="No"/>
    <s v="Black or African American"/>
    <d v="2011-09-26T00:00:00"/>
    <d v="2011-10-22T00:00:00"/>
    <s v="return to school"/>
    <s v="Voluntarily Terminated"/>
    <x v="0"/>
    <s v="David Stanley"/>
    <n v="14"/>
    <s v="Google Search"/>
    <s v="Fully Meets"/>
    <n v="4.5"/>
    <n v="4"/>
    <n v="0"/>
    <s v="10/22/2011"/>
    <n v="0"/>
    <n v="10"/>
    <s v="Normal"/>
    <s v="low Outlier"/>
    <n v="44"/>
    <x v="0"/>
    <n v="0"/>
    <x v="0"/>
    <s v="36-45"/>
    <s v="Mid (40-70K)"/>
    <n v="0"/>
    <n v="2011"/>
    <n v="9"/>
    <s v="Q3"/>
    <s v="Sep"/>
    <s v="2011-09"/>
    <n v="2011"/>
    <s v="Production       "/>
    <n v="33.333333333333329"/>
    <n v="2"/>
    <s v="Low"/>
  </r>
  <r>
    <s v="Robertson, Peter"/>
    <n v="10224"/>
    <n v="1"/>
    <n v="1"/>
    <n v="1"/>
    <n v="5"/>
    <n v="5"/>
    <n v="3"/>
    <n v="0"/>
    <x v="232"/>
    <n v="1"/>
    <n v="20"/>
    <s v="Production Technician II"/>
    <s v="MA"/>
    <n v="2138"/>
    <d v="1972-07-03T00:00:00"/>
    <s v="M "/>
    <s v="Married"/>
    <s v="US Citizen"/>
    <s v="No"/>
    <s v="White"/>
    <d v="2011-07-05T00:00:00"/>
    <d v="2012-02-08T00:00:00"/>
    <s v="Another position"/>
    <s v="Voluntarily Terminated"/>
    <x v="0"/>
    <s v="Kissy Sullivan"/>
    <n v="20"/>
    <s v="Indeed"/>
    <s v="Fully Meets"/>
    <n v="4.2"/>
    <n v="5"/>
    <n v="0"/>
    <s v="1/6/2012"/>
    <n v="0"/>
    <n v="13"/>
    <s v="Normal"/>
    <s v="low Outlier"/>
    <n v="53"/>
    <x v="0"/>
    <n v="0"/>
    <x v="0"/>
    <s v="46-55"/>
    <s v="Mid (40-70K)"/>
    <n v="0"/>
    <n v="2011"/>
    <n v="7"/>
    <s v="Q3"/>
    <s v="Jul"/>
    <s v="2011-07"/>
    <n v="2012"/>
    <s v="Production       "/>
    <n v="60"/>
    <n v="8"/>
    <s v="Medium"/>
  </r>
  <r>
    <s v="Robinson, Alain  "/>
    <n v="10047"/>
    <n v="1"/>
    <n v="1"/>
    <n v="1"/>
    <n v="5"/>
    <n v="5"/>
    <n v="3"/>
    <n v="0"/>
    <x v="233"/>
    <n v="1"/>
    <n v="19"/>
    <s v="Production Technician I"/>
    <s v="MA"/>
    <n v="1420"/>
    <d v="1974-01-07T00:00:00"/>
    <s v="M "/>
    <s v="Married"/>
    <s v="US Citizen"/>
    <s v="No"/>
    <s v="Black or African American"/>
    <d v="2011-01-10T00:00:00"/>
    <d v="2016-01-26T00:00:00"/>
    <s v="attendance"/>
    <s v="Voluntarily Terminated"/>
    <x v="0"/>
    <s v="Amy Dunn"/>
    <n v="11"/>
    <s v="Indeed"/>
    <s v="Fully Meets"/>
    <n v="5"/>
    <n v="3"/>
    <n v="0"/>
    <s v="1/10/2015"/>
    <n v="0"/>
    <n v="11"/>
    <s v="Normal"/>
    <s v="low Outlier"/>
    <n v="52"/>
    <x v="6"/>
    <n v="5"/>
    <x v="0"/>
    <s v="46-55"/>
    <s v="Mid (40-70K)"/>
    <n v="0"/>
    <n v="2011"/>
    <n v="1"/>
    <s v="Q1"/>
    <s v="Jan"/>
    <s v="2011-01"/>
    <n v="2016"/>
    <s v="Production       "/>
    <n v="80"/>
    <n v="2"/>
    <s v="Medium"/>
  </r>
  <r>
    <s v="Robinson, Cherly"/>
    <n v="10285"/>
    <n v="1"/>
    <n v="1"/>
    <n v="0"/>
    <n v="4"/>
    <n v="5"/>
    <n v="2"/>
    <n v="0"/>
    <x v="234"/>
    <n v="1"/>
    <n v="19"/>
    <s v="Production Technician I"/>
    <s v="MA"/>
    <n v="1460"/>
    <d v="1985-01-07T00:00:00"/>
    <s v="F"/>
    <s v="Married"/>
    <s v="US Citizen"/>
    <s v="No"/>
    <s v="White"/>
    <d v="2011-01-10T00:00:00"/>
    <d v="2016-05-17T00:00:00"/>
    <s v="attendance"/>
    <s v="Terminated for Cause"/>
    <x v="0"/>
    <s v="Ketsia Liebig"/>
    <n v="19"/>
    <s v="Indeed"/>
    <s v="Needs Improvement"/>
    <n v="3.6"/>
    <n v="3"/>
    <n v="0"/>
    <s v="4/5/2016"/>
    <n v="4"/>
    <n v="16"/>
    <s v="Normal"/>
    <s v="low Outlier"/>
    <n v="41"/>
    <x v="6"/>
    <n v="5"/>
    <x v="0"/>
    <s v="36-45"/>
    <s v="Mid (40-70K)"/>
    <n v="0"/>
    <n v="2011"/>
    <n v="1"/>
    <s v="Q1"/>
    <s v="Jan"/>
    <s v="2011-01"/>
    <n v="2016"/>
    <s v="Production       "/>
    <n v="60"/>
    <n v="1"/>
    <s v="Medium"/>
  </r>
  <r>
    <s v="Robinson, Elias"/>
    <n v="10020"/>
    <n v="0"/>
    <n v="4"/>
    <n v="1"/>
    <n v="1"/>
    <n v="5"/>
    <n v="4"/>
    <n v="0"/>
    <x v="235"/>
    <n v="0"/>
    <n v="19"/>
    <s v="Production Technician I"/>
    <s v="MA"/>
    <n v="1730"/>
    <d v="1985-01-28T00:00:00"/>
    <s v="M "/>
    <s v="Widowed"/>
    <s v="US Citizen"/>
    <s v="No"/>
    <s v="White"/>
    <d v="2013-07-08T00:00:00"/>
    <m/>
    <s v="N/A-StillEmployed"/>
    <s v="Active"/>
    <x v="0"/>
    <s v="Brannon Miller"/>
    <n v="12"/>
    <s v="Employee Referral"/>
    <s v="Exceeds"/>
    <n v="3.6"/>
    <n v="5"/>
    <n v="0"/>
    <s v="2/11/2019"/>
    <n v="0"/>
    <n v="4"/>
    <s v="Normal"/>
    <s v="low Outlier"/>
    <n v="41"/>
    <x v="4"/>
    <n v="12"/>
    <x v="0"/>
    <s v="36-45"/>
    <s v="Mid (40-70K)"/>
    <n v="1"/>
    <n v="2013"/>
    <n v="7"/>
    <s v="Q3"/>
    <s v="Jul"/>
    <s v="2013-07"/>
    <s v="N/A"/>
    <s v="Production       "/>
    <n v="40"/>
    <n v="0"/>
    <s v="Low"/>
  </r>
  <r>
    <s v="Roby, Lori "/>
    <n v="10162"/>
    <n v="1"/>
    <n v="1"/>
    <n v="0"/>
    <n v="1"/>
    <n v="3"/>
    <n v="3"/>
    <n v="0"/>
    <x v="236"/>
    <n v="0"/>
    <n v="9"/>
    <s v="Data Analyst"/>
    <s v="MA"/>
    <n v="1886"/>
    <d v="1981-10-11T00:00:00"/>
    <s v="F"/>
    <s v="Married"/>
    <s v="US Citizen"/>
    <s v="No"/>
    <s v="White"/>
    <d v="2015-02-16T00:00:00"/>
    <m/>
    <s v="N/A-StillEmployed"/>
    <s v="Active"/>
    <x v="1"/>
    <s v="Simon Roup"/>
    <n v="4"/>
    <s v="Employee Referral"/>
    <s v="Fully Meets"/>
    <n v="3.69"/>
    <n v="5"/>
    <n v="6"/>
    <s v="2/14/2019"/>
    <n v="0"/>
    <n v="15"/>
    <s v="Normal"/>
    <s v="low Outlier"/>
    <n v="44"/>
    <x v="3"/>
    <n v="11"/>
    <x v="0"/>
    <s v="36-45"/>
    <s v="Senior (70-100K)"/>
    <n v="1"/>
    <n v="2015"/>
    <n v="2"/>
    <s v="Q1"/>
    <s v="Feb"/>
    <s v="2015-02"/>
    <s v="N/A"/>
    <s v="Production       "/>
    <n v="50"/>
    <n v="0"/>
    <s v="Low"/>
  </r>
  <r>
    <s v="Roehrich, Bianca"/>
    <n v="10149"/>
    <n v="0"/>
    <n v="0"/>
    <n v="0"/>
    <n v="5"/>
    <n v="3"/>
    <n v="3"/>
    <n v="0"/>
    <x v="237"/>
    <n v="1"/>
    <n v="29"/>
    <s v="Principal Data Architect"/>
    <s v="MA"/>
    <n v="2703"/>
    <d v="1973-05-27T00:00:00"/>
    <s v="F"/>
    <s v="Single"/>
    <s v="US Citizen"/>
    <s v="Yes"/>
    <s v="White"/>
    <d v="2015-01-05T00:00:00"/>
    <d v="2018-11-10T00:00:00"/>
    <s v="Another position"/>
    <s v="Voluntarily Terminated"/>
    <x v="1"/>
    <s v="Simon Roup"/>
    <n v="4"/>
    <s v="LinkedIn"/>
    <s v="Fully Meets"/>
    <n v="3.88"/>
    <n v="3"/>
    <n v="7"/>
    <s v="2/13/2018"/>
    <n v="0"/>
    <n v="12"/>
    <s v="Normal"/>
    <s v="low Outlier"/>
    <n v="52"/>
    <x v="3"/>
    <n v="3"/>
    <x v="0"/>
    <s v="46-55"/>
    <s v="Executive (100K+)"/>
    <n v="0"/>
    <n v="2015"/>
    <n v="1"/>
    <s v="Q1"/>
    <s v="Jan"/>
    <s v="2015-01"/>
    <n v="2018"/>
    <s v="Production       "/>
    <n v="60"/>
    <n v="7"/>
    <s v="Low"/>
  </r>
  <r>
    <s v="Roper, Katie"/>
    <n v="10086"/>
    <n v="0"/>
    <n v="0"/>
    <n v="0"/>
    <n v="1"/>
    <n v="3"/>
    <n v="3"/>
    <n v="0"/>
    <x v="238"/>
    <n v="0"/>
    <n v="7"/>
    <s v="Data Architect"/>
    <s v="MA"/>
    <n v="2056"/>
    <d v="1972-11-21T00:00:00"/>
    <s v="F"/>
    <s v="Single"/>
    <s v="US Citizen"/>
    <s v="No"/>
    <s v="Black or African American"/>
    <d v="2017-01-07T00:00:00"/>
    <m/>
    <s v="N/A-StillEmployed"/>
    <s v="Active"/>
    <x v="1"/>
    <s v="Brian Champaigne"/>
    <n v="13"/>
    <s v="Indeed"/>
    <s v="Fully Meets"/>
    <n v="4.9400000000000004"/>
    <n v="3"/>
    <n v="5"/>
    <s v="2/6/2019"/>
    <n v="0"/>
    <n v="17"/>
    <s v=" high Outlier"/>
    <s v="low Outlier"/>
    <n v="53"/>
    <x v="8"/>
    <n v="9"/>
    <x v="1"/>
    <s v="46-55"/>
    <s v="Executive (100K+)"/>
    <n v="1"/>
    <n v="2017"/>
    <n v="1"/>
    <s v="Q1"/>
    <s v="Jan"/>
    <s v="2017-01"/>
    <s v="N/A"/>
    <s v="Production       "/>
    <n v="0"/>
    <n v="0"/>
    <s v="Low"/>
  </r>
  <r>
    <s v="Rose, Ashley  "/>
    <n v="10054"/>
    <n v="0"/>
    <n v="3"/>
    <n v="0"/>
    <n v="1"/>
    <n v="5"/>
    <n v="3"/>
    <n v="0"/>
    <x v="239"/>
    <n v="0"/>
    <n v="19"/>
    <s v="Production Technician I"/>
    <s v="MA"/>
    <n v="1886"/>
    <d v="1974-12-05T00:00:00"/>
    <s v="F"/>
    <s v="Separated"/>
    <s v="US Citizen"/>
    <s v="No"/>
    <s v="White"/>
    <d v="2014-01-06T00:00:00"/>
    <m/>
    <s v="N/A-StillEmployed"/>
    <s v="Active"/>
    <x v="0"/>
    <s v="David Stanley"/>
    <n v="14"/>
    <s v="Website"/>
    <s v="Fully Meets"/>
    <n v="5"/>
    <n v="4"/>
    <n v="0"/>
    <s v="1/31/2019"/>
    <n v="0"/>
    <n v="8"/>
    <s v="Normal"/>
    <s v="low Outlier"/>
    <n v="51"/>
    <x v="4"/>
    <n v="12"/>
    <x v="0"/>
    <s v="46-55"/>
    <s v="Mid (40-70K)"/>
    <n v="1"/>
    <n v="2014"/>
    <n v="1"/>
    <s v="Q1"/>
    <s v="Jan"/>
    <s v="2014-01"/>
    <s v="N/A"/>
    <s v="Production       "/>
    <n v="20"/>
    <n v="0"/>
    <s v="Low"/>
  </r>
  <r>
    <s v="Rossetti, Bruno"/>
    <n v="10065"/>
    <n v="0"/>
    <n v="0"/>
    <n v="1"/>
    <n v="5"/>
    <n v="5"/>
    <n v="3"/>
    <n v="0"/>
    <x v="240"/>
    <n v="1"/>
    <n v="19"/>
    <s v="Production Technician I"/>
    <s v="MA"/>
    <n v="2155"/>
    <d v="1987-03-18T00:00:00"/>
    <s v="M "/>
    <s v="Single"/>
    <s v="US Citizen"/>
    <s v="No"/>
    <s v="White"/>
    <d v="2011-04-04T00:00:00"/>
    <d v="2018-08-13T00:00:00"/>
    <s v="Another position"/>
    <s v="Voluntarily Terminated"/>
    <x v="0"/>
    <s v="Kissy Sullivan"/>
    <n v="20"/>
    <s v="Google Search"/>
    <s v="Fully Meets"/>
    <n v="5"/>
    <n v="5"/>
    <n v="0"/>
    <s v="7/2/2018"/>
    <n v="0"/>
    <n v="4"/>
    <s v="Normal"/>
    <s v="low Outlier"/>
    <n v="38"/>
    <x v="0"/>
    <n v="7"/>
    <x v="0"/>
    <s v="36-45"/>
    <s v="Mid (40-70K)"/>
    <n v="0"/>
    <n v="2011"/>
    <n v="4"/>
    <s v="Q2"/>
    <s v="Apr"/>
    <s v="2011-04"/>
    <n v="2018"/>
    <s v="Production       "/>
    <n v="50"/>
    <n v="6"/>
    <s v="Low"/>
  </r>
  <r>
    <s v="Roup,Simon"/>
    <n v="10198"/>
    <n v="0"/>
    <n v="0"/>
    <n v="1"/>
    <n v="1"/>
    <n v="3"/>
    <n v="3"/>
    <n v="0"/>
    <x v="241"/>
    <n v="0"/>
    <n v="13"/>
    <s v="IT Manager - DB"/>
    <s v="MA"/>
    <n v="2481"/>
    <d v="1973-04-05T00:00:00"/>
    <s v="M "/>
    <s v="Single"/>
    <s v="US Citizen"/>
    <s v="No"/>
    <s v="White"/>
    <d v="2013-01-20T00:00:00"/>
    <m/>
    <s v="N/A-StillEmployed"/>
    <s v="Active"/>
    <x v="1"/>
    <s v="Jennifer Zamora"/>
    <n v="5"/>
    <s v="Indeed"/>
    <s v="Fully Meets"/>
    <n v="3.6"/>
    <n v="5"/>
    <n v="7"/>
    <s v="2/18/2019"/>
    <n v="0"/>
    <n v="13"/>
    <s v=" high Outlier"/>
    <s v="low Outlier"/>
    <n v="52"/>
    <x v="7"/>
    <n v="13"/>
    <x v="0"/>
    <s v="46-55"/>
    <s v="Executive (100K+)"/>
    <n v="1"/>
    <n v="2013"/>
    <n v="1"/>
    <s v="Q1"/>
    <s v="Jan"/>
    <s v="2013-01"/>
    <s v="N/A"/>
    <s v="Production       "/>
    <n v="50"/>
    <n v="0"/>
    <s v="Low"/>
  </r>
  <r>
    <s v="Ruiz, Ricardo"/>
    <n v="10222"/>
    <n v="0"/>
    <n v="2"/>
    <n v="1"/>
    <n v="5"/>
    <n v="3"/>
    <n v="3"/>
    <n v="1"/>
    <x v="242"/>
    <n v="1"/>
    <n v="13"/>
    <s v="IT Manager - DB"/>
    <s v="MA"/>
    <n v="1915"/>
    <d v="1964-01-04T00:00:00"/>
    <s v="M "/>
    <s v="Divorced"/>
    <s v="US Citizen"/>
    <s v="No"/>
    <s v="Black or African American"/>
    <d v="2012-01-09T00:00:00"/>
    <d v="2015-11-04T00:00:00"/>
    <s v="hours"/>
    <s v="Voluntarily Terminated"/>
    <x v="1"/>
    <s v="Jennifer Zamora"/>
    <n v="5"/>
    <s v="Diversity Job Fair"/>
    <s v="Fully Meets"/>
    <n v="4.3"/>
    <n v="4"/>
    <n v="6"/>
    <s v="1/4/2015"/>
    <n v="0"/>
    <n v="8"/>
    <s v=" high Outlier"/>
    <s v="low Outlier"/>
    <n v="62"/>
    <x v="0"/>
    <n v="3"/>
    <x v="0"/>
    <s v="55+"/>
    <s v="Executive (100K+)"/>
    <n v="0"/>
    <n v="2012"/>
    <n v="1"/>
    <s v="Q1"/>
    <s v="Jan"/>
    <s v="2012-01"/>
    <n v="2015"/>
    <s v="Production       "/>
    <n v="100"/>
    <n v="3"/>
    <s v="Low"/>
  </r>
  <r>
    <s v="Saada, Adell"/>
    <n v="10126"/>
    <n v="1"/>
    <n v="1"/>
    <n v="0"/>
    <n v="1"/>
    <n v="4"/>
    <n v="3"/>
    <n v="0"/>
    <x v="243"/>
    <n v="0"/>
    <n v="24"/>
    <s v="Software Engineer"/>
    <s v="MA"/>
    <n v="2132"/>
    <d v="1986-07-24T00:00:00"/>
    <s v="F"/>
    <s v="Married"/>
    <s v="US Citizen"/>
    <s v="No"/>
    <s v="White"/>
    <d v="2012-11-05T00:00:00"/>
    <m/>
    <s v="N/A-StillEmployed"/>
    <s v="Active"/>
    <x v="2"/>
    <s v="Alex Sweetwater"/>
    <n v="10"/>
    <s v="Indeed"/>
    <s v="Fully Meets"/>
    <n v="4.2"/>
    <n v="3"/>
    <n v="6"/>
    <s v="2/13/2019"/>
    <n v="0"/>
    <n v="2"/>
    <s v="Normal"/>
    <s v="low Outlier"/>
    <n v="39"/>
    <x v="7"/>
    <n v="13"/>
    <x v="0"/>
    <s v="36-45"/>
    <s v="Senior (70-100K)"/>
    <n v="1"/>
    <n v="2012"/>
    <n v="11"/>
    <s v="Q4"/>
    <s v="Nov"/>
    <s v="2012-11"/>
    <s v="N/A"/>
    <s v="Production       "/>
    <n v="33.333333333333329"/>
    <n v="0"/>
    <s v="Low"/>
  </r>
  <r>
    <s v="Saar-Beckles, Melinda"/>
    <n v="10295"/>
    <n v="0"/>
    <n v="0"/>
    <n v="0"/>
    <n v="2"/>
    <n v="5"/>
    <n v="2"/>
    <n v="1"/>
    <x v="244"/>
    <n v="0"/>
    <n v="19"/>
    <s v="Production Technician I"/>
    <s v="MA"/>
    <n v="1801"/>
    <d v="1968-06-06T00:00:00"/>
    <s v="F"/>
    <s v="Single"/>
    <s v="US Citizen"/>
    <s v="No"/>
    <s v="Black or African American"/>
    <d v="2016-07-04T00:00:00"/>
    <m/>
    <s v="N/A-StillEmployed"/>
    <s v="Active"/>
    <x v="0"/>
    <s v="Kelley Spirea"/>
    <n v="18"/>
    <s v="Diversity Job Fair"/>
    <s v="Needs Improvement"/>
    <n v="2.6"/>
    <n v="4"/>
    <n v="0"/>
    <s v="2/18/2019"/>
    <n v="5"/>
    <n v="4"/>
    <s v="Normal"/>
    <s v="low Outlier"/>
    <n v="57"/>
    <x v="8"/>
    <n v="9"/>
    <x v="1"/>
    <s v="55+"/>
    <s v="Mid (40-70K)"/>
    <n v="1"/>
    <n v="2016"/>
    <n v="7"/>
    <s v="Q3"/>
    <s v="Jul"/>
    <s v="2016-07"/>
    <s v="N/A"/>
    <s v="Production       "/>
    <n v="25"/>
    <n v="0"/>
    <s v="Medium"/>
  </r>
  <r>
    <s v="Sadki, Nore  "/>
    <n v="10260"/>
    <n v="0"/>
    <n v="0"/>
    <n v="1"/>
    <n v="5"/>
    <n v="5"/>
    <n v="3"/>
    <n v="0"/>
    <x v="245"/>
    <n v="1"/>
    <n v="19"/>
    <s v="Production Technician I"/>
    <s v="MA"/>
    <n v="2148"/>
    <d v="1974-12-21T00:00:00"/>
    <s v="M "/>
    <s v="Single"/>
    <s v="US Citizen"/>
    <s v="No"/>
    <s v="White"/>
    <d v="2009-01-05T00:00:00"/>
    <d v="2018-07-30T00:00:00"/>
    <s v="relocation out of area"/>
    <s v="Voluntarily Terminated"/>
    <x v="0"/>
    <s v="Michael Albert"/>
    <n v="22"/>
    <s v="Google Search"/>
    <s v="Fully Meets"/>
    <n v="4.5999999999999996"/>
    <n v="5"/>
    <n v="0"/>
    <s v="2/5/2018"/>
    <n v="0"/>
    <n v="7"/>
    <s v="Normal"/>
    <s v="low Outlier"/>
    <n v="51"/>
    <x v="9"/>
    <n v="9"/>
    <x v="0"/>
    <s v="46-55"/>
    <s v="Mid (40-70K)"/>
    <n v="0"/>
    <n v="2009"/>
    <n v="1"/>
    <s v="Q1"/>
    <s v="Jan"/>
    <s v="2009-01"/>
    <n v="2018"/>
    <s v="Production       "/>
    <n v="50"/>
    <n v="2"/>
    <s v="Low"/>
  </r>
  <r>
    <s v="Sahoo, Adil"/>
    <n v="10233"/>
    <n v="1"/>
    <n v="1"/>
    <n v="1"/>
    <n v="1"/>
    <n v="5"/>
    <n v="3"/>
    <n v="0"/>
    <x v="246"/>
    <n v="0"/>
    <n v="20"/>
    <s v="Production Technician II"/>
    <s v="MA"/>
    <n v="2062"/>
    <d v="1986-04-26T00:00:00"/>
    <s v="M "/>
    <s v="Married"/>
    <s v="US Citizen"/>
    <s v="No"/>
    <s v="White"/>
    <d v="2010-08-30T00:00:00"/>
    <m/>
    <s v="N/A-StillEmployed"/>
    <s v="Active"/>
    <x v="0"/>
    <s v="Kelley Spirea"/>
    <n v="18"/>
    <s v="CareerBuilder"/>
    <s v="Fully Meets"/>
    <n v="4.0999999999999996"/>
    <n v="3"/>
    <n v="0"/>
    <s v="1/10/2019"/>
    <n v="0"/>
    <n v="13"/>
    <s v="Normal"/>
    <s v="low Outlier"/>
    <n v="39"/>
    <x v="6"/>
    <n v="15"/>
    <x v="0"/>
    <s v="36-45"/>
    <s v="Mid (40-70K)"/>
    <n v="1"/>
    <n v="2010"/>
    <n v="8"/>
    <s v="Q3"/>
    <s v="Aug"/>
    <s v="2010-08"/>
    <s v="N/A"/>
    <s v="Production       "/>
    <n v="33.333333333333329"/>
    <n v="0"/>
    <s v="Medium"/>
  </r>
  <r>
    <s v="Salter, Jason"/>
    <n v="10229"/>
    <n v="0"/>
    <n v="2"/>
    <n v="1"/>
    <n v="5"/>
    <n v="3"/>
    <n v="3"/>
    <n v="0"/>
    <x v="247"/>
    <n v="1"/>
    <n v="9"/>
    <s v="Data Analyst "/>
    <s v="MA"/>
    <n v="2452"/>
    <d v="1987-12-17T00:00:00"/>
    <s v="M "/>
    <s v="Divorced"/>
    <s v="US Citizen"/>
    <s v="No"/>
    <s v="Black or African American"/>
    <d v="2015-01-05T00:00:00"/>
    <d v="2015-10-31T00:00:00"/>
    <s v="hours"/>
    <s v="Voluntarily Terminated"/>
    <x v="1"/>
    <s v="Simon Roup"/>
    <n v="4"/>
    <s v="LinkedIn"/>
    <s v="Fully Meets"/>
    <n v="4.2"/>
    <n v="3"/>
    <n v="5"/>
    <s v="4/20/2015"/>
    <n v="0"/>
    <n v="2"/>
    <s v="Normal"/>
    <s v="low Outlier"/>
    <n v="38"/>
    <x v="3"/>
    <n v="0"/>
    <x v="0"/>
    <s v="36-45"/>
    <s v="Senior (70-100K)"/>
    <n v="0"/>
    <n v="2015"/>
    <n v="1"/>
    <s v="Q1"/>
    <s v="Jan"/>
    <s v="2015-01"/>
    <n v="2015"/>
    <s v="Production       "/>
    <n v="50"/>
    <n v="2"/>
    <s v="Low"/>
  </r>
  <r>
    <s v="Sander, Kamrin"/>
    <n v="10169"/>
    <n v="1"/>
    <n v="1"/>
    <n v="0"/>
    <n v="1"/>
    <n v="5"/>
    <n v="3"/>
    <n v="0"/>
    <x v="248"/>
    <n v="0"/>
    <n v="19"/>
    <s v="Production Technician I"/>
    <s v="MA"/>
    <n v="2154"/>
    <d v="1988-07-10T00:00:00"/>
    <s v="F"/>
    <s v="Married"/>
    <s v="US Citizen"/>
    <s v="No"/>
    <s v="Black or African American"/>
    <d v="2014-09-29T00:00:00"/>
    <m/>
    <s v="N/A-StillEmployed"/>
    <s v="Active"/>
    <x v="0"/>
    <s v="Elijiah Gray"/>
    <n v="16"/>
    <s v="LinkedIn"/>
    <s v="Fully Meets"/>
    <n v="3.51"/>
    <n v="3"/>
    <n v="0"/>
    <s v="2/18/2019"/>
    <n v="0"/>
    <n v="2"/>
    <s v="Normal"/>
    <s v="low Outlier"/>
    <n v="37"/>
    <x v="3"/>
    <n v="11"/>
    <x v="0"/>
    <s v="36-45"/>
    <s v="Mid (40-70K)"/>
    <n v="1"/>
    <n v="2014"/>
    <n v="9"/>
    <s v="Q3"/>
    <s v="Sep"/>
    <s v="2014-09"/>
    <s v="N/A"/>
    <s v="Production       "/>
    <n v="40"/>
    <n v="0"/>
    <s v="Low"/>
  </r>
  <r>
    <s v="Sewkumar, Nori"/>
    <n v="10071"/>
    <n v="0"/>
    <n v="0"/>
    <n v="0"/>
    <n v="3"/>
    <n v="5"/>
    <n v="3"/>
    <n v="0"/>
    <x v="249"/>
    <n v="0"/>
    <n v="19"/>
    <s v="Production Technician I"/>
    <s v="MA"/>
    <n v="2191"/>
    <d v="1975-03-10T00:00:00"/>
    <s v="F"/>
    <s v="Single"/>
    <s v="US Citizen"/>
    <s v="No"/>
    <s v="Asian"/>
    <d v="2013-09-30T00:00:00"/>
    <m/>
    <s v="N/A-StillEmployed"/>
    <s v="Active"/>
    <x v="0"/>
    <s v="Webster Butler"/>
    <m/>
    <s v="Google Search"/>
    <s v="Fully Meets"/>
    <n v="5"/>
    <n v="5"/>
    <n v="0"/>
    <s v="2/6/2019"/>
    <n v="0"/>
    <n v="14"/>
    <s v="Normal"/>
    <s v="low Outlier"/>
    <n v="51"/>
    <x v="4"/>
    <n v="12"/>
    <x v="0"/>
    <s v="46-55"/>
    <s v="Mid (40-70K)"/>
    <n v="1"/>
    <n v="2013"/>
    <n v="9"/>
    <s v="Q3"/>
    <s v="Sep"/>
    <s v="2013-09"/>
    <s v="N/A"/>
    <s v="Production       "/>
    <n v="75"/>
    <n v="0"/>
    <s v="Medium"/>
  </r>
  <r>
    <s v="Shepard, Anita "/>
    <n v="10179"/>
    <n v="1"/>
    <n v="1"/>
    <n v="0"/>
    <n v="1"/>
    <n v="3"/>
    <n v="3"/>
    <n v="0"/>
    <x v="250"/>
    <n v="0"/>
    <n v="15"/>
    <s v="Network Engineer"/>
    <s v="MA"/>
    <n v="1773"/>
    <d v="1981-04-14T00:00:00"/>
    <s v="F"/>
    <s v="Married"/>
    <s v="US Citizen"/>
    <s v="No"/>
    <s v="White"/>
    <d v="2014-09-30T00:00:00"/>
    <m/>
    <s v="N/A-StillEmployed"/>
    <s v="Active"/>
    <x v="1"/>
    <s v="Peter Monroe"/>
    <n v="7"/>
    <s v="LinkedIn"/>
    <s v="Fully Meets"/>
    <n v="3.31"/>
    <n v="3"/>
    <n v="6"/>
    <s v="1/7/2019"/>
    <n v="0"/>
    <n v="7"/>
    <s v="Normal"/>
    <s v="low Outlier"/>
    <n v="44"/>
    <x v="3"/>
    <n v="11"/>
    <x v="0"/>
    <s v="36-45"/>
    <s v="Mid (40-70K)"/>
    <n v="1"/>
    <n v="2014"/>
    <n v="9"/>
    <s v="Q3"/>
    <s v="Sep"/>
    <s v="2014-09"/>
    <s v="N/A"/>
    <s v="Production       "/>
    <n v="20"/>
    <n v="0"/>
    <s v="Low"/>
  </r>
  <r>
    <s v="Shields, Seffi"/>
    <n v="10091"/>
    <n v="1"/>
    <n v="1"/>
    <n v="0"/>
    <n v="1"/>
    <n v="5"/>
    <n v="3"/>
    <n v="0"/>
    <x v="251"/>
    <n v="0"/>
    <n v="19"/>
    <s v="Production Technician I"/>
    <s v="MA"/>
    <n v="2149"/>
    <d v="1985-08-24T00:00:00"/>
    <s v="F"/>
    <s v="Married"/>
    <s v="US Citizen"/>
    <s v="No"/>
    <s v="White"/>
    <d v="2013-08-19T00:00:00"/>
    <m/>
    <s v="N/A-StillEmployed"/>
    <s v="Active"/>
    <x v="0"/>
    <s v="Amy Dunn"/>
    <n v="11"/>
    <s v="LinkedIn"/>
    <s v="Fully Meets"/>
    <n v="4.8099999999999996"/>
    <n v="4"/>
    <n v="0"/>
    <s v="2/15/2019"/>
    <n v="0"/>
    <n v="15"/>
    <s v="Normal"/>
    <s v="low Outlier"/>
    <n v="40"/>
    <x v="4"/>
    <n v="12"/>
    <x v="0"/>
    <s v="36-45"/>
    <s v="Mid (40-70K)"/>
    <n v="1"/>
    <n v="2013"/>
    <n v="8"/>
    <s v="Q3"/>
    <s v="Aug"/>
    <s v="2013-08"/>
    <s v="N/A"/>
    <s v="Production       "/>
    <n v="75"/>
    <n v="0"/>
    <s v="Medium"/>
  </r>
  <r>
    <s v="Simard, Kramer"/>
    <n v="10178"/>
    <n v="1"/>
    <n v="1"/>
    <n v="1"/>
    <n v="1"/>
    <n v="3"/>
    <n v="3"/>
    <n v="0"/>
    <x v="252"/>
    <n v="0"/>
    <n v="9"/>
    <s v="Data Analyst"/>
    <s v="MA"/>
    <n v="2110"/>
    <d v="1970-02-08T00:00:00"/>
    <s v="M "/>
    <s v="Married"/>
    <s v="US Citizen"/>
    <s v="Yes"/>
    <s v="White"/>
    <d v="2015-01-05T00:00:00"/>
    <m/>
    <s v="N/A-StillEmployed"/>
    <s v="Active"/>
    <x v="1"/>
    <s v="Simon Roup"/>
    <n v="4"/>
    <s v="Employee Referral"/>
    <s v="Fully Meets"/>
    <n v="3.32"/>
    <n v="3"/>
    <n v="7"/>
    <s v="1/14/2019"/>
    <n v="0"/>
    <n v="16"/>
    <s v="Normal"/>
    <s v="low Outlier"/>
    <n v="56"/>
    <x v="3"/>
    <n v="11"/>
    <x v="0"/>
    <s v="55+"/>
    <s v="Senior (70-100K)"/>
    <n v="1"/>
    <n v="2015"/>
    <n v="1"/>
    <s v="Q1"/>
    <s v="Jan"/>
    <s v="2015-01"/>
    <s v="N/A"/>
    <s v="Production       "/>
    <n v="33.333333333333329"/>
    <n v="0"/>
    <s v="Low"/>
  </r>
  <r>
    <s v="Singh, Nan "/>
    <n v="10039"/>
    <n v="0"/>
    <n v="0"/>
    <n v="0"/>
    <n v="1"/>
    <n v="1"/>
    <n v="3"/>
    <n v="0"/>
    <x v="253"/>
    <n v="0"/>
    <n v="2"/>
    <s v="Administrative Assistant"/>
    <s v="MA"/>
    <n v="2330"/>
    <d v="1988-05-19T00:00:00"/>
    <s v="F"/>
    <s v="Single"/>
    <s v="US Citizen"/>
    <s v="No"/>
    <s v="White"/>
    <d v="2015-05-01T00:00:00"/>
    <m/>
    <s v="N/A-StillEmployed"/>
    <s v="Active"/>
    <x v="3"/>
    <s v="Brandon R. LeBlanc"/>
    <n v="1"/>
    <s v="Website"/>
    <s v="Fully Meets"/>
    <n v="5"/>
    <n v="3"/>
    <n v="5"/>
    <s v="1/15/2019"/>
    <n v="0"/>
    <n v="2"/>
    <s v="Normal"/>
    <s v="low Outlier"/>
    <n v="37"/>
    <x v="1"/>
    <n v="10"/>
    <x v="0"/>
    <s v="36-45"/>
    <s v="Mid (40-70K)"/>
    <n v="1"/>
    <n v="2015"/>
    <n v="5"/>
    <s v="Q2"/>
    <s v="May"/>
    <s v="2015-05"/>
    <s v="N/A"/>
    <s v="Production       "/>
    <n v="33.333333333333329"/>
    <n v="0"/>
    <s v="Low"/>
  </r>
  <r>
    <s v="Sloan, Constance"/>
    <n v="10095"/>
    <n v="0"/>
    <n v="0"/>
    <n v="0"/>
    <n v="5"/>
    <n v="5"/>
    <n v="3"/>
    <n v="0"/>
    <x v="254"/>
    <n v="1"/>
    <n v="20"/>
    <s v="Production Technician II"/>
    <s v="MA"/>
    <n v="1851"/>
    <d v="1987-11-25T00:00:00"/>
    <s v="F"/>
    <s v="Single"/>
    <s v="US Citizen"/>
    <s v="No"/>
    <s v="White"/>
    <d v="2009-10-26T00:00:00"/>
    <d v="2015-04-08T00:00:00"/>
    <s v="maternity leave - did not return"/>
    <s v="Voluntarily Terminated"/>
    <x v="0"/>
    <s v="Michael Albert"/>
    <n v="22"/>
    <s v="CareerBuilder"/>
    <s v="Fully Meets"/>
    <n v="4.68"/>
    <n v="4"/>
    <n v="0"/>
    <s v="4/2/2015"/>
    <n v="0"/>
    <n v="20"/>
    <s v="Normal"/>
    <s v="low Outlier"/>
    <n v="38"/>
    <x v="5"/>
    <n v="5"/>
    <x v="0"/>
    <s v="36-45"/>
    <s v="Mid (40-70K)"/>
    <n v="0"/>
    <n v="2009"/>
    <n v="10"/>
    <s v="Q4"/>
    <s v="Oct"/>
    <s v="2009-10"/>
    <n v="2015"/>
    <s v="Production       "/>
    <n v="33.333333333333329"/>
    <n v="2"/>
    <s v="Medium"/>
  </r>
  <r>
    <s v="Smith, Joe"/>
    <n v="10027"/>
    <n v="0"/>
    <n v="0"/>
    <n v="1"/>
    <n v="1"/>
    <n v="5"/>
    <n v="4"/>
    <n v="0"/>
    <x v="255"/>
    <n v="0"/>
    <n v="20"/>
    <s v="Production Technician II"/>
    <s v="MA"/>
    <n v="2045"/>
    <d v="1963-10-30T00:00:00"/>
    <s v="M "/>
    <s v="Single"/>
    <s v="US Citizen"/>
    <s v="No"/>
    <s v="White"/>
    <d v="2014-09-29T00:00:00"/>
    <m/>
    <s v="N/A-StillEmployed"/>
    <s v="Active"/>
    <x v="0"/>
    <s v="Elijiah Gray"/>
    <n v="16"/>
    <s v="Indeed"/>
    <s v="Exceeds"/>
    <n v="4.3"/>
    <n v="3"/>
    <n v="0"/>
    <s v="1/28/2019"/>
    <n v="0"/>
    <n v="4"/>
    <s v="Normal"/>
    <s v="low Outlier"/>
    <n v="62"/>
    <x v="3"/>
    <n v="11"/>
    <x v="0"/>
    <s v="55+"/>
    <s v="Mid (40-70K)"/>
    <n v="1"/>
    <n v="2014"/>
    <n v="9"/>
    <s v="Q3"/>
    <s v="Sep"/>
    <s v="2014-09"/>
    <s v="N/A"/>
    <s v="Production       "/>
    <n v="50"/>
    <n v="0"/>
    <s v="Low"/>
  </r>
  <r>
    <s v="Smith, John"/>
    <n v="10291"/>
    <n v="0"/>
    <n v="2"/>
    <n v="1"/>
    <n v="1"/>
    <n v="6"/>
    <n v="2"/>
    <n v="1"/>
    <x v="256"/>
    <n v="0"/>
    <n v="21"/>
    <s v="Sales Manager"/>
    <s v="MA"/>
    <n v="1886"/>
    <d v="1984-08-16T00:00:00"/>
    <s v="M "/>
    <s v="Divorced"/>
    <s v="US Citizen"/>
    <s v="No"/>
    <s v="Black or African American"/>
    <d v="2014-05-18T00:00:00"/>
    <m/>
    <s v="N/A-StillEmployed"/>
    <s v="Active"/>
    <x v="4"/>
    <s v="Debra Houlihan"/>
    <n v="15"/>
    <s v="Diversity Job Fair"/>
    <s v="Needs Improvement"/>
    <n v="2.4"/>
    <n v="4"/>
    <n v="0"/>
    <s v="1/16/2019"/>
    <n v="2"/>
    <n v="16"/>
    <s v="Normal"/>
    <s v="low Outlier"/>
    <n v="41"/>
    <x v="3"/>
    <n v="11"/>
    <x v="0"/>
    <s v="36-45"/>
    <s v="Senior (70-100K)"/>
    <n v="1"/>
    <n v="2014"/>
    <n v="5"/>
    <s v="Q2"/>
    <s v="May"/>
    <s v="2014-05"/>
    <s v="N/A"/>
    <s v="Production       "/>
    <n v="0"/>
    <n v="0"/>
    <s v="Medium"/>
  </r>
  <r>
    <s v="Smith, Leigh Ann"/>
    <n v="10153"/>
    <n v="1"/>
    <n v="1"/>
    <n v="0"/>
    <n v="5"/>
    <n v="1"/>
    <n v="3"/>
    <n v="1"/>
    <x v="257"/>
    <n v="1"/>
    <n v="2"/>
    <s v="Administrative Assistant"/>
    <s v="MA"/>
    <n v="1844"/>
    <d v="1987-06-14T00:00:00"/>
    <s v="F"/>
    <s v="Married"/>
    <s v="US Citizen"/>
    <s v="No"/>
    <s v="Black or African American"/>
    <d v="2011-09-26T00:00:00"/>
    <d v="2013-09-25T00:00:00"/>
    <s v="career change"/>
    <s v="Voluntarily Terminated"/>
    <x v="3"/>
    <s v="Brandon R. LeBlanc"/>
    <n v="1"/>
    <s v="Diversity Job Fair"/>
    <s v="Fully Meets"/>
    <n v="3.8"/>
    <n v="4"/>
    <n v="4"/>
    <s v="8/15/2013"/>
    <n v="0"/>
    <n v="17"/>
    <s v="Normal"/>
    <s v="low Outlier"/>
    <n v="38"/>
    <x v="0"/>
    <n v="1"/>
    <x v="0"/>
    <s v="36-45"/>
    <s v="Mid (40-70K)"/>
    <n v="0"/>
    <n v="2011"/>
    <n v="9"/>
    <s v="Q3"/>
    <s v="Sep"/>
    <s v="2011-09"/>
    <n v="2013"/>
    <s v="Production       "/>
    <n v="50"/>
    <n v="2"/>
    <s v="Low"/>
  </r>
  <r>
    <s v="Smith, Sade"/>
    <n v="10157"/>
    <n v="0"/>
    <n v="0"/>
    <n v="0"/>
    <n v="1"/>
    <n v="5"/>
    <n v="3"/>
    <n v="0"/>
    <x v="258"/>
    <n v="0"/>
    <n v="19"/>
    <s v="Production Technician I"/>
    <s v="MA"/>
    <n v="2130"/>
    <d v="1965-02-02T00:00:00"/>
    <s v="F"/>
    <s v="Single"/>
    <s v="US Citizen"/>
    <s v="No"/>
    <s v="White"/>
    <d v="2013-11-11T00:00:00"/>
    <m/>
    <s v="N/A-StillEmployed"/>
    <s v="Active"/>
    <x v="0"/>
    <s v="Ketsia Liebig"/>
    <n v="19"/>
    <s v="Employee Referral"/>
    <s v="Fully Meets"/>
    <n v="3.73"/>
    <n v="3"/>
    <n v="0"/>
    <s v="1/24/2019"/>
    <n v="0"/>
    <n v="16"/>
    <s v="Normal"/>
    <s v="low Outlier"/>
    <n v="61"/>
    <x v="4"/>
    <n v="12"/>
    <x v="0"/>
    <s v="55+"/>
    <s v="Mid (40-70K)"/>
    <n v="1"/>
    <n v="2013"/>
    <n v="11"/>
    <s v="Q4"/>
    <s v="Nov"/>
    <s v="2013-11"/>
    <s v="N/A"/>
    <s v="Production       "/>
    <n v="50"/>
    <n v="0"/>
    <s v="Medium"/>
  </r>
  <r>
    <s v="Soto, Julia "/>
    <n v="10119"/>
    <n v="1"/>
    <n v="1"/>
    <n v="0"/>
    <n v="1"/>
    <n v="3"/>
    <n v="3"/>
    <n v="0"/>
    <x v="259"/>
    <n v="0"/>
    <n v="14"/>
    <s v="IT Support"/>
    <s v="MA"/>
    <n v="2360"/>
    <d v="1973-03-12T00:00:00"/>
    <s v="F"/>
    <s v="Married"/>
    <s v="US Citizen"/>
    <s v="No"/>
    <s v="Black or African American"/>
    <d v="2011-06-10T00:00:00"/>
    <m/>
    <s v="N/A-StillEmployed"/>
    <s v="Active"/>
    <x v="1"/>
    <s v="Eric Dougall"/>
    <n v="6"/>
    <s v="LinkedIn"/>
    <s v="Fully Meets"/>
    <n v="4.3"/>
    <n v="3"/>
    <n v="5"/>
    <s v="2/8/2019"/>
    <n v="0"/>
    <n v="19"/>
    <s v="Normal"/>
    <s v="low Outlier"/>
    <n v="53"/>
    <x v="0"/>
    <n v="14"/>
    <x v="0"/>
    <s v="46-55"/>
    <s v="Mid (40-70K)"/>
    <n v="1"/>
    <n v="2011"/>
    <n v="6"/>
    <s v="Q2"/>
    <s v="Jun"/>
    <s v="2011-06"/>
    <s v="N/A"/>
    <s v="Production       "/>
    <n v="0"/>
    <n v="0"/>
    <s v="Low"/>
  </r>
  <r>
    <s v="Soze, Keyser"/>
    <n v="10180"/>
    <n v="1"/>
    <n v="1"/>
    <n v="1"/>
    <n v="2"/>
    <n v="3"/>
    <n v="3"/>
    <n v="0"/>
    <x v="260"/>
    <n v="0"/>
    <n v="28"/>
    <s v="Sr. Network Engineer"/>
    <s v="MA"/>
    <n v="1545"/>
    <d v="1983-02-09T00:00:00"/>
    <s v="M "/>
    <s v="Married"/>
    <s v="US Citizen"/>
    <s v="No"/>
    <s v="Asian"/>
    <d v="2016-06-30T00:00:00"/>
    <m/>
    <s v="N/A-StillEmployed"/>
    <s v="Active"/>
    <x v="1"/>
    <s v="Peter Monroe"/>
    <n v="7"/>
    <s v="LinkedIn"/>
    <s v="Fully Meets"/>
    <n v="3.27"/>
    <n v="4"/>
    <n v="5"/>
    <s v="1/14/2019"/>
    <n v="0"/>
    <n v="13"/>
    <s v="Normal"/>
    <s v="low Outlier"/>
    <n v="43"/>
    <x v="8"/>
    <n v="9"/>
    <x v="1"/>
    <s v="36-45"/>
    <s v="Senior (70-100K)"/>
    <n v="1"/>
    <n v="2016"/>
    <n v="6"/>
    <s v="Q2"/>
    <s v="Jun"/>
    <s v="2016-06"/>
    <s v="N/A"/>
    <s v="Production       "/>
    <n v="25"/>
    <n v="0"/>
    <s v="Low"/>
  </r>
  <r>
    <s v="Sparks, Taylor  "/>
    <n v="10302"/>
    <n v="1"/>
    <n v="1"/>
    <n v="0"/>
    <n v="1"/>
    <n v="5"/>
    <n v="1"/>
    <n v="0"/>
    <x v="261"/>
    <n v="0"/>
    <n v="19"/>
    <s v="Production Technician I"/>
    <s v="MA"/>
    <n v="2093"/>
    <d v="1968-07-20T00:00:00"/>
    <s v="F"/>
    <s v="Married"/>
    <s v="US Citizen"/>
    <s v="No"/>
    <s v="White"/>
    <d v="2012-02-20T00:00:00"/>
    <m/>
    <s v="N/A-StillEmployed"/>
    <s v="Active"/>
    <x v="0"/>
    <s v="Brannon Miller"/>
    <n v="12"/>
    <s v="Indeed"/>
    <s v="PIP"/>
    <n v="2.4"/>
    <n v="2"/>
    <n v="1"/>
    <s v="2/25/2019"/>
    <n v="6"/>
    <n v="20"/>
    <s v="Normal"/>
    <s v="low Outlier"/>
    <n v="57"/>
    <x v="0"/>
    <n v="14"/>
    <x v="0"/>
    <s v="55+"/>
    <s v="Mid (40-70K)"/>
    <n v="1"/>
    <n v="2012"/>
    <n v="2"/>
    <s v="Q1"/>
    <s v="Feb"/>
    <s v="2012-02"/>
    <s v="N/A"/>
    <s v="Production       "/>
    <n v="50"/>
    <n v="0"/>
    <s v="High"/>
  </r>
  <r>
    <s v="Spirea, Kelley"/>
    <n v="10090"/>
    <n v="1"/>
    <n v="1"/>
    <n v="0"/>
    <n v="1"/>
    <n v="5"/>
    <n v="3"/>
    <n v="0"/>
    <x v="262"/>
    <n v="0"/>
    <n v="18"/>
    <s v="Production Manager"/>
    <s v="MA"/>
    <n v="2451"/>
    <d v="1975-09-30T00:00:00"/>
    <s v="F"/>
    <s v="Married"/>
    <s v="US Citizen"/>
    <s v="No"/>
    <s v="White"/>
    <d v="2012-10-02T00:00:00"/>
    <m/>
    <s v="N/A-StillEmployed"/>
    <s v="Active"/>
    <x v="0"/>
    <s v="Janet King"/>
    <n v="2"/>
    <s v="LinkedIn"/>
    <s v="Fully Meets"/>
    <n v="4.83"/>
    <n v="5"/>
    <n v="0"/>
    <s v="2/14/2019"/>
    <n v="0"/>
    <n v="15"/>
    <s v="Normal"/>
    <s v="low Outlier"/>
    <n v="50"/>
    <x v="7"/>
    <n v="13"/>
    <x v="0"/>
    <s v="46-55"/>
    <s v="Mid (40-70K)"/>
    <n v="1"/>
    <n v="2012"/>
    <n v="10"/>
    <s v="Q4"/>
    <s v="Oct"/>
    <s v="2012-10"/>
    <s v="N/A"/>
    <s v="Production       "/>
    <n v="20"/>
    <n v="0"/>
    <s v="Medium"/>
  </r>
  <r>
    <s v="Squatrito, Kristen"/>
    <n v="10030"/>
    <n v="0"/>
    <n v="2"/>
    <n v="0"/>
    <n v="5"/>
    <n v="5"/>
    <n v="4"/>
    <n v="0"/>
    <x v="263"/>
    <n v="1"/>
    <n v="19"/>
    <s v="Production Technician I"/>
    <s v="MA"/>
    <n v="2359"/>
    <d v="1973-03-26T00:00:00"/>
    <s v="F"/>
    <s v="Divorced"/>
    <s v="US Citizen"/>
    <s v="No"/>
    <s v="White"/>
    <d v="2013-05-13T00:00:00"/>
    <d v="2015-06-29T00:00:00"/>
    <s v="unhappy"/>
    <s v="Voluntarily Terminated"/>
    <x v="0"/>
    <s v="David Stanley"/>
    <n v="14"/>
    <s v="LinkedIn"/>
    <s v="Exceeds"/>
    <n v="4.0999999999999996"/>
    <n v="4"/>
    <n v="0"/>
    <s v="3/2/2015"/>
    <n v="0"/>
    <n v="16"/>
    <s v="Normal"/>
    <s v="low Outlier"/>
    <n v="52"/>
    <x v="4"/>
    <n v="2"/>
    <x v="0"/>
    <s v="46-55"/>
    <s v="Mid (40-70K)"/>
    <n v="0"/>
    <n v="2013"/>
    <n v="5"/>
    <s v="Q2"/>
    <s v="May"/>
    <s v="2013-05"/>
    <n v="2015"/>
    <s v="Production       "/>
    <n v="25"/>
    <n v="3"/>
    <s v="Medium"/>
  </r>
  <r>
    <s v="Stanford,Barbara  M"/>
    <n v="10278"/>
    <n v="0"/>
    <n v="2"/>
    <n v="0"/>
    <n v="1"/>
    <n v="5"/>
    <n v="3"/>
    <n v="0"/>
    <x v="264"/>
    <n v="0"/>
    <n v="19"/>
    <s v="Production Technician I"/>
    <s v="MA"/>
    <n v="2050"/>
    <d v="1982-08-25T00:00:00"/>
    <s v="F"/>
    <s v="Divorced"/>
    <s v="US Citizen"/>
    <s v="No"/>
    <s v="Two or more races"/>
    <d v="2011-01-10T00:00:00"/>
    <m/>
    <s v="N/A-StillEmployed"/>
    <s v="Active"/>
    <x v="0"/>
    <s v="Kissy Sullivan"/>
    <n v="20"/>
    <s v="Google Search"/>
    <s v="Fully Meets"/>
    <n v="4.0999999999999996"/>
    <n v="4"/>
    <n v="0"/>
    <s v="2/7/2019"/>
    <n v="0"/>
    <n v="9"/>
    <s v="Normal"/>
    <s v="low Outlier"/>
    <n v="43"/>
    <x v="6"/>
    <n v="15"/>
    <x v="0"/>
    <s v="36-45"/>
    <s v="Mid (40-70K)"/>
    <n v="1"/>
    <n v="2011"/>
    <n v="1"/>
    <s v="Q1"/>
    <s v="Jan"/>
    <s v="2011-01"/>
    <s v="N/A"/>
    <s v="Production       "/>
    <n v="33.333333333333329"/>
    <n v="0"/>
    <s v="Low"/>
  </r>
  <r>
    <s v="Stansfield, Norman"/>
    <n v="10307"/>
    <n v="1"/>
    <n v="1"/>
    <n v="1"/>
    <n v="1"/>
    <n v="6"/>
    <n v="1"/>
    <n v="0"/>
    <x v="265"/>
    <n v="0"/>
    <n v="3"/>
    <s v="Area Sales Manager"/>
    <s v="NV"/>
    <n v="89139"/>
    <d v="1974-05-09T00:00:00"/>
    <s v="M "/>
    <s v="Married"/>
    <s v="US Citizen"/>
    <s v="No"/>
    <s v="White"/>
    <d v="2014-05-12T00:00:00"/>
    <m/>
    <s v="N/A-StillEmployed"/>
    <s v="Active"/>
    <x v="4"/>
    <s v="Lynn Daneault"/>
    <n v="21"/>
    <s v="Website"/>
    <s v="PIP"/>
    <n v="1.81"/>
    <n v="2"/>
    <n v="0"/>
    <s v="1/17/2019"/>
    <n v="3"/>
    <n v="5"/>
    <s v="Normal"/>
    <s v="low Outlier"/>
    <n v="51"/>
    <x v="3"/>
    <n v="11"/>
    <x v="0"/>
    <s v="46-55"/>
    <s v="Mid (40-70K)"/>
    <n v="1"/>
    <n v="2014"/>
    <n v="5"/>
    <s v="Q2"/>
    <s v="May"/>
    <s v="2014-05"/>
    <s v="N/A"/>
    <s v="Production       "/>
    <n v="0"/>
    <n v="0"/>
    <s v="Medium"/>
  </r>
  <r>
    <s v="Steans, Tyrone  "/>
    <n v="10147"/>
    <n v="0"/>
    <n v="0"/>
    <n v="1"/>
    <n v="1"/>
    <n v="1"/>
    <n v="3"/>
    <n v="0"/>
    <x v="266"/>
    <n v="0"/>
    <n v="1"/>
    <s v="Accountant I"/>
    <s v="MA"/>
    <n v="2703"/>
    <d v="1986-09-01T00:00:00"/>
    <s v="M "/>
    <s v="Single"/>
    <s v="US Citizen"/>
    <s v="No"/>
    <s v="White"/>
    <d v="2014-09-29T00:00:00"/>
    <m/>
    <s v="N/A-StillEmployed"/>
    <s v="Active"/>
    <x v="3"/>
    <s v="Brandon R. LeBlanc"/>
    <n v="1"/>
    <s v="Indeed"/>
    <s v="Fully Meets"/>
    <n v="3.9"/>
    <n v="5"/>
    <n v="5"/>
    <s v="1/18/2019"/>
    <n v="0"/>
    <n v="9"/>
    <s v="Normal"/>
    <s v="low Outlier"/>
    <n v="39"/>
    <x v="3"/>
    <n v="11"/>
    <x v="0"/>
    <s v="36-45"/>
    <s v="Mid (40-70K)"/>
    <n v="1"/>
    <n v="2014"/>
    <n v="9"/>
    <s v="Q3"/>
    <s v="Sep"/>
    <s v="2014-09"/>
    <s v="N/A"/>
    <s v="Production       "/>
    <n v="0"/>
    <n v="0"/>
    <s v="Low"/>
  </r>
  <r>
    <s v="Stoica, Rick"/>
    <n v="10266"/>
    <n v="1"/>
    <n v="1"/>
    <n v="1"/>
    <n v="1"/>
    <n v="5"/>
    <n v="3"/>
    <n v="0"/>
    <x v="267"/>
    <n v="0"/>
    <n v="19"/>
    <s v="Production Technician I"/>
    <s v="MA"/>
    <n v="2301"/>
    <d v="1985-03-14T00:00:00"/>
    <s v="M "/>
    <s v="Married"/>
    <s v="US Citizen"/>
    <s v="No"/>
    <s v="Asian"/>
    <d v="2014-02-17T00:00:00"/>
    <m/>
    <s v="N/A-StillEmployed"/>
    <s v="Active"/>
    <x v="0"/>
    <s v="Kelley Spirea"/>
    <n v="18"/>
    <s v="LinkedIn"/>
    <s v="Fully Meets"/>
    <n v="4.7"/>
    <n v="3"/>
    <n v="0"/>
    <s v="1/11/2019"/>
    <n v="0"/>
    <n v="4"/>
    <s v="Normal"/>
    <s v="low Outlier"/>
    <n v="40"/>
    <x v="4"/>
    <n v="12"/>
    <x v="0"/>
    <s v="36-45"/>
    <s v="Mid (40-70K)"/>
    <n v="1"/>
    <n v="2014"/>
    <n v="2"/>
    <s v="Q1"/>
    <s v="Feb"/>
    <s v="2014-02"/>
    <s v="N/A"/>
    <s v="Production       "/>
    <n v="50"/>
    <n v="0"/>
    <s v="Low"/>
  </r>
  <r>
    <s v="Strong, Caitrin"/>
    <n v="10241"/>
    <n v="1"/>
    <n v="1"/>
    <n v="0"/>
    <n v="1"/>
    <n v="6"/>
    <n v="3"/>
    <n v="0"/>
    <x v="268"/>
    <n v="0"/>
    <n v="3"/>
    <s v="Area Sales Manager"/>
    <s v="MT"/>
    <n v="59102"/>
    <d v="1989-05-12T00:00:00"/>
    <s v="F"/>
    <s v="Married"/>
    <s v="US Citizen"/>
    <s v="No"/>
    <s v="Black or African American"/>
    <d v="2010-09-27T00:00:00"/>
    <m/>
    <s v="N/A-StillEmployed"/>
    <s v="Active"/>
    <x v="4"/>
    <s v="John Smith"/>
    <n v="17"/>
    <s v="Indeed"/>
    <s v="Fully Meets"/>
    <n v="4.0999999999999996"/>
    <n v="4"/>
    <n v="0"/>
    <s v="1/31/2019"/>
    <n v="0"/>
    <n v="18"/>
    <s v="Normal"/>
    <s v="low Outlier"/>
    <n v="36"/>
    <x v="6"/>
    <n v="15"/>
    <x v="0"/>
    <s v="36-45"/>
    <s v="Mid (40-70K)"/>
    <n v="1"/>
    <n v="2010"/>
    <n v="9"/>
    <s v="Q3"/>
    <s v="Sep"/>
    <s v="2010-09"/>
    <s v="N/A"/>
    <s v="Production       "/>
    <n v="0"/>
    <n v="0"/>
    <s v="Medium"/>
  </r>
  <r>
    <s v="Sullivan, Kissy "/>
    <n v="10158"/>
    <n v="1"/>
    <n v="1"/>
    <n v="0"/>
    <n v="1"/>
    <n v="5"/>
    <n v="3"/>
    <n v="0"/>
    <x v="269"/>
    <n v="0"/>
    <n v="18"/>
    <s v="Production Manager"/>
    <s v="MA"/>
    <n v="1776"/>
    <d v="1978-03-28T00:00:00"/>
    <s v="F"/>
    <s v="Married"/>
    <s v="US Citizen"/>
    <s v="No"/>
    <s v="Black or African American"/>
    <d v="2009-01-08T00:00:00"/>
    <m/>
    <s v="N/A-StillEmployed"/>
    <s v="Active"/>
    <x v="0"/>
    <s v="Janet King"/>
    <n v="2"/>
    <s v="Indeed"/>
    <s v="Fully Meets"/>
    <n v="3.73"/>
    <n v="4"/>
    <n v="0"/>
    <s v="1/24/2019"/>
    <n v="0"/>
    <n v="12"/>
    <s v="Normal"/>
    <s v="low Outlier"/>
    <n v="47"/>
    <x v="9"/>
    <n v="17"/>
    <x v="0"/>
    <s v="46-55"/>
    <s v="Mid (40-70K)"/>
    <n v="1"/>
    <n v="2009"/>
    <n v="1"/>
    <s v="Q1"/>
    <s v="Jan"/>
    <s v="2009-01"/>
    <s v="N/A"/>
    <s v="Production       "/>
    <n v="25"/>
    <n v="0"/>
    <s v="Medium"/>
  </r>
  <r>
    <s v="Sullivan, Timothy"/>
    <n v="10117"/>
    <n v="1"/>
    <n v="1"/>
    <n v="1"/>
    <n v="1"/>
    <n v="5"/>
    <n v="3"/>
    <n v="0"/>
    <x v="270"/>
    <n v="0"/>
    <n v="19"/>
    <s v="Production Technician I"/>
    <s v="MA"/>
    <n v="2747"/>
    <d v="1982-10-07T00:00:00"/>
    <s v="M "/>
    <s v="Married"/>
    <s v="US Citizen"/>
    <s v="Yes"/>
    <s v="White"/>
    <d v="2015-01-05T00:00:00"/>
    <m/>
    <s v="N/A-StillEmployed"/>
    <s v="Active"/>
    <x v="0"/>
    <s v="Michael Albert"/>
    <n v="22"/>
    <s v="Google Search"/>
    <s v="Fully Meets"/>
    <n v="4.3600000000000003"/>
    <n v="5"/>
    <n v="0"/>
    <s v="1/24/2019"/>
    <n v="0"/>
    <n v="10"/>
    <s v="Normal"/>
    <s v="low Outlier"/>
    <n v="43"/>
    <x v="3"/>
    <n v="11"/>
    <x v="0"/>
    <s v="36-45"/>
    <s v="Mid (40-70K)"/>
    <n v="1"/>
    <n v="2015"/>
    <n v="1"/>
    <s v="Q1"/>
    <s v="Jan"/>
    <s v="2015-01"/>
    <s v="N/A"/>
    <s v="Production       "/>
    <n v="0"/>
    <n v="0"/>
    <s v="Low"/>
  </r>
  <r>
    <s v="Sutwell, Barbara"/>
    <n v="10209"/>
    <n v="0"/>
    <n v="0"/>
    <n v="0"/>
    <n v="1"/>
    <n v="5"/>
    <n v="3"/>
    <n v="0"/>
    <x v="271"/>
    <n v="0"/>
    <n v="19"/>
    <s v="Production Technician I"/>
    <s v="MA"/>
    <n v="2718"/>
    <d v="1968-08-15T00:00:00"/>
    <s v="F"/>
    <s v="Single"/>
    <s v="Eligible NonCitizen"/>
    <s v="No"/>
    <s v="Asian"/>
    <d v="2012-05-14T00:00:00"/>
    <m/>
    <s v="N/A-StillEmployed"/>
    <s v="Active"/>
    <x v="0"/>
    <s v="Elijiah Gray"/>
    <n v="16"/>
    <s v="Indeed"/>
    <s v="Fully Meets"/>
    <n v="3.4"/>
    <n v="5"/>
    <n v="0"/>
    <s v="1/31/2019"/>
    <n v="0"/>
    <n v="13"/>
    <s v="Normal"/>
    <s v="low Outlier"/>
    <n v="57"/>
    <x v="7"/>
    <n v="13"/>
    <x v="0"/>
    <s v="55+"/>
    <s v="Mid (40-70K)"/>
    <n v="1"/>
    <n v="2012"/>
    <n v="5"/>
    <s v="Q2"/>
    <s v="May"/>
    <s v="2012-05"/>
    <s v="N/A"/>
    <s v="Production       "/>
    <n v="66.666666666666657"/>
    <n v="0"/>
    <s v="Medium"/>
  </r>
  <r>
    <s v="Szabo, Andrew"/>
    <n v="10024"/>
    <n v="0"/>
    <n v="0"/>
    <n v="1"/>
    <n v="1"/>
    <n v="4"/>
    <n v="4"/>
    <n v="0"/>
    <x v="272"/>
    <n v="0"/>
    <n v="24"/>
    <s v="Software Engineer"/>
    <s v="MA"/>
    <n v="2140"/>
    <d v="1983-05-06T00:00:00"/>
    <s v="M "/>
    <s v="Single"/>
    <s v="US Citizen"/>
    <s v="No"/>
    <s v="White"/>
    <d v="2014-07-07T00:00:00"/>
    <m/>
    <s v="N/A-StillEmployed"/>
    <s v="Active"/>
    <x v="2"/>
    <s v="Alex Sweetwater"/>
    <n v="10"/>
    <s v="LinkedIn"/>
    <s v="Exceeds"/>
    <n v="4.5"/>
    <n v="5"/>
    <n v="5"/>
    <s v="2/18/2019"/>
    <n v="0"/>
    <n v="1"/>
    <s v="Normal"/>
    <s v="low Outlier"/>
    <n v="42"/>
    <x v="3"/>
    <n v="11"/>
    <x v="0"/>
    <s v="36-45"/>
    <s v="Senior (70-100K)"/>
    <n v="1"/>
    <n v="2014"/>
    <n v="7"/>
    <s v="Q3"/>
    <s v="Jul"/>
    <s v="2014-07"/>
    <s v="N/A"/>
    <s v="Production       "/>
    <n v="50"/>
    <n v="0"/>
    <s v="Low"/>
  </r>
  <r>
    <s v="Tannen, Biff"/>
    <n v="10173"/>
    <n v="1"/>
    <n v="1"/>
    <n v="1"/>
    <n v="1"/>
    <n v="3"/>
    <n v="3"/>
    <n v="0"/>
    <x v="273"/>
    <n v="0"/>
    <n v="4"/>
    <s v="BI Developer"/>
    <s v="MA"/>
    <n v="2134"/>
    <d v="1987-10-24T00:00:00"/>
    <s v="M "/>
    <s v="Married"/>
    <s v="US Citizen"/>
    <s v="No"/>
    <s v="White"/>
    <d v="2017-04-20T00:00:00"/>
    <m/>
    <s v="N/A-StillEmployed"/>
    <s v="Active"/>
    <x v="1"/>
    <s v="Brian Champaigne"/>
    <n v="13"/>
    <s v="Indeed"/>
    <s v="Fully Meets"/>
    <n v="3.4"/>
    <n v="3"/>
    <n v="6"/>
    <s v="1/2/2019"/>
    <n v="0"/>
    <n v="14"/>
    <s v="Normal"/>
    <s v="low Outlier"/>
    <n v="38"/>
    <x v="11"/>
    <n v="8"/>
    <x v="1"/>
    <s v="36-45"/>
    <s v="Senior (70-100K)"/>
    <n v="1"/>
    <n v="2017"/>
    <n v="4"/>
    <s v="Q2"/>
    <s v="Apr"/>
    <s v="2017-04"/>
    <s v="N/A"/>
    <s v="Production       "/>
    <n v="0"/>
    <n v="0"/>
    <s v="Low"/>
  </r>
  <r>
    <s v="Tavares, Desiree  "/>
    <n v="10221"/>
    <n v="1"/>
    <n v="1"/>
    <n v="0"/>
    <n v="5"/>
    <n v="5"/>
    <n v="3"/>
    <n v="1"/>
    <x v="274"/>
    <n v="1"/>
    <n v="19"/>
    <s v="Production Technician I"/>
    <s v="MA"/>
    <n v="1801"/>
    <d v="1975-04-03T00:00:00"/>
    <s v="F"/>
    <s v="Married"/>
    <s v="Non-Citizen"/>
    <s v="No"/>
    <s v="Black or African American"/>
    <d v="2009-04-27T00:00:00"/>
    <d v="2013-04-01T00:00:00"/>
    <s v="Another position"/>
    <s v="Voluntarily Terminated"/>
    <x v="0"/>
    <s v="Webster Butler"/>
    <n v="39"/>
    <s v="Diversity Job Fair"/>
    <s v="Fully Meets"/>
    <n v="4.5"/>
    <n v="5"/>
    <n v="0"/>
    <s v="2/15/2012"/>
    <n v="0"/>
    <n v="11"/>
    <s v="Normal"/>
    <s v="low Outlier"/>
    <n v="50"/>
    <x v="5"/>
    <n v="3"/>
    <x v="0"/>
    <s v="46-55"/>
    <s v="Mid (40-70K)"/>
    <n v="0"/>
    <n v="2009"/>
    <n v="4"/>
    <s v="Q2"/>
    <s v="Apr"/>
    <s v="2009-04"/>
    <n v="2013"/>
    <s v="Production       "/>
    <n v="100"/>
    <n v="5"/>
    <s v="Medium"/>
  </r>
  <r>
    <s v="Tejeda, Lenora "/>
    <n v="10146"/>
    <n v="1"/>
    <n v="1"/>
    <n v="0"/>
    <n v="5"/>
    <n v="5"/>
    <n v="3"/>
    <n v="0"/>
    <x v="275"/>
    <n v="1"/>
    <n v="20"/>
    <s v="Production Technician II"/>
    <s v="MA"/>
    <n v="2129"/>
    <d v="1953-05-24T00:00:00"/>
    <s v="F"/>
    <s v="Married"/>
    <s v="US Citizen"/>
    <s v="No"/>
    <s v="White"/>
    <d v="2011-05-16T00:00:00"/>
    <d v="2017-07-08T00:00:00"/>
    <s v="Another position"/>
    <s v="Voluntarily Terminated"/>
    <x v="0"/>
    <s v="Elijiah Gray"/>
    <n v="16"/>
    <s v="Google Search"/>
    <s v="Fully Meets"/>
    <n v="3.93"/>
    <n v="3"/>
    <n v="0"/>
    <s v="4/18/2017"/>
    <n v="0"/>
    <n v="3"/>
    <s v="Normal"/>
    <s v="low Outlier"/>
    <n v="72"/>
    <x v="0"/>
    <n v="6"/>
    <x v="0"/>
    <s v="55+"/>
    <s v="Senior (70-100K)"/>
    <n v="0"/>
    <n v="2011"/>
    <n v="5"/>
    <s v="Q2"/>
    <s v="May"/>
    <s v="2011-05"/>
    <n v="2017"/>
    <s v="Production       "/>
    <n v="100"/>
    <n v="4"/>
    <s v="Low"/>
  </r>
  <r>
    <s v="Terry, Sharlene "/>
    <n v="10161"/>
    <n v="0"/>
    <n v="0"/>
    <n v="0"/>
    <n v="1"/>
    <n v="6"/>
    <n v="3"/>
    <n v="0"/>
    <x v="276"/>
    <n v="0"/>
    <n v="3"/>
    <s v="Area Sales Manager"/>
    <s v="OR"/>
    <n v="97756"/>
    <d v="1965-05-07T00:00:00"/>
    <s v="F"/>
    <s v="Single"/>
    <s v="US Citizen"/>
    <s v="No"/>
    <s v="Black or African American"/>
    <d v="2014-09-29T00:00:00"/>
    <m/>
    <s v="N/A-StillEmployed"/>
    <s v="Active"/>
    <x v="4"/>
    <s v="Lynn Daneault"/>
    <n v="21"/>
    <s v="Indeed"/>
    <s v="Fully Meets"/>
    <n v="3.69"/>
    <n v="3"/>
    <n v="0"/>
    <s v="1/28/2019"/>
    <n v="0"/>
    <n v="18"/>
    <s v="Normal"/>
    <s v="low Outlier"/>
    <n v="60"/>
    <x v="3"/>
    <n v="11"/>
    <x v="0"/>
    <s v="55+"/>
    <s v="Mid (40-70K)"/>
    <n v="1"/>
    <n v="2014"/>
    <n v="9"/>
    <s v="Q3"/>
    <s v="Sep"/>
    <s v="2014-09"/>
    <s v="N/A"/>
    <s v="Production       "/>
    <n v="0"/>
    <n v="0"/>
    <s v="Medium"/>
  </r>
  <r>
    <s v="Theamstern, Sophia"/>
    <n v="10141"/>
    <n v="0"/>
    <n v="0"/>
    <n v="0"/>
    <n v="5"/>
    <n v="5"/>
    <n v="3"/>
    <n v="0"/>
    <x v="277"/>
    <n v="1"/>
    <n v="19"/>
    <s v="Production Technician I"/>
    <s v="MA"/>
    <n v="2066"/>
    <d v="1965-05-09T00:00:00"/>
    <s v="F"/>
    <s v="Single"/>
    <s v="US Citizen"/>
    <s v="No"/>
    <s v="White"/>
    <d v="2011-07-05T00:00:00"/>
    <d v="2016-09-05T00:00:00"/>
    <s v="return to school"/>
    <s v="Voluntarily Terminated"/>
    <x v="0"/>
    <s v="Amy Dunn"/>
    <n v="11"/>
    <s v="Indeed"/>
    <s v="Fully Meets"/>
    <n v="3.98"/>
    <n v="4"/>
    <n v="0"/>
    <s v="3/2/2016"/>
    <n v="0"/>
    <n v="1"/>
    <s v="Normal"/>
    <s v="low Outlier"/>
    <n v="60"/>
    <x v="0"/>
    <n v="5"/>
    <x v="0"/>
    <s v="55+"/>
    <s v="Mid (40-70K)"/>
    <n v="0"/>
    <n v="2011"/>
    <n v="7"/>
    <s v="Q3"/>
    <s v="Jul"/>
    <s v="2011-07"/>
    <n v="2016"/>
    <s v="Production       "/>
    <n v="100"/>
    <n v="1"/>
    <s v="Low"/>
  </r>
  <r>
    <s v="Thibaud, Kenneth"/>
    <n v="10268"/>
    <n v="0"/>
    <n v="4"/>
    <n v="1"/>
    <n v="5"/>
    <n v="5"/>
    <n v="3"/>
    <n v="0"/>
    <x v="278"/>
    <n v="1"/>
    <n v="20"/>
    <s v="Production Technician II"/>
    <s v="MA"/>
    <n v="2472"/>
    <d v="1975-09-16T00:00:00"/>
    <s v="M "/>
    <s v="Widowed"/>
    <s v="US Citizen"/>
    <s v="No"/>
    <s v="White"/>
    <d v="2007-06-25T00:00:00"/>
    <d v="2010-08-30T00:00:00"/>
    <s v="military"/>
    <s v="Voluntarily Terminated"/>
    <x v="0"/>
    <s v="Webster Butler"/>
    <n v="39"/>
    <s v="Other"/>
    <s v="Fully Meets"/>
    <n v="4.0999999999999996"/>
    <n v="4"/>
    <n v="0"/>
    <s v="7/14/2010"/>
    <n v="0"/>
    <n v="15"/>
    <s v="Normal"/>
    <s v="low Outlier"/>
    <n v="50"/>
    <x v="2"/>
    <n v="3"/>
    <x v="0"/>
    <s v="46-55"/>
    <s v="Mid (40-70K)"/>
    <n v="0"/>
    <n v="2007"/>
    <n v="6"/>
    <s v="Q2"/>
    <s v="Jun"/>
    <s v="2007-06"/>
    <n v="2010"/>
    <s v="Production       "/>
    <n v="100"/>
    <n v="1"/>
    <s v="Medium"/>
  </r>
  <r>
    <s v="Tippett, Jeanette"/>
    <n v="10123"/>
    <n v="0"/>
    <n v="2"/>
    <n v="0"/>
    <n v="1"/>
    <n v="5"/>
    <n v="3"/>
    <n v="0"/>
    <x v="279"/>
    <n v="0"/>
    <n v="19"/>
    <s v="Production Technician I"/>
    <s v="MA"/>
    <n v="2093"/>
    <d v="1967-06-05T00:00:00"/>
    <s v="F"/>
    <s v="Divorced"/>
    <s v="US Citizen"/>
    <s v="No"/>
    <s v="Black or African American"/>
    <d v="2013-02-18T00:00:00"/>
    <m/>
    <s v="N/A-StillEmployed"/>
    <s v="Active"/>
    <x v="0"/>
    <s v="Brannon Miller"/>
    <n v="12"/>
    <s v="Indeed"/>
    <s v="Fully Meets"/>
    <n v="4.21"/>
    <n v="5"/>
    <n v="0"/>
    <s v="1/14/2019"/>
    <n v="0"/>
    <n v="4"/>
    <s v="Normal"/>
    <s v="low Outlier"/>
    <n v="58"/>
    <x v="7"/>
    <n v="13"/>
    <x v="0"/>
    <s v="55+"/>
    <s v="Mid (40-70K)"/>
    <n v="1"/>
    <n v="2013"/>
    <n v="2"/>
    <s v="Q1"/>
    <s v="Feb"/>
    <s v="2013-02"/>
    <s v="N/A"/>
    <s v="Production       "/>
    <n v="66.666666666666657"/>
    <n v="0"/>
    <s v="Low"/>
  </r>
  <r>
    <s v="Torrence, Jack"/>
    <n v="10013"/>
    <n v="0"/>
    <n v="3"/>
    <n v="1"/>
    <n v="1"/>
    <n v="6"/>
    <n v="4"/>
    <n v="0"/>
    <x v="280"/>
    <n v="0"/>
    <n v="3"/>
    <s v="Area Sales Manager"/>
    <s v="ND"/>
    <n v="58782"/>
    <d v="1968-01-15T00:00:00"/>
    <s v="M "/>
    <s v="Separated"/>
    <s v="US Citizen"/>
    <s v="No"/>
    <s v="White"/>
    <d v="2006-01-09T00:00:00"/>
    <m/>
    <s v="N/A-StillEmployed"/>
    <s v="Active"/>
    <x v="4"/>
    <s v="Lynn Daneault"/>
    <n v="21"/>
    <s v="Indeed"/>
    <s v="Exceeds"/>
    <n v="4.0999999999999996"/>
    <n v="3"/>
    <n v="0"/>
    <s v="1/4/2019"/>
    <n v="0"/>
    <n v="6"/>
    <s v="Normal"/>
    <s v="low Outlier"/>
    <n v="58"/>
    <x v="12"/>
    <n v="20"/>
    <x v="0"/>
    <s v="55+"/>
    <s v="Mid (40-70K)"/>
    <n v="1"/>
    <n v="2006"/>
    <n v="1"/>
    <s v="Q1"/>
    <s v="Jan"/>
    <s v="2006-01"/>
    <s v="N/A"/>
    <s v="Production       "/>
    <n v="0"/>
    <n v="0"/>
    <s v="Low"/>
  </r>
  <r>
    <s v="Trang, Mei"/>
    <n v="10287"/>
    <n v="0"/>
    <n v="0"/>
    <n v="0"/>
    <n v="1"/>
    <n v="5"/>
    <n v="2"/>
    <n v="0"/>
    <x v="270"/>
    <n v="0"/>
    <n v="19"/>
    <s v="Production Technician I"/>
    <s v="MA"/>
    <n v="2021"/>
    <d v="1983-05-16T00:00:00"/>
    <s v="F"/>
    <s v="Single"/>
    <s v="US Citizen"/>
    <s v="No"/>
    <s v="White"/>
    <d v="2014-02-17T00:00:00"/>
    <m/>
    <s v="N/A-StillEmployed"/>
    <s v="Active"/>
    <x v="0"/>
    <s v="David Stanley"/>
    <n v="14"/>
    <s v="LinkedIn"/>
    <s v="Needs Improvement"/>
    <n v="2.44"/>
    <n v="5"/>
    <n v="0"/>
    <s v="2/11/2019"/>
    <n v="4"/>
    <n v="18"/>
    <s v="Normal"/>
    <s v="low Outlier"/>
    <n v="42"/>
    <x v="4"/>
    <n v="12"/>
    <x v="0"/>
    <s v="36-45"/>
    <s v="Mid (40-70K)"/>
    <n v="1"/>
    <n v="2014"/>
    <n v="2"/>
    <s v="Q1"/>
    <s v="Feb"/>
    <s v="2014-02"/>
    <s v="N/A"/>
    <s v="Production       "/>
    <n v="0"/>
    <n v="0"/>
    <s v="Medium"/>
  </r>
  <r>
    <s v="Tredinnick, Neville "/>
    <n v="10044"/>
    <n v="1"/>
    <n v="1"/>
    <n v="1"/>
    <n v="5"/>
    <n v="3"/>
    <n v="3"/>
    <n v="0"/>
    <x v="281"/>
    <n v="1"/>
    <n v="15"/>
    <s v="Network Engineer"/>
    <s v="MA"/>
    <n v="1420"/>
    <d v="1988-05-05T00:00:00"/>
    <s v="M "/>
    <s v="Married"/>
    <s v="US Citizen"/>
    <s v="No"/>
    <s v="White"/>
    <d v="2015-01-05T00:00:00"/>
    <d v="2016-02-12T00:00:00"/>
    <s v="medical issues"/>
    <s v="Voluntarily Terminated"/>
    <x v="1"/>
    <s v="Peter Monroe"/>
    <n v="7"/>
    <s v="CareerBuilder"/>
    <s v="Fully Meets"/>
    <n v="5"/>
    <n v="3"/>
    <n v="5"/>
    <s v="4/15/2015"/>
    <n v="0"/>
    <n v="11"/>
    <s v="Normal"/>
    <s v="low Outlier"/>
    <n v="37"/>
    <x v="3"/>
    <n v="1"/>
    <x v="0"/>
    <s v="36-45"/>
    <s v="Senior (70-100K)"/>
    <n v="0"/>
    <n v="2015"/>
    <n v="1"/>
    <s v="Q1"/>
    <s v="Jan"/>
    <s v="2015-01"/>
    <n v="2016"/>
    <s v="Production       "/>
    <n v="33.333333333333329"/>
    <n v="2"/>
    <s v="Low"/>
  </r>
  <r>
    <s v="True, Edward"/>
    <n v="10102"/>
    <n v="0"/>
    <n v="0"/>
    <n v="1"/>
    <n v="5"/>
    <n v="4"/>
    <n v="3"/>
    <n v="1"/>
    <x v="282"/>
    <n v="1"/>
    <n v="24"/>
    <s v="Software Engineer"/>
    <s v="MA"/>
    <n v="2451"/>
    <d v="1983-06-14T00:00:00"/>
    <s v="M "/>
    <s v="Single"/>
    <s v="Non-Citizen"/>
    <s v="No"/>
    <s v="Black or African American"/>
    <d v="2013-02-18T00:00:00"/>
    <d v="2018-04-15T00:00:00"/>
    <s v="medical issues"/>
    <s v="Voluntarily Terminated"/>
    <x v="2"/>
    <s v="Alex Sweetwater"/>
    <n v="10"/>
    <s v="Diversity Job Fair"/>
    <s v="Fully Meets"/>
    <n v="4.5999999999999996"/>
    <n v="3"/>
    <n v="4"/>
    <s v="2/12/2017"/>
    <n v="0"/>
    <n v="9"/>
    <s v="Normal"/>
    <s v="low Outlier"/>
    <n v="42"/>
    <x v="7"/>
    <n v="5"/>
    <x v="0"/>
    <s v="36-45"/>
    <s v="Executive (100K+)"/>
    <n v="0"/>
    <n v="2013"/>
    <n v="2"/>
    <s v="Q1"/>
    <s v="Feb"/>
    <s v="2013-02"/>
    <n v="2018"/>
    <s v="Production       "/>
    <n v="100"/>
    <n v="1"/>
    <s v="Low"/>
  </r>
  <r>
    <s v="Trzeciak, Cybil"/>
    <n v="10270"/>
    <n v="0"/>
    <n v="0"/>
    <n v="0"/>
    <n v="5"/>
    <n v="5"/>
    <n v="3"/>
    <n v="0"/>
    <x v="283"/>
    <n v="1"/>
    <n v="20"/>
    <s v="Production Technician II"/>
    <s v="MA"/>
    <n v="1778"/>
    <d v="1985-03-15T00:00:00"/>
    <s v="F"/>
    <s v="Single"/>
    <s v="US Citizen"/>
    <s v="No"/>
    <s v="White"/>
    <d v="2011-01-10T00:00:00"/>
    <d v="2014-07-02T00:00:00"/>
    <s v="unhappy"/>
    <s v="Voluntarily Terminated"/>
    <x v="0"/>
    <s v="Amy Dunn"/>
    <n v="11"/>
    <s v="LinkedIn"/>
    <s v="Fully Meets"/>
    <n v="4.4000000000000004"/>
    <n v="3"/>
    <n v="0"/>
    <s v="1/5/2014"/>
    <n v="0"/>
    <n v="5"/>
    <s v="Normal"/>
    <s v="low Outlier"/>
    <n v="40"/>
    <x v="6"/>
    <n v="3"/>
    <x v="0"/>
    <s v="36-45"/>
    <s v="Senior (70-100K)"/>
    <n v="0"/>
    <n v="2011"/>
    <n v="1"/>
    <s v="Q1"/>
    <s v="Jan"/>
    <s v="2011-01"/>
    <n v="2014"/>
    <s v="Production       "/>
    <n v="100"/>
    <n v="2"/>
    <s v="Low"/>
  </r>
  <r>
    <s v="Turpin, Jumil"/>
    <n v="10045"/>
    <n v="1"/>
    <n v="1"/>
    <n v="1"/>
    <n v="1"/>
    <n v="3"/>
    <n v="3"/>
    <n v="0"/>
    <x v="284"/>
    <n v="0"/>
    <n v="15"/>
    <s v="Network Engineer"/>
    <s v="MA"/>
    <n v="2343"/>
    <d v="1969-03-31T00:00:00"/>
    <s v="M "/>
    <s v="Married"/>
    <s v="Eligible NonCitizen"/>
    <s v="No"/>
    <s v="White"/>
    <d v="2015-03-30T00:00:00"/>
    <m/>
    <s v="N/A-StillEmployed"/>
    <s v="Active"/>
    <x v="1"/>
    <s v="Peter Monroe"/>
    <n v="7"/>
    <s v="Employee Referral"/>
    <s v="Fully Meets"/>
    <n v="5"/>
    <n v="4"/>
    <n v="7"/>
    <s v="1/14/2019"/>
    <n v="0"/>
    <n v="8"/>
    <s v="Normal"/>
    <s v="low Outlier"/>
    <n v="56"/>
    <x v="1"/>
    <n v="10"/>
    <x v="0"/>
    <s v="55+"/>
    <s v="Senior (70-100K)"/>
    <n v="1"/>
    <n v="2015"/>
    <n v="3"/>
    <s v="Q1"/>
    <s v="Mar"/>
    <s v="2015-03"/>
    <s v="N/A"/>
    <s v="Production       "/>
    <n v="0"/>
    <n v="0"/>
    <s v="Low"/>
  </r>
  <r>
    <s v="Valentin,Jackie"/>
    <n v="10205"/>
    <n v="1"/>
    <n v="1"/>
    <n v="0"/>
    <n v="1"/>
    <n v="6"/>
    <n v="3"/>
    <n v="0"/>
    <x v="285"/>
    <n v="0"/>
    <n v="3"/>
    <s v="Area Sales Manager"/>
    <s v="AZ"/>
    <n v="85006"/>
    <d v="1991-05-23T00:00:00"/>
    <s v="F"/>
    <s v="Married"/>
    <s v="US Citizen"/>
    <s v="No"/>
    <s v="Two or more races"/>
    <d v="2011-07-05T00:00:00"/>
    <m/>
    <s v="N/A-StillEmployed"/>
    <s v="Active"/>
    <x v="4"/>
    <s v="John Smith"/>
    <n v="17"/>
    <s v="Indeed"/>
    <s v="Fully Meets"/>
    <n v="2.81"/>
    <n v="3"/>
    <n v="0"/>
    <s v="1/17/2019"/>
    <n v="0"/>
    <n v="16"/>
    <s v="Normal"/>
    <s v="low Outlier"/>
    <n v="34"/>
    <x v="0"/>
    <n v="14"/>
    <x v="0"/>
    <s v="26-35"/>
    <s v="Mid (40-70K)"/>
    <n v="1"/>
    <n v="2011"/>
    <n v="7"/>
    <s v="Q3"/>
    <s v="Jul"/>
    <s v="2011-07"/>
    <s v="N/A"/>
    <s v="Production       "/>
    <n v="0"/>
    <n v="0"/>
    <s v="Medium"/>
  </r>
  <r>
    <s v="Veera, Abdellah "/>
    <n v="10014"/>
    <n v="0"/>
    <n v="2"/>
    <n v="1"/>
    <n v="5"/>
    <n v="5"/>
    <n v="4"/>
    <n v="0"/>
    <x v="286"/>
    <n v="1"/>
    <n v="19"/>
    <s v="Production Technician I"/>
    <s v="MA"/>
    <n v="2171"/>
    <d v="1987-01-31T00:00:00"/>
    <s v="M "/>
    <s v="Divorced"/>
    <s v="US Citizen"/>
    <s v="No"/>
    <s v="White"/>
    <d v="2012-08-13T00:00:00"/>
    <d v="2016-02-05T00:00:00"/>
    <s v="maternity leave - did not return"/>
    <s v="Voluntarily Terminated"/>
    <x v="0"/>
    <s v="Kissy Sullivan"/>
    <n v="20"/>
    <s v="LinkedIn"/>
    <s v="Exceeds"/>
    <n v="4.5"/>
    <n v="5"/>
    <n v="0"/>
    <s v="2/1/2016"/>
    <n v="0"/>
    <n v="15"/>
    <s v="Normal"/>
    <s v="low Outlier"/>
    <n v="39"/>
    <x v="7"/>
    <n v="3"/>
    <x v="0"/>
    <s v="36-45"/>
    <s v="Mid (40-70K)"/>
    <n v="0"/>
    <n v="2012"/>
    <n v="8"/>
    <s v="Q3"/>
    <s v="Aug"/>
    <s v="2012-08"/>
    <n v="2016"/>
    <s v="Production       "/>
    <n v="50"/>
    <n v="1"/>
    <s v="Medium"/>
  </r>
  <r>
    <s v="Vega, Vincent"/>
    <n v="10144"/>
    <n v="0"/>
    <n v="2"/>
    <n v="1"/>
    <n v="1"/>
    <n v="5"/>
    <n v="3"/>
    <n v="0"/>
    <x v="287"/>
    <n v="0"/>
    <n v="17"/>
    <s v="Production Manager"/>
    <s v="MA"/>
    <n v="2169"/>
    <d v="1968-10-10T00:00:00"/>
    <s v="M "/>
    <s v="Divorced"/>
    <s v="US Citizen"/>
    <s v="No"/>
    <s v="White"/>
    <d v="2011-08-01T00:00:00"/>
    <m/>
    <s v="N/A-StillEmployed"/>
    <s v="Active"/>
    <x v="0"/>
    <s v="Janet King"/>
    <n v="2"/>
    <s v="Employee Referral"/>
    <s v="Fully Meets"/>
    <n v="3.93"/>
    <n v="3"/>
    <n v="0"/>
    <s v="2/27/2019"/>
    <n v="0"/>
    <n v="19"/>
    <s v="Normal"/>
    <s v="low Outlier"/>
    <n v="57"/>
    <x v="0"/>
    <n v="14"/>
    <x v="0"/>
    <s v="55+"/>
    <s v="Senior (70-100K)"/>
    <n v="1"/>
    <n v="2011"/>
    <n v="8"/>
    <s v="Q3"/>
    <s v="Aug"/>
    <s v="2011-08"/>
    <s v="N/A"/>
    <s v="Production       "/>
    <n v="33.333333333333329"/>
    <n v="0"/>
    <s v="Medium"/>
  </r>
  <r>
    <s v="Villanueva, Noah"/>
    <n v="10253"/>
    <n v="0"/>
    <n v="0"/>
    <n v="1"/>
    <n v="1"/>
    <n v="6"/>
    <n v="3"/>
    <n v="0"/>
    <x v="288"/>
    <n v="0"/>
    <n v="3"/>
    <s v="Area Sales Manager"/>
    <s v="ME"/>
    <n v="4063"/>
    <d v="1989-07-11T00:00:00"/>
    <s v="M "/>
    <s v="Single"/>
    <s v="US Citizen"/>
    <s v="No"/>
    <s v="Asian"/>
    <d v="2012-03-05T00:00:00"/>
    <m/>
    <s v="N/A-StillEmployed"/>
    <s v="Active"/>
    <x v="4"/>
    <s v="John Smith"/>
    <n v="17"/>
    <s v="Website"/>
    <s v="Fully Meets"/>
    <n v="4.5"/>
    <n v="4"/>
    <n v="0"/>
    <s v="1/18/2019"/>
    <n v="0"/>
    <n v="11"/>
    <s v="Normal"/>
    <s v="low Outlier"/>
    <n v="36"/>
    <x v="0"/>
    <n v="14"/>
    <x v="0"/>
    <s v="36-45"/>
    <s v="Mid (40-70K)"/>
    <n v="1"/>
    <n v="2012"/>
    <n v="3"/>
    <s v="Q1"/>
    <s v="Mar"/>
    <s v="2012-03"/>
    <s v="N/A"/>
    <s v="Production       "/>
    <n v="0"/>
    <n v="0"/>
    <s v="Medium"/>
  </r>
  <r>
    <s v="Voldemort, Lord"/>
    <n v="10118"/>
    <n v="1"/>
    <n v="1"/>
    <n v="1"/>
    <n v="4"/>
    <n v="3"/>
    <n v="3"/>
    <n v="0"/>
    <x v="289"/>
    <n v="1"/>
    <n v="8"/>
    <s v="Database Administrator"/>
    <s v="MA"/>
    <n v="1960"/>
    <d v="1986-08-07T00:00:00"/>
    <s v="M "/>
    <s v="Married"/>
    <s v="US Citizen"/>
    <s v="No"/>
    <s v="Black or African American"/>
    <d v="2015-02-16T00:00:00"/>
    <d v="2017-02-22T00:00:00"/>
    <s v="no-call, no-show"/>
    <s v="Terminated for Cause"/>
    <x v="1"/>
    <s v="Simon Roup"/>
    <n v="4"/>
    <s v="Employee Referral"/>
    <s v="Fully Meets"/>
    <n v="4.33"/>
    <n v="3"/>
    <n v="7"/>
    <s v="2/15/2017"/>
    <n v="0"/>
    <n v="9"/>
    <s v="Normal"/>
    <s v="low Outlier"/>
    <n v="39"/>
    <x v="3"/>
    <n v="2"/>
    <x v="0"/>
    <s v="36-45"/>
    <s v="Executive (100K+)"/>
    <n v="0"/>
    <n v="2015"/>
    <n v="2"/>
    <s v="Q1"/>
    <s v="Feb"/>
    <s v="2015-02"/>
    <n v="2017"/>
    <s v="Production       "/>
    <n v="50"/>
    <n v="1"/>
    <s v="Low"/>
  </r>
  <r>
    <s v="Volk, Colleen"/>
    <n v="10022"/>
    <n v="1"/>
    <n v="1"/>
    <n v="0"/>
    <n v="4"/>
    <n v="5"/>
    <n v="4"/>
    <n v="0"/>
    <x v="290"/>
    <n v="1"/>
    <n v="19"/>
    <s v="Production Technician I"/>
    <s v="MA"/>
    <n v="2747"/>
    <d v="1986-06-03T00:00:00"/>
    <s v="F"/>
    <s v="Married"/>
    <s v="US Citizen"/>
    <s v="No"/>
    <s v="White"/>
    <d v="2011-09-26T00:00:00"/>
    <d v="2016-02-08T00:00:00"/>
    <s v="gross misconduct"/>
    <s v="Terminated for Cause"/>
    <x v="0"/>
    <s v="Kelley Spirea"/>
    <n v="18"/>
    <s v="Google Search"/>
    <s v="Exceeds"/>
    <n v="4.3"/>
    <n v="5"/>
    <n v="0"/>
    <s v="2/1/2015"/>
    <n v="0"/>
    <n v="18"/>
    <s v="Normal"/>
    <s v="low Outlier"/>
    <n v="39"/>
    <x v="0"/>
    <n v="4"/>
    <x v="0"/>
    <s v="36-45"/>
    <s v="Mid (40-70K)"/>
    <n v="0"/>
    <n v="2011"/>
    <n v="9"/>
    <s v="Q3"/>
    <s v="Sep"/>
    <s v="2011-09"/>
    <n v="2016"/>
    <s v="Production       "/>
    <n v="100"/>
    <n v="1"/>
    <s v="Medium"/>
  </r>
  <r>
    <s v="Von Massenbach, Anna"/>
    <n v="10183"/>
    <n v="0"/>
    <n v="0"/>
    <n v="0"/>
    <n v="2"/>
    <n v="5"/>
    <n v="3"/>
    <n v="0"/>
    <x v="291"/>
    <n v="0"/>
    <n v="19"/>
    <s v="Production Technician I"/>
    <s v="MA"/>
    <n v="2124"/>
    <d v="1985-04-06T00:00:00"/>
    <s v="F"/>
    <s v="Single"/>
    <s v="US Citizen"/>
    <s v="No"/>
    <s v="White"/>
    <d v="2015-07-05T00:00:00"/>
    <m/>
    <s v="N/A-StillEmployed"/>
    <s v="Active"/>
    <x v="0"/>
    <s v="Michael Albert"/>
    <n v="22"/>
    <s v="LinkedIn"/>
    <s v="Fully Meets"/>
    <n v="3.21"/>
    <n v="3"/>
    <n v="0"/>
    <s v="1/29/2019"/>
    <n v="0"/>
    <n v="7"/>
    <s v="Normal"/>
    <s v="low Outlier"/>
    <n v="40"/>
    <x v="1"/>
    <n v="10"/>
    <x v="0"/>
    <s v="36-45"/>
    <s v="Mid (40-70K)"/>
    <n v="1"/>
    <n v="2015"/>
    <n v="7"/>
    <s v="Q3"/>
    <s v="Jul"/>
    <s v="2015-07"/>
    <s v="N/A"/>
    <s v="Production       "/>
    <n v="0"/>
    <n v="0"/>
    <s v="Low"/>
  </r>
  <r>
    <s v="Walker, Roger"/>
    <n v="10190"/>
    <n v="0"/>
    <n v="0"/>
    <n v="1"/>
    <n v="1"/>
    <n v="5"/>
    <n v="3"/>
    <n v="0"/>
    <x v="292"/>
    <n v="0"/>
    <n v="20"/>
    <s v="Production Technician II"/>
    <s v="MA"/>
    <n v="2459"/>
    <d v="1976-02-10T00:00:00"/>
    <s v="M "/>
    <s v="Single"/>
    <s v="US Citizen"/>
    <s v="No"/>
    <s v="Black or African American"/>
    <d v="2014-08-18T00:00:00"/>
    <m/>
    <s v="N/A-StillEmployed"/>
    <s v="Active"/>
    <x v="0"/>
    <s v="Ketsia Liebig"/>
    <n v="19"/>
    <s v="Employee Referral"/>
    <s v="Fully Meets"/>
    <n v="3.11"/>
    <n v="5"/>
    <n v="0"/>
    <s v="2/12/2019"/>
    <n v="0"/>
    <n v="4"/>
    <s v="Normal"/>
    <s v="low Outlier"/>
    <n v="50"/>
    <x v="3"/>
    <n v="11"/>
    <x v="0"/>
    <s v="46-55"/>
    <s v="Mid (40-70K)"/>
    <n v="1"/>
    <n v="2014"/>
    <n v="8"/>
    <s v="Q3"/>
    <s v="Aug"/>
    <s v="2014-08"/>
    <s v="N/A"/>
    <s v="Production       "/>
    <n v="66.666666666666657"/>
    <n v="0"/>
    <s v="Low"/>
  </r>
  <r>
    <s v="Wallace, Courtney  E"/>
    <n v="10274"/>
    <n v="1"/>
    <n v="1"/>
    <n v="0"/>
    <n v="5"/>
    <n v="5"/>
    <n v="3"/>
    <n v="1"/>
    <x v="293"/>
    <n v="1"/>
    <n v="18"/>
    <s v="Production Manager"/>
    <s v="MA"/>
    <n v="2478"/>
    <d v="1955-11-14T00:00:00"/>
    <s v="F"/>
    <s v="Married"/>
    <s v="US Citizen"/>
    <s v="No"/>
    <s v="Black or African American"/>
    <d v="2011-09-26T00:00:00"/>
    <d v="2012-01-02T00:00:00"/>
    <s v="Another position"/>
    <s v="Voluntarily Terminated"/>
    <x v="0"/>
    <s v="Janet King"/>
    <n v="2"/>
    <s v="Diversity Job Fair"/>
    <s v="Fully Meets"/>
    <n v="4.5"/>
    <n v="3"/>
    <n v="0"/>
    <s v="1/2/2012"/>
    <n v="0"/>
    <n v="5"/>
    <s v="Normal"/>
    <s v="low Outlier"/>
    <n v="70"/>
    <x v="0"/>
    <n v="0"/>
    <x v="0"/>
    <s v="55+"/>
    <s v="Senior (70-100K)"/>
    <n v="0"/>
    <n v="2011"/>
    <n v="9"/>
    <s v="Q3"/>
    <s v="Sep"/>
    <s v="2011-09"/>
    <n v="2012"/>
    <s v="Production       "/>
    <n v="50"/>
    <n v="3"/>
    <s v="Low"/>
  </r>
  <r>
    <s v="Wallace, Theresa"/>
    <n v="10293"/>
    <n v="0"/>
    <n v="0"/>
    <n v="0"/>
    <n v="5"/>
    <n v="5"/>
    <n v="2"/>
    <n v="0"/>
    <x v="294"/>
    <n v="1"/>
    <n v="19"/>
    <s v="Production Technician I"/>
    <s v="MA"/>
    <n v="1887"/>
    <d v="1980-08-02T00:00:00"/>
    <s v="F"/>
    <s v="Single"/>
    <s v="US Citizen"/>
    <s v="No"/>
    <s v="White"/>
    <d v="2012-08-13T00:00:00"/>
    <d v="2015-09-01T00:00:00"/>
    <s v="career change"/>
    <s v="Voluntarily Terminated"/>
    <x v="0"/>
    <s v="Elijiah Gray"/>
    <n v="16"/>
    <s v="CareerBuilder"/>
    <s v="Needs Improvement"/>
    <n v="2.5"/>
    <n v="3"/>
    <n v="0"/>
    <s v="9/5/2014"/>
    <n v="6"/>
    <n v="13"/>
    <s v="Normal"/>
    <s v="low Outlier"/>
    <n v="45"/>
    <x v="7"/>
    <n v="3"/>
    <x v="0"/>
    <s v="36-45"/>
    <s v="Mid (40-70K)"/>
    <n v="0"/>
    <n v="2012"/>
    <n v="8"/>
    <s v="Q3"/>
    <s v="Aug"/>
    <s v="2012-08"/>
    <n v="2015"/>
    <s v="Production       "/>
    <n v="100"/>
    <n v="1"/>
    <s v="High"/>
  </r>
  <r>
    <s v="Wang, Charlie"/>
    <n v="10172"/>
    <n v="0"/>
    <n v="0"/>
    <n v="1"/>
    <n v="1"/>
    <n v="3"/>
    <n v="3"/>
    <n v="0"/>
    <x v="295"/>
    <n v="0"/>
    <n v="22"/>
    <s v="Senior BI Developer"/>
    <s v="MA"/>
    <n v="1887"/>
    <d v="1981-07-08T00:00:00"/>
    <s v="M "/>
    <s v="Single"/>
    <s v="US Citizen"/>
    <s v="No"/>
    <s v="Asian"/>
    <d v="2017-02-15T00:00:00"/>
    <m/>
    <s v="N/A-StillEmployed"/>
    <s v="Active"/>
    <x v="1"/>
    <s v="Brian Champaigne"/>
    <n v="13"/>
    <s v="Indeed"/>
    <s v="Fully Meets"/>
    <n v="3.42"/>
    <n v="4"/>
    <n v="7"/>
    <s v="1/4/2019"/>
    <n v="0"/>
    <n v="17"/>
    <s v="Normal"/>
    <s v="low Outlier"/>
    <n v="44"/>
    <x v="8"/>
    <n v="9"/>
    <x v="1"/>
    <s v="36-45"/>
    <s v="Senior (70-100K)"/>
    <n v="1"/>
    <n v="2017"/>
    <n v="2"/>
    <s v="Q1"/>
    <s v="Feb"/>
    <s v="2017-02"/>
    <s v="N/A"/>
    <s v="Production       "/>
    <n v="0"/>
    <n v="0"/>
    <s v="Low"/>
  </r>
  <r>
    <s v="Warfield, Sarah"/>
    <n v="10127"/>
    <n v="0"/>
    <n v="4"/>
    <n v="0"/>
    <n v="1"/>
    <n v="3"/>
    <n v="3"/>
    <n v="0"/>
    <x v="296"/>
    <n v="0"/>
    <n v="28"/>
    <s v="Sr. Network Engineer"/>
    <s v="MA"/>
    <n v="2453"/>
    <d v="1978-05-02T00:00:00"/>
    <s v="F"/>
    <s v="Widowed"/>
    <s v="US Citizen"/>
    <s v="No"/>
    <s v="Asian"/>
    <d v="2015-03-30T00:00:00"/>
    <m/>
    <s v="N/A-StillEmployed"/>
    <s v="Active"/>
    <x v="1"/>
    <s v="Peter Monroe"/>
    <n v="7"/>
    <s v="Employee Referral"/>
    <s v="Fully Meets"/>
    <n v="4.2"/>
    <n v="4"/>
    <n v="8"/>
    <s v="2/5/2019"/>
    <n v="0"/>
    <n v="7"/>
    <s v="Normal"/>
    <s v="low Outlier"/>
    <n v="47"/>
    <x v="1"/>
    <n v="10"/>
    <x v="0"/>
    <s v="46-55"/>
    <s v="Executive (100K+)"/>
    <n v="1"/>
    <n v="2015"/>
    <n v="3"/>
    <s v="Q1"/>
    <s v="Mar"/>
    <s v="2015-03"/>
    <s v="N/A"/>
    <s v="Production       "/>
    <n v="0"/>
    <n v="0"/>
    <s v="Low"/>
  </r>
  <r>
    <s v="Whittier, Scott"/>
    <n v="10072"/>
    <n v="0"/>
    <n v="0"/>
    <n v="1"/>
    <n v="5"/>
    <n v="5"/>
    <n v="3"/>
    <n v="0"/>
    <x v="297"/>
    <n v="1"/>
    <n v="19"/>
    <s v="Production Technician I"/>
    <s v="MA"/>
    <n v="2030"/>
    <d v="1987-05-24T00:00:00"/>
    <s v="M "/>
    <s v="Single"/>
    <s v="US Citizen"/>
    <s v="Yes"/>
    <s v="White"/>
    <d v="2011-01-10T00:00:00"/>
    <d v="2014-05-15T00:00:00"/>
    <s v="hours"/>
    <s v="Voluntarily Terminated"/>
    <x v="0"/>
    <s v="Webster Butler"/>
    <n v="39"/>
    <s v="LinkedIn"/>
    <s v="Fully Meets"/>
    <n v="5"/>
    <n v="5"/>
    <n v="0"/>
    <s v="5/15/2014"/>
    <n v="0"/>
    <n v="11"/>
    <s v="Normal"/>
    <s v="low Outlier"/>
    <n v="38"/>
    <x v="6"/>
    <n v="3"/>
    <x v="0"/>
    <s v="36-45"/>
    <s v="Mid (40-70K)"/>
    <n v="0"/>
    <n v="2011"/>
    <n v="1"/>
    <s v="Q1"/>
    <s v="Jan"/>
    <s v="2011-01"/>
    <n v="2014"/>
    <s v="Production       "/>
    <n v="100"/>
    <n v="1"/>
    <s v="Medium"/>
  </r>
  <r>
    <s v="Wilber, Barry"/>
    <n v="10048"/>
    <n v="1"/>
    <n v="1"/>
    <n v="1"/>
    <n v="5"/>
    <n v="5"/>
    <n v="3"/>
    <n v="0"/>
    <x v="298"/>
    <n v="1"/>
    <n v="19"/>
    <s v="Production Technician I"/>
    <s v="MA"/>
    <n v="2324"/>
    <d v="1965-09-09T00:00:00"/>
    <s v="M "/>
    <s v="Married"/>
    <s v="Eligible NonCitizen"/>
    <s v="No"/>
    <s v="White"/>
    <d v="2011-05-16T00:00:00"/>
    <d v="2015-09-07T00:00:00"/>
    <s v="unhappy"/>
    <s v="Voluntarily Terminated"/>
    <x v="0"/>
    <s v="Amy Dunn"/>
    <n v="11"/>
    <s v="Website"/>
    <s v="Fully Meets"/>
    <n v="5"/>
    <n v="3"/>
    <n v="0"/>
    <s v="2/15/2015"/>
    <n v="0"/>
    <n v="7"/>
    <s v="Normal"/>
    <s v="low Outlier"/>
    <n v="60"/>
    <x v="0"/>
    <n v="4"/>
    <x v="0"/>
    <s v="55+"/>
    <s v="Mid (40-70K)"/>
    <n v="0"/>
    <n v="2011"/>
    <n v="5"/>
    <s v="Q2"/>
    <s v="May"/>
    <s v="2011-05"/>
    <n v="2015"/>
    <s v="Production       "/>
    <n v="100"/>
    <n v="1"/>
    <s v="Low"/>
  </r>
  <r>
    <s v="Wilkes, Annie"/>
    <n v="10204"/>
    <n v="0"/>
    <n v="2"/>
    <n v="0"/>
    <n v="5"/>
    <n v="5"/>
    <n v="3"/>
    <n v="0"/>
    <x v="299"/>
    <n v="1"/>
    <n v="19"/>
    <s v="Production Technician I"/>
    <s v="MA"/>
    <n v="1876"/>
    <d v="1983-07-30T00:00:00"/>
    <s v="F"/>
    <s v="Divorced"/>
    <s v="US Citizen"/>
    <s v="No"/>
    <s v="White"/>
    <d v="2011-01-10T00:00:00"/>
    <d v="2012-05-14T00:00:00"/>
    <s v="Another position"/>
    <s v="Voluntarily Terminated"/>
    <x v="0"/>
    <s v="Ketsia Liebig"/>
    <n v="19"/>
    <s v="Google Search"/>
    <s v="Fully Meets"/>
    <n v="3.6"/>
    <n v="5"/>
    <n v="0"/>
    <s v="2/6/2011"/>
    <n v="0"/>
    <n v="9"/>
    <s v="Normal"/>
    <s v="low Outlier"/>
    <n v="42"/>
    <x v="6"/>
    <n v="1"/>
    <x v="0"/>
    <s v="36-45"/>
    <s v="Mid (40-70K)"/>
    <n v="0"/>
    <n v="2011"/>
    <n v="1"/>
    <s v="Q1"/>
    <s v="Jan"/>
    <s v="2011-01"/>
    <n v="2012"/>
    <s v="Production       "/>
    <n v="100"/>
    <n v="2"/>
    <s v="Low"/>
  </r>
  <r>
    <s v="Williams, Jacquelyn  "/>
    <n v="10264"/>
    <n v="0"/>
    <n v="0"/>
    <n v="0"/>
    <n v="5"/>
    <n v="5"/>
    <n v="3"/>
    <n v="1"/>
    <x v="300"/>
    <n v="1"/>
    <n v="19"/>
    <s v="Production Technician I"/>
    <s v="MA"/>
    <n v="2109"/>
    <d v="1969-10-02T00:00:00"/>
    <s v="F"/>
    <s v="Single"/>
    <s v="US Citizen"/>
    <s v="Yes"/>
    <s v="Black or African American"/>
    <d v="2012-01-09T00:00:00"/>
    <d v="2015-06-27T00:00:00"/>
    <s v="relocation out of area"/>
    <s v="Voluntarily Terminated"/>
    <x v="0"/>
    <s v="Ketsia Liebig"/>
    <n v="19"/>
    <s v="Diversity Job Fair"/>
    <s v="Fully Meets"/>
    <n v="4.3"/>
    <n v="4"/>
    <n v="0"/>
    <s v="6/2/2014"/>
    <n v="0"/>
    <n v="16"/>
    <s v="Normal"/>
    <s v="low Outlier"/>
    <n v="56"/>
    <x v="0"/>
    <n v="3"/>
    <x v="0"/>
    <s v="55+"/>
    <s v="Mid (40-70K)"/>
    <n v="0"/>
    <n v="2012"/>
    <n v="1"/>
    <s v="Q1"/>
    <s v="Jan"/>
    <s v="2012-01"/>
    <n v="2015"/>
    <s v="Production       "/>
    <n v="100"/>
    <n v="1"/>
    <s v="Medium"/>
  </r>
  <r>
    <s v="Winthrop, Jordan  "/>
    <n v="10033"/>
    <n v="0"/>
    <n v="0"/>
    <n v="1"/>
    <n v="5"/>
    <n v="5"/>
    <n v="4"/>
    <n v="0"/>
    <x v="301"/>
    <n v="1"/>
    <n v="20"/>
    <s v="Production Technician II"/>
    <s v="MA"/>
    <n v="2045"/>
    <d v="1958-11-07T00:00:00"/>
    <s v="M "/>
    <s v="Single"/>
    <s v="US Citizen"/>
    <s v="No"/>
    <s v="White"/>
    <d v="2013-01-07T00:00:00"/>
    <d v="2016-02-21T00:00:00"/>
    <s v="retiring"/>
    <s v="Voluntarily Terminated"/>
    <x v="0"/>
    <s v="Brannon Miller"/>
    <n v="12"/>
    <s v="LinkedIn"/>
    <s v="Exceeds"/>
    <n v="5"/>
    <n v="3"/>
    <n v="0"/>
    <s v="1/19/2016"/>
    <n v="0"/>
    <n v="7"/>
    <s v="Normal"/>
    <s v="low Outlier"/>
    <n v="67"/>
    <x v="7"/>
    <n v="3"/>
    <x v="0"/>
    <s v="55+"/>
    <s v="Senior (70-100K)"/>
    <n v="0"/>
    <n v="2013"/>
    <n v="1"/>
    <s v="Q1"/>
    <s v="Jan"/>
    <s v="2013-01"/>
    <n v="2016"/>
    <s v="Production       "/>
    <n v="100"/>
    <n v="1"/>
    <s v="Low"/>
  </r>
  <r>
    <s v="Wolk, Hang  T"/>
    <n v="10174"/>
    <n v="0"/>
    <n v="0"/>
    <n v="0"/>
    <n v="1"/>
    <n v="5"/>
    <n v="3"/>
    <n v="0"/>
    <x v="302"/>
    <n v="0"/>
    <n v="20"/>
    <s v="Production Technician II"/>
    <s v="MA"/>
    <n v="2302"/>
    <d v="1985-04-20T00:00:00"/>
    <s v="F"/>
    <s v="Single"/>
    <s v="US Citizen"/>
    <s v="No"/>
    <s v="White"/>
    <d v="2014-09-29T00:00:00"/>
    <m/>
    <s v="N/A-StillEmployed"/>
    <s v="Active"/>
    <x v="0"/>
    <s v="David Stanley"/>
    <n v="14"/>
    <s v="LinkedIn"/>
    <s v="Fully Meets"/>
    <n v="3.4"/>
    <n v="4"/>
    <n v="0"/>
    <s v="2/21/2019"/>
    <n v="0"/>
    <n v="14"/>
    <s v="Normal"/>
    <s v="low Outlier"/>
    <n v="40"/>
    <x v="3"/>
    <n v="11"/>
    <x v="0"/>
    <s v="36-45"/>
    <s v="Mid (40-70K)"/>
    <n v="1"/>
    <n v="2014"/>
    <n v="9"/>
    <s v="Q3"/>
    <s v="Sep"/>
    <s v="2014-09"/>
    <s v="N/A"/>
    <s v="Production       "/>
    <n v="0"/>
    <n v="0"/>
    <s v="Medium"/>
  </r>
  <r>
    <s v="Woodson, Jason"/>
    <n v="10135"/>
    <n v="0"/>
    <n v="0"/>
    <n v="1"/>
    <n v="1"/>
    <n v="5"/>
    <n v="3"/>
    <n v="0"/>
    <x v="303"/>
    <n v="0"/>
    <n v="20"/>
    <s v="Production Technician II"/>
    <s v="MA"/>
    <n v="1810"/>
    <d v="1985-05-11T00:00:00"/>
    <s v="M "/>
    <s v="Single"/>
    <s v="US Citizen"/>
    <s v="No"/>
    <s v="White"/>
    <d v="2014-07-07T00:00:00"/>
    <m/>
    <s v="N/A-StillEmployed"/>
    <s v="Active"/>
    <x v="0"/>
    <s v="Kissy Sullivan"/>
    <n v="20"/>
    <s v="LinkedIn"/>
    <s v="Fully Meets"/>
    <n v="4.07"/>
    <n v="4"/>
    <n v="0"/>
    <s v="2/28/2019"/>
    <n v="0"/>
    <n v="13"/>
    <s v="Normal"/>
    <s v="low Outlier"/>
    <n v="40"/>
    <x v="3"/>
    <n v="11"/>
    <x v="0"/>
    <s v="36-45"/>
    <s v="Mid (40-70K)"/>
    <n v="1"/>
    <n v="2014"/>
    <n v="7"/>
    <s v="Q3"/>
    <s v="Jul"/>
    <s v="2014-07"/>
    <s v="N/A"/>
    <s v="Production       "/>
    <n v="0"/>
    <n v="0"/>
    <s v="Medium"/>
  </r>
  <r>
    <s v="Ybarra, Catherine "/>
    <n v="10301"/>
    <n v="0"/>
    <n v="0"/>
    <n v="0"/>
    <n v="5"/>
    <n v="5"/>
    <n v="1"/>
    <n v="0"/>
    <x v="304"/>
    <n v="1"/>
    <n v="19"/>
    <s v="Production Technician I"/>
    <s v="MA"/>
    <n v="2458"/>
    <d v="1982-05-04T00:00:00"/>
    <s v="F"/>
    <s v="Single"/>
    <s v="US Citizen"/>
    <s v="No"/>
    <s v="Asian"/>
    <d v="2008-09-02T00:00:00"/>
    <d v="2015-09-29T00:00:00"/>
    <s v="Another position"/>
    <s v="Voluntarily Terminated"/>
    <x v="0"/>
    <s v="Brannon Miller"/>
    <n v="12"/>
    <s v="Google Search"/>
    <s v="PIP"/>
    <n v="3.2"/>
    <n v="2"/>
    <n v="0"/>
    <s v="9/2/2015"/>
    <n v="5"/>
    <n v="4"/>
    <s v="Normal"/>
    <s v="low Outlier"/>
    <n v="43"/>
    <x v="9"/>
    <n v="7"/>
    <x v="0"/>
    <s v="36-45"/>
    <s v="Mid (40-70K)"/>
    <n v="0"/>
    <n v="2008"/>
    <n v="9"/>
    <s v="Q3"/>
    <s v="Sep"/>
    <s v="2008-09"/>
    <n v="2015"/>
    <s v="Production       "/>
    <n v="100"/>
    <n v="1"/>
    <s v="Medium"/>
  </r>
  <r>
    <s v="Zamora, Jennifer"/>
    <n v="10010"/>
    <n v="0"/>
    <n v="0"/>
    <n v="0"/>
    <n v="1"/>
    <n v="3"/>
    <n v="4"/>
    <n v="0"/>
    <x v="305"/>
    <n v="0"/>
    <n v="6"/>
    <s v="CIO"/>
    <s v="MA"/>
    <n v="2067"/>
    <d v="1979-08-30T00:00:00"/>
    <s v="F"/>
    <s v="Single"/>
    <s v="US Citizen"/>
    <s v="No"/>
    <s v="White"/>
    <d v="2010-04-10T00:00:00"/>
    <m/>
    <s v="N/A-StillEmployed"/>
    <s v="Active"/>
    <x v="1"/>
    <s v="Janet King"/>
    <n v="2"/>
    <s v="Employee Referral"/>
    <s v="Exceeds"/>
    <n v="4.5999999999999996"/>
    <n v="5"/>
    <n v="6"/>
    <s v="2/21/2019"/>
    <n v="0"/>
    <n v="16"/>
    <s v=" high Outlier"/>
    <s v="low Outlier"/>
    <n v="46"/>
    <x v="6"/>
    <n v="15"/>
    <x v="0"/>
    <s v="46-55"/>
    <s v="Executive (100K+)"/>
    <n v="1"/>
    <n v="2010"/>
    <n v="4"/>
    <s v="Q2"/>
    <s v="Apr"/>
    <s v="2010-04"/>
    <s v="N/A"/>
    <s v="IT/IS"/>
    <n v="0"/>
    <n v="0"/>
    <s v="Low"/>
  </r>
  <r>
    <s v="Zhou, Julia"/>
    <n v="10043"/>
    <n v="0"/>
    <n v="0"/>
    <n v="0"/>
    <n v="1"/>
    <n v="3"/>
    <n v="3"/>
    <n v="0"/>
    <x v="306"/>
    <n v="0"/>
    <n v="9"/>
    <s v="Data Analyst"/>
    <s v="MA"/>
    <n v="2148"/>
    <d v="1979-02-24T00:00:00"/>
    <s v="F"/>
    <s v="Single"/>
    <s v="US Citizen"/>
    <s v="No"/>
    <s v="White"/>
    <d v="2015-03-30T00:00:00"/>
    <m/>
    <s v="N/A-StillEmployed"/>
    <s v="Active"/>
    <x v="1"/>
    <s v="Simon Roup"/>
    <n v="4"/>
    <s v="Employee Referral"/>
    <s v="Fully Meets"/>
    <n v="5"/>
    <n v="3"/>
    <n v="5"/>
    <s v="2/1/2019"/>
    <n v="0"/>
    <n v="11"/>
    <s v="Normal"/>
    <s v="low Outlier"/>
    <n v="47"/>
    <x v="1"/>
    <n v="10"/>
    <x v="0"/>
    <s v="46-55"/>
    <s v="Senior (70-100K)"/>
    <n v="1"/>
    <n v="2015"/>
    <n v="3"/>
    <s v="Q1"/>
    <s v="Mar"/>
    <s v="2015-03"/>
    <s v="N/A"/>
    <s v="IT/IS"/>
    <n v="0"/>
    <n v="0"/>
    <s v="Low"/>
  </r>
  <r>
    <s v="Zima, Colleen"/>
    <n v="10271"/>
    <n v="0"/>
    <n v="4"/>
    <n v="0"/>
    <n v="1"/>
    <n v="5"/>
    <n v="3"/>
    <n v="0"/>
    <x v="307"/>
    <n v="0"/>
    <n v="19"/>
    <s v="Production Technician I"/>
    <s v="MA"/>
    <n v="1730"/>
    <d v="1978-08-17T00:00:00"/>
    <s v="F"/>
    <s v="Widowed"/>
    <s v="US Citizen"/>
    <s v="No"/>
    <s v="Asian"/>
    <d v="2014-09-29T00:00:00"/>
    <m/>
    <s v="N/A-StillEmployed"/>
    <s v="Active"/>
    <x v="0"/>
    <s v="David Stanley"/>
    <n v="14"/>
    <s v="LinkedIn"/>
    <s v="Fully Meets"/>
    <n v="4.5"/>
    <n v="5"/>
    <n v="0"/>
    <s v="1/30/2019"/>
    <n v="0"/>
    <n v="2"/>
    <s v="Normal"/>
    <s v="low Outlier"/>
    <n v="47"/>
    <x v="3"/>
    <n v="11"/>
    <x v="0"/>
    <s v="46-55"/>
    <s v="Mid (40-70K)"/>
    <n v="1"/>
    <n v="2014"/>
    <n v="9"/>
    <s v="Q3"/>
    <s v="Sep"/>
    <s v="2014-09"/>
    <s v="N/A"/>
    <s v="Production       "/>
    <n v="0"/>
    <n v="0"/>
    <s v="Low"/>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s v="Production Technician I"/>
    <s v="MA"/>
    <n v="1960"/>
    <d v="1983-07-10T00:00:00"/>
    <s v="M "/>
    <s v="Single"/>
    <s v="US Citizen"/>
    <s v="No"/>
    <s v="White"/>
    <d v="2011-07-05T00:00:00"/>
    <m/>
    <x v="0"/>
    <s v="Active"/>
    <s v="Production       "/>
    <s v="Michael Albert"/>
    <n v="22"/>
    <s v="LinkedIn"/>
    <s v="Exceeds"/>
    <n v="4.5999999999999996"/>
    <n v="5"/>
    <n v="0"/>
    <s v="1/17/2019"/>
    <n v="0"/>
    <n v="1"/>
    <s v="Normal"/>
    <s v="low Outlier"/>
    <n v="42"/>
    <n v="14"/>
    <n v="14"/>
    <s v="10+ Years"/>
    <s v="36-45"/>
    <s v="Mid (40-70K)"/>
    <n v="1"/>
    <n v="2011"/>
    <n v="5"/>
    <s v="Q3"/>
    <s v="Jul"/>
    <s v="2011-07"/>
    <s v="N/A"/>
    <s v="Production       "/>
    <n v="40.909090909090914"/>
    <n v="0"/>
    <s v="Low"/>
    <n v="4.5999999999999996"/>
    <s v=""/>
    <m/>
  </r>
  <r>
    <s v="Ait Sidi, Karthikeyan   "/>
    <n v="10084"/>
    <n v="1"/>
    <n v="1"/>
    <n v="1"/>
    <n v="5"/>
    <n v="3"/>
    <n v="3"/>
    <n v="0"/>
    <n v="104437"/>
    <n v="1"/>
    <n v="27"/>
    <s v="Sr. DBA"/>
    <s v="MA"/>
    <n v="2148"/>
    <d v="1975-05-05T00:00:00"/>
    <s v="M "/>
    <s v="Married"/>
    <s v="US Citizen"/>
    <s v="No"/>
    <s v="White"/>
    <d v="2015-03-30T00:00:00"/>
    <d v="2016-06-16T00:00:00"/>
    <x v="1"/>
    <s v="Voluntarily Terminated"/>
    <s v="IT/IS"/>
    <s v="Simon Roup"/>
    <n v="4"/>
    <s v="Indeed"/>
    <s v="Fully Meets"/>
    <n v="4.96"/>
    <n v="3"/>
    <n v="6"/>
    <s v="2/24/2016"/>
    <n v="0"/>
    <n v="17"/>
    <s v="Normal"/>
    <s v="low Outlier"/>
    <n v="50"/>
    <n v="10"/>
    <n v="1"/>
    <s v="10+ Years"/>
    <s v="46-55"/>
    <s v="Executive (100K+)"/>
    <n v="0"/>
    <n v="2015"/>
    <n v="3"/>
    <s v="Q1"/>
    <s v="Mar"/>
    <s v="2015-03"/>
    <n v="2016"/>
    <s v="Production       "/>
    <n v="47.058823529411761"/>
    <n v="9"/>
    <s v="Medium"/>
    <s v=""/>
    <n v="4.96"/>
    <s v="Gender Distribution"/>
  </r>
  <r>
    <s v="Akinkuolie, Sarah"/>
    <n v="10196"/>
    <n v="1"/>
    <n v="1"/>
    <n v="0"/>
    <n v="5"/>
    <n v="5"/>
    <n v="3"/>
    <n v="0"/>
    <n v="64955"/>
    <n v="1"/>
    <n v="20"/>
    <s v="Production Technician II"/>
    <s v="MA"/>
    <n v="1810"/>
    <d v="1988-09-22T00:00:00"/>
    <s v="F"/>
    <s v="Married"/>
    <s v="US Citizen"/>
    <s v="No"/>
    <s v="White"/>
    <d v="2011-07-05T00:00:00"/>
    <d v="2012-09-24T00:00:00"/>
    <x v="2"/>
    <s v="Voluntarily Terminated"/>
    <s v="Production       "/>
    <s v="Kissy Sullivan"/>
    <n v="20"/>
    <s v="LinkedIn"/>
    <s v="Fully Meets"/>
    <n v="3.02"/>
    <n v="3"/>
    <n v="0"/>
    <s v="5/15/2012"/>
    <n v="0"/>
    <n v="3"/>
    <s v="Normal"/>
    <s v="low Outlier"/>
    <n v="37"/>
    <n v="14"/>
    <n v="1"/>
    <s v="10+ Years"/>
    <s v="36-45"/>
    <s v="Mid (40-70K)"/>
    <n v="0"/>
    <n v="2011"/>
    <n v="7"/>
    <s v="Q3"/>
    <s v="Jul"/>
    <s v="2011-07"/>
    <n v="2012"/>
    <s v="Production       "/>
    <n v="54.54545454545454"/>
    <n v="8"/>
    <s v="Medium"/>
    <s v=""/>
    <n v="3.02"/>
    <s v="MALE"/>
  </r>
  <r>
    <s v="Alagbe,Trina"/>
    <n v="10088"/>
    <n v="1"/>
    <n v="1"/>
    <n v="0"/>
    <n v="1"/>
    <n v="5"/>
    <n v="3"/>
    <n v="0"/>
    <n v="64991"/>
    <n v="0"/>
    <n v="19"/>
    <s v="Production Technician I"/>
    <s v="MA"/>
    <n v="1886"/>
    <d v="1988-09-07T00:00:00"/>
    <s v="F"/>
    <s v="Married"/>
    <s v="US Citizen"/>
    <s v="No"/>
    <s v="White"/>
    <d v="2008-01-07T00:00:00"/>
    <m/>
    <x v="0"/>
    <s v="Active"/>
    <s v="Production       "/>
    <s v="Elijiah Gray"/>
    <n v="16"/>
    <s v="Indeed"/>
    <s v="Fully Meets"/>
    <n v="4.84"/>
    <n v="5"/>
    <n v="0"/>
    <s v="1/3/2019"/>
    <n v="0"/>
    <n v="15"/>
    <s v="Normal"/>
    <s v="low Outlier"/>
    <n v="37"/>
    <n v="18"/>
    <n v="18"/>
    <s v="10+ Years"/>
    <s v="36-45"/>
    <s v="Mid (40-70K)"/>
    <n v="1"/>
    <n v="2008"/>
    <n v="1"/>
    <s v="Q1"/>
    <s v="Jan"/>
    <s v="2008-01"/>
    <s v="N/A"/>
    <s v="Production       "/>
    <n v="36.363636363636367"/>
    <n v="0"/>
    <s v="Medium"/>
    <n v="4.84"/>
    <s v=""/>
    <n v="135"/>
  </r>
  <r>
    <s v="Anderson, Carol "/>
    <n v="10069"/>
    <n v="0"/>
    <n v="2"/>
    <n v="0"/>
    <n v="5"/>
    <n v="5"/>
    <n v="3"/>
    <n v="0"/>
    <n v="50825"/>
    <n v="1"/>
    <n v="19"/>
    <s v="Production Technician I"/>
    <s v="MA"/>
    <n v="2169"/>
    <d v="1989-09-08T00:00:00"/>
    <s v="F"/>
    <s v="Divorced"/>
    <s v="US Citizen"/>
    <s v="No"/>
    <s v="White"/>
    <d v="2011-07-11T00:00:00"/>
    <d v="2016-09-06T00:00:00"/>
    <x v="3"/>
    <s v="Voluntarily Terminated"/>
    <s v="Production       "/>
    <s v="Webster Butler"/>
    <n v="39"/>
    <s v="Google Search"/>
    <s v="Fully Meets"/>
    <n v="5"/>
    <n v="4"/>
    <n v="0"/>
    <s v="2/1/2016"/>
    <n v="0"/>
    <n v="2"/>
    <s v="Normal"/>
    <s v="low Outlier"/>
    <n v="36"/>
    <n v="14"/>
    <n v="5"/>
    <s v="10+ Years"/>
    <s v="36-45"/>
    <s v="Mid (40-70K)"/>
    <n v="0"/>
    <n v="2011"/>
    <n v="7"/>
    <s v="Q3"/>
    <s v="Jul"/>
    <s v="2011-07"/>
    <n v="2016"/>
    <s v="Production       "/>
    <n v="61.904761904761905"/>
    <n v="5"/>
    <s v="Medium"/>
    <s v=""/>
    <n v="5"/>
    <s v="FEMALE"/>
  </r>
  <r>
    <s v="Anderson, Linda  "/>
    <n v="10002"/>
    <n v="0"/>
    <n v="0"/>
    <n v="0"/>
    <n v="1"/>
    <n v="5"/>
    <n v="4"/>
    <n v="0"/>
    <n v="57568"/>
    <n v="0"/>
    <n v="19"/>
    <s v="Production Technician I"/>
    <s v="MA"/>
    <n v="1844"/>
    <d v="1977-05-22T00:00:00"/>
    <s v="F"/>
    <s v="Single"/>
    <s v="US Citizen"/>
    <s v="No"/>
    <s v="White"/>
    <d v="2012-01-09T00:00:00"/>
    <m/>
    <x v="0"/>
    <s v="Active"/>
    <s v="Production       "/>
    <s v="Amy Dunn"/>
    <n v="11"/>
    <s v="LinkedIn"/>
    <s v="Exceeds"/>
    <n v="5"/>
    <n v="5"/>
    <n v="0"/>
    <s v="1/7/2019"/>
    <n v="0"/>
    <n v="15"/>
    <s v="Normal"/>
    <s v="low Outlier"/>
    <n v="48"/>
    <n v="14"/>
    <n v="14"/>
    <s v="10+ Years"/>
    <s v="46-55"/>
    <s v="Mid (40-70K)"/>
    <n v="1"/>
    <n v="2012"/>
    <n v="1"/>
    <s v="Q1"/>
    <s v="Jan"/>
    <s v="2012-01"/>
    <s v="N/A"/>
    <s v="Production       "/>
    <n v="61.904761904761905"/>
    <n v="0"/>
    <s v="Low"/>
    <n v="5"/>
    <s v=""/>
    <n v="176"/>
  </r>
  <r>
    <s v="Andreola, Colby"/>
    <n v="10194"/>
    <n v="0"/>
    <n v="0"/>
    <n v="0"/>
    <n v="1"/>
    <n v="4"/>
    <n v="3"/>
    <n v="0"/>
    <n v="95660"/>
    <n v="0"/>
    <n v="24"/>
    <s v="Software Engineer"/>
    <s v="MA"/>
    <n v="2110"/>
    <d v="1979-05-24T00:00:00"/>
    <s v="F"/>
    <s v="Single"/>
    <s v="US Citizen"/>
    <s v="No"/>
    <s v="White"/>
    <d v="2014-11-10T00:00:00"/>
    <m/>
    <x v="0"/>
    <s v="Active"/>
    <s v="Software Engineering"/>
    <s v="Alex Sweetwater"/>
    <n v="10"/>
    <s v="LinkedIn"/>
    <s v="Fully Meets"/>
    <n v="3.04"/>
    <n v="3"/>
    <n v="4"/>
    <s v="1/2/2019"/>
    <n v="0"/>
    <n v="19"/>
    <s v="Normal"/>
    <s v="low Outlier"/>
    <n v="46"/>
    <n v="11"/>
    <n v="11"/>
    <s v="10+ Years"/>
    <s v="46-55"/>
    <s v="Senior (70-100K)"/>
    <n v="1"/>
    <n v="2014"/>
    <n v="11"/>
    <s v="Q4"/>
    <s v="Nov"/>
    <s v="2014-11"/>
    <s v="N/A"/>
    <s v="Production       "/>
    <n v="33.333333333333329"/>
    <n v="0"/>
    <s v="Medium"/>
    <n v="3.04"/>
    <s v=""/>
    <s v="Gender Percentage (MALE )(FEMALE)"/>
  </r>
  <r>
    <s v="Athwal, Sam"/>
    <n v="10062"/>
    <n v="0"/>
    <n v="4"/>
    <n v="1"/>
    <n v="1"/>
    <n v="5"/>
    <n v="3"/>
    <n v="0"/>
    <n v="59365"/>
    <n v="0"/>
    <n v="19"/>
    <s v="Production Technician I"/>
    <s v="MA"/>
    <n v="2199"/>
    <d v="1983-02-18T00:00:00"/>
    <s v="M "/>
    <s v="Widowed"/>
    <s v="US Citizen"/>
    <s v="No"/>
    <s v="White"/>
    <d v="2013-09-30T00:00:00"/>
    <m/>
    <x v="0"/>
    <s v="Active"/>
    <s v="Production       "/>
    <s v="Ketsia Liebig"/>
    <n v="19"/>
    <s v="Employee Referral"/>
    <s v="Fully Meets"/>
    <n v="5"/>
    <n v="4"/>
    <n v="0"/>
    <s v="2/25/2019"/>
    <n v="0"/>
    <n v="19"/>
    <s v="Normal"/>
    <s v="low Outlier"/>
    <n v="43"/>
    <n v="12"/>
    <n v="12"/>
    <s v="10+ Years"/>
    <s v="36-45"/>
    <s v="Mid (40-70K)"/>
    <n v="1"/>
    <n v="2013"/>
    <n v="9"/>
    <s v="Q3"/>
    <s v="Sep"/>
    <s v="2013-09"/>
    <s v="N/A"/>
    <s v="Production       "/>
    <n v="23.809523809523807"/>
    <n v="0"/>
    <s v="Medium"/>
    <n v="5"/>
    <s v=""/>
    <n v="43.269230769230774"/>
  </r>
  <r>
    <s v="Bachiochi, Linda"/>
    <n v="10114"/>
    <n v="0"/>
    <n v="0"/>
    <n v="0"/>
    <n v="3"/>
    <n v="5"/>
    <n v="3"/>
    <n v="1"/>
    <n v="47837"/>
    <n v="0"/>
    <n v="19"/>
    <s v="Production Technician I"/>
    <s v="MA"/>
    <n v="1902"/>
    <d v="1970-02-11T00:00:00"/>
    <s v="F"/>
    <s v="Single"/>
    <s v="US Citizen"/>
    <s v="No"/>
    <s v="Black or African American"/>
    <d v="2009-07-06T00:00:00"/>
    <m/>
    <x v="0"/>
    <s v="Active"/>
    <s v="Production       "/>
    <s v="Brannon Miller"/>
    <n v="12"/>
    <s v="Diversity Job Fair"/>
    <s v="Fully Meets"/>
    <n v="4.46"/>
    <n v="3"/>
    <n v="0"/>
    <s v="1/25/2019"/>
    <n v="0"/>
    <n v="4"/>
    <s v="Normal"/>
    <s v="low Outlier"/>
    <n v="56"/>
    <n v="16"/>
    <n v="16"/>
    <s v="10+ Years"/>
    <s v="55+"/>
    <s v="Mid (40-70K)"/>
    <n v="1"/>
    <n v="2009"/>
    <n v="7"/>
    <s v="Q3"/>
    <s v="Jul"/>
    <s v="2009-07"/>
    <s v="N/A"/>
    <s v="Production       "/>
    <n v="27.27272727272727"/>
    <n v="0"/>
    <s v="Medium"/>
    <n v="4.46"/>
    <s v=""/>
    <n v="56.410256410256409"/>
  </r>
  <r>
    <s v="Bacong, Alejandro "/>
    <n v="10250"/>
    <n v="0"/>
    <n v="2"/>
    <n v="1"/>
    <n v="1"/>
    <n v="3"/>
    <n v="3"/>
    <n v="0"/>
    <n v="50178"/>
    <n v="0"/>
    <n v="14"/>
    <s v="IT Support"/>
    <s v="MA"/>
    <n v="1886"/>
    <d v="1988-01-07T00:00:00"/>
    <s v="M "/>
    <s v="Divorced"/>
    <s v="US Citizen"/>
    <s v="No"/>
    <s v="White"/>
    <d v="2015-01-05T00:00:00"/>
    <m/>
    <x v="0"/>
    <s v="Active"/>
    <s v="IT/IS"/>
    <s v="Peter Monroe"/>
    <n v="7"/>
    <s v="Indeed"/>
    <s v="Fully Meets"/>
    <n v="5"/>
    <n v="5"/>
    <n v="6"/>
    <s v="2/18/2019"/>
    <n v="0"/>
    <n v="16"/>
    <s v="Normal"/>
    <s v="low Outlier"/>
    <n v="38"/>
    <n v="11"/>
    <n v="11"/>
    <s v="10+ Years"/>
    <s v="36-45"/>
    <s v="Mid (40-70K)"/>
    <n v="1"/>
    <n v="2015"/>
    <n v="1"/>
    <s v="Q1"/>
    <s v="Jan"/>
    <s v="2015-01"/>
    <s v="N/A"/>
    <s v="Production       "/>
    <n v="7.1428571428571423"/>
    <n v="0"/>
    <s v="Medium"/>
    <n v="5"/>
    <s v=""/>
    <s v="Gender Count by Department (MALE) (FEMALE)"/>
  </r>
  <r>
    <s v="Baczenski, Rachael  "/>
    <n v="10252"/>
    <n v="1"/>
    <n v="1"/>
    <n v="0"/>
    <n v="5"/>
    <n v="5"/>
    <n v="3"/>
    <n v="1"/>
    <n v="54670"/>
    <n v="1"/>
    <n v="19"/>
    <s v="Production Technician I"/>
    <s v="MA"/>
    <n v="1902"/>
    <d v="1974-01-12T00:00:00"/>
    <s v="F"/>
    <s v="Married"/>
    <s v="US Citizen"/>
    <s v="Yes"/>
    <s v="Black or African American"/>
    <d v="2011-01-10T00:00:00"/>
    <d v="2017-01-12T00:00:00"/>
    <x v="4"/>
    <s v="Voluntarily Terminated"/>
    <s v="Production       "/>
    <s v="David Stanley"/>
    <n v="14"/>
    <s v="Diversity Job Fair"/>
    <s v="Fully Meets"/>
    <n v="4.2"/>
    <n v="4"/>
    <n v="0"/>
    <s v="1/30/2016"/>
    <n v="0"/>
    <n v="12"/>
    <s v="Normal"/>
    <s v="low Outlier"/>
    <n v="52"/>
    <n v="15"/>
    <n v="6"/>
    <s v="10+ Years"/>
    <s v="46-55"/>
    <s v="Mid (40-70K)"/>
    <n v="0"/>
    <n v="2011"/>
    <n v="1"/>
    <s v="Q1"/>
    <s v="Jan"/>
    <s v="2011-01"/>
    <n v="2017"/>
    <s v="Production       "/>
    <n v="28.571428571428569"/>
    <n v="20"/>
    <s v="Medium"/>
    <s v=""/>
    <n v="4.2"/>
    <n v="28"/>
  </r>
  <r>
    <s v="Barbara, Thomas"/>
    <n v="10242"/>
    <n v="1"/>
    <n v="1"/>
    <n v="1"/>
    <n v="5"/>
    <n v="5"/>
    <n v="3"/>
    <n v="1"/>
    <n v="47211"/>
    <n v="1"/>
    <n v="19"/>
    <s v="Production Technician I"/>
    <s v="MA"/>
    <n v="2062"/>
    <d v="1974-02-21T00:00:00"/>
    <s v="M "/>
    <s v="Married"/>
    <s v="US Citizen"/>
    <s v="Yes"/>
    <s v="Black or African American"/>
    <d v="2012-04-02T00:00:00"/>
    <d v="2016-09-19T00:00:00"/>
    <x v="5"/>
    <s v="Voluntarily Terminated"/>
    <s v="Production       "/>
    <s v="Kissy Sullivan"/>
    <n v="20"/>
    <s v="Diversity Job Fair"/>
    <s v="Fully Meets"/>
    <n v="4.2"/>
    <n v="3"/>
    <n v="0"/>
    <s v="5/6/2016"/>
    <n v="0"/>
    <n v="15"/>
    <s v="Normal"/>
    <s v="low Outlier"/>
    <n v="52"/>
    <n v="13"/>
    <n v="4"/>
    <s v="10+ Years"/>
    <s v="46-55"/>
    <s v="Mid (40-70K)"/>
    <n v="0"/>
    <n v="2012"/>
    <n v="4"/>
    <s v="Q2"/>
    <s v="Apr"/>
    <s v="2012-04"/>
    <n v="2016"/>
    <s v="Production       "/>
    <n v="52.380952380952387"/>
    <n v="14"/>
    <s v="Medium"/>
    <s v=""/>
    <n v="4.2"/>
    <n v="22"/>
  </r>
  <r>
    <s v="Barbossa, Hector"/>
    <n v="10012"/>
    <n v="0"/>
    <n v="2"/>
    <n v="1"/>
    <n v="1"/>
    <n v="3"/>
    <n v="4"/>
    <n v="1"/>
    <n v="92328"/>
    <n v="0"/>
    <n v="9"/>
    <s v="Data Analyst"/>
    <s v="TX"/>
    <n v="78230"/>
    <d v="1988-07-04T00:00:00"/>
    <s v="M "/>
    <s v="Divorced"/>
    <s v="US Citizen"/>
    <s v="No"/>
    <s v="Black or African American"/>
    <d v="2014-11-10T00:00:00"/>
    <m/>
    <x v="0"/>
    <s v="Active"/>
    <s v="IT/IS"/>
    <s v="Simon Roup"/>
    <n v="4"/>
    <s v="Diversity Job Fair"/>
    <s v="Exceeds"/>
    <n v="4.28"/>
    <n v="4"/>
    <n v="5"/>
    <s v="2/25/2019"/>
    <n v="0"/>
    <n v="9"/>
    <s v="Normal"/>
    <s v="low Outlier"/>
    <n v="37"/>
    <n v="11"/>
    <n v="11"/>
    <s v="10+ Years"/>
    <s v="36-45"/>
    <s v="Senior (70-100K)"/>
    <n v="1"/>
    <n v="2014"/>
    <n v="11"/>
    <s v="Q4"/>
    <s v="Nov"/>
    <s v="2014-11"/>
    <s v="N/A"/>
    <s v="Production       "/>
    <n v="43.75"/>
    <n v="0"/>
    <s v="Low"/>
    <n v="4.28"/>
    <s v=""/>
    <s v="Gender in Leadership (Managers) Male female"/>
  </r>
  <r>
    <s v="Barone, Francesco  A"/>
    <n v="10265"/>
    <n v="0"/>
    <n v="0"/>
    <n v="1"/>
    <n v="1"/>
    <n v="5"/>
    <n v="3"/>
    <n v="0"/>
    <n v="58709"/>
    <n v="0"/>
    <n v="19"/>
    <s v="Production Technician I"/>
    <s v="MA"/>
    <n v="1810"/>
    <d v="1983-07-20T00:00:00"/>
    <s v="M "/>
    <s v="Single"/>
    <s v="US Citizen"/>
    <s v="No"/>
    <s v="Two or more races"/>
    <d v="2012-02-20T00:00:00"/>
    <m/>
    <x v="0"/>
    <s v="Active"/>
    <s v="Production       "/>
    <s v="Kelley Spirea"/>
    <n v="18"/>
    <s v="Google Search"/>
    <s v="Fully Meets"/>
    <n v="4.5999999999999996"/>
    <n v="4"/>
    <n v="0"/>
    <s v="2/14/2019"/>
    <n v="0"/>
    <n v="7"/>
    <s v="Normal"/>
    <s v="low Outlier"/>
    <n v="42"/>
    <n v="14"/>
    <n v="14"/>
    <s v="10+ Years"/>
    <s v="36-45"/>
    <s v="Mid (40-70K)"/>
    <n v="1"/>
    <n v="2012"/>
    <n v="2"/>
    <s v="Q1"/>
    <s v="Feb"/>
    <s v="2012-02"/>
    <s v="N/A"/>
    <s v="Production       "/>
    <n v="27.27272727272727"/>
    <n v="0"/>
    <s v="Medium"/>
    <n v="4.5999999999999996"/>
    <s v=""/>
    <n v="30"/>
  </r>
  <r>
    <s v="Barton, Nader"/>
    <n v="10066"/>
    <n v="0"/>
    <n v="2"/>
    <n v="1"/>
    <n v="5"/>
    <n v="5"/>
    <n v="3"/>
    <n v="0"/>
    <n v="52505"/>
    <n v="1"/>
    <n v="19"/>
    <s v="Production Technician I"/>
    <s v="MA"/>
    <n v="2747"/>
    <d v="1977-07-15T00:00:00"/>
    <s v="M "/>
    <s v="Divorced"/>
    <s v="US Citizen"/>
    <s v="No"/>
    <s v="White"/>
    <d v="2012-09-24T00:00:00"/>
    <d v="2017-04-06T00:00:00"/>
    <x v="4"/>
    <s v="Voluntarily Terminated"/>
    <s v="Production       "/>
    <s v="Michael Albert"/>
    <n v="22"/>
    <s v="On-line Web application"/>
    <s v="Fully Meets"/>
    <n v="5"/>
    <n v="5"/>
    <n v="0"/>
    <s v="3/2/2017"/>
    <n v="0"/>
    <n v="1"/>
    <s v="Normal"/>
    <s v="low Outlier"/>
    <n v="48"/>
    <n v="13"/>
    <n v="4"/>
    <s v="10+ Years"/>
    <s v="46-55"/>
    <s v="Mid (40-70K)"/>
    <n v="0"/>
    <n v="2012"/>
    <n v="9"/>
    <s v="Q3"/>
    <s v="Sep"/>
    <s v="2012-09"/>
    <n v="2017"/>
    <s v="Production       "/>
    <n v="42.857142857142854"/>
    <n v="19"/>
    <s v="Medium"/>
    <s v=""/>
    <n v="5"/>
    <n v="20"/>
  </r>
  <r>
    <s v="Bates, Norman"/>
    <n v="10061"/>
    <n v="0"/>
    <n v="0"/>
    <n v="1"/>
    <n v="4"/>
    <n v="5"/>
    <n v="3"/>
    <n v="0"/>
    <n v="57834"/>
    <n v="1"/>
    <n v="19"/>
    <s v="Production Technician I"/>
    <s v="MA"/>
    <n v="2050"/>
    <d v="1981-10-18T00:00:00"/>
    <s v="M "/>
    <s v="Single"/>
    <s v="US Citizen"/>
    <s v="No"/>
    <s v="White"/>
    <d v="2011-02-21T00:00:00"/>
    <d v="2017-08-04T00:00:00"/>
    <x v="6"/>
    <s v="Terminated for Cause"/>
    <s v="Production       "/>
    <s v="Kelley Spirea"/>
    <n v="18"/>
    <s v="Google Search"/>
    <s v="Fully Meets"/>
    <n v="5"/>
    <n v="4"/>
    <n v="0"/>
    <s v="4/5/2017"/>
    <n v="0"/>
    <n v="20"/>
    <s v="Normal"/>
    <s v="low Outlier"/>
    <n v="44"/>
    <n v="15"/>
    <n v="6"/>
    <s v="10+ Years"/>
    <s v="36-45"/>
    <s v="Mid (40-70K)"/>
    <n v="0"/>
    <n v="2011"/>
    <n v="2"/>
    <s v="Q1"/>
    <s v="Feb"/>
    <s v="2011-02"/>
    <n v="2017"/>
    <s v="Production       "/>
    <n v="28.571428571428569"/>
    <n v="7"/>
    <s v="Medium"/>
    <s v=""/>
    <n v="5"/>
    <m/>
  </r>
  <r>
    <s v="Beak, Kimberly  "/>
    <n v="10023"/>
    <n v="1"/>
    <n v="1"/>
    <n v="0"/>
    <n v="2"/>
    <n v="5"/>
    <n v="4"/>
    <n v="0"/>
    <n v="70131"/>
    <n v="0"/>
    <n v="20"/>
    <s v="Production Technician II"/>
    <s v="MA"/>
    <n v="2145"/>
    <d v="1966-04-17T00:00:00"/>
    <s v="F"/>
    <s v="Married"/>
    <s v="US Citizen"/>
    <s v="No"/>
    <s v="White"/>
    <d v="2016-07-21T00:00:00"/>
    <m/>
    <x v="0"/>
    <s v="Active"/>
    <s v="Production       "/>
    <s v="Kelley Spirea"/>
    <n v="18"/>
    <s v="Employee Referral"/>
    <s v="Exceeds"/>
    <n v="4.4000000000000004"/>
    <n v="3"/>
    <n v="0"/>
    <s v="1/14/2019"/>
    <n v="0"/>
    <n v="16"/>
    <s v="Normal"/>
    <s v="low Outlier"/>
    <n v="59"/>
    <n v="9"/>
    <n v="9"/>
    <s v="5-10 Years"/>
    <s v="55+"/>
    <s v="Senior (70-100K)"/>
    <n v="1"/>
    <n v="2016"/>
    <n v="7"/>
    <s v="Q3"/>
    <s v="Jul"/>
    <s v="2016-07"/>
    <s v="N/A"/>
    <s v="Production       "/>
    <n v="25"/>
    <n v="0"/>
    <s v="Low"/>
    <n v="4.4000000000000004"/>
    <s v=""/>
    <s v=" Average Salary by Gender (MALE,FEMALE)"/>
  </r>
  <r>
    <s v="Beatrice, Courtney "/>
    <n v="10055"/>
    <n v="0"/>
    <n v="0"/>
    <n v="0"/>
    <n v="1"/>
    <n v="5"/>
    <n v="3"/>
    <n v="0"/>
    <n v="59026"/>
    <n v="0"/>
    <n v="19"/>
    <s v="Production Technician I"/>
    <s v="MA"/>
    <n v="1915"/>
    <d v="1970-10-27T00:00:00"/>
    <s v="F"/>
    <s v="Single"/>
    <s v="Eligible NonCitizen"/>
    <s v="No"/>
    <s v="White"/>
    <d v="2011-04-04T00:00:00"/>
    <m/>
    <x v="0"/>
    <s v="Active"/>
    <s v="Production       "/>
    <s v="Elijiah Gray"/>
    <n v="16"/>
    <s v="Google Search"/>
    <s v="Fully Meets"/>
    <n v="5"/>
    <n v="5"/>
    <n v="0"/>
    <s v="1/14/2019"/>
    <n v="0"/>
    <n v="12"/>
    <s v="Normal"/>
    <s v="low Outlier"/>
    <n v="55"/>
    <n v="14"/>
    <n v="14"/>
    <s v="10+ Years"/>
    <s v="46-55"/>
    <s v="Mid (40-70K)"/>
    <n v="1"/>
    <n v="2011"/>
    <n v="4"/>
    <s v="Q2"/>
    <s v="Apr"/>
    <s v="2011-04"/>
    <s v="N/A"/>
    <s v="Production       "/>
    <n v="38.095238095238095"/>
    <n v="0"/>
    <s v="Medium"/>
    <n v="5"/>
    <s v=""/>
    <n v="70629.399999999994"/>
  </r>
  <r>
    <s v="Becker, Renee"/>
    <n v="10245"/>
    <n v="0"/>
    <n v="0"/>
    <n v="0"/>
    <n v="4"/>
    <n v="3"/>
    <n v="3"/>
    <n v="0"/>
    <n v="110000"/>
    <n v="1"/>
    <n v="8"/>
    <s v="Database Administrator"/>
    <s v="MA"/>
    <n v="2026"/>
    <d v="1986-04-04T00:00:00"/>
    <s v="F"/>
    <s v="Single"/>
    <s v="US Citizen"/>
    <s v="Yes"/>
    <s v="White"/>
    <d v="2014-07-07T00:00:00"/>
    <d v="2015-09-12T00:00:00"/>
    <x v="7"/>
    <s v="Terminated for Cause"/>
    <s v="IT/IS"/>
    <s v="Simon Roup"/>
    <n v="4"/>
    <s v="Google Search"/>
    <s v="Fully Meets"/>
    <n v="4.5"/>
    <n v="4"/>
    <n v="5"/>
    <s v="1/15/2015"/>
    <n v="0"/>
    <n v="8"/>
    <s v="Normal"/>
    <s v="low Outlier"/>
    <n v="39"/>
    <n v="11"/>
    <n v="1"/>
    <s v="10+ Years"/>
    <s v="36-45"/>
    <s v="Executive (100K+)"/>
    <n v="0"/>
    <n v="2014"/>
    <n v="7"/>
    <s v="Q3"/>
    <s v="Jul"/>
    <s v="2014-07"/>
    <n v="2015"/>
    <s v="Production       "/>
    <n v="46.666666666666664"/>
    <n v="4"/>
    <s v="Medium"/>
    <s v=""/>
    <n v="4.5"/>
    <n v="67786.727272727279"/>
  </r>
  <r>
    <s v="Becker, Scott"/>
    <n v="10277"/>
    <n v="0"/>
    <n v="0"/>
    <n v="1"/>
    <n v="3"/>
    <n v="5"/>
    <n v="3"/>
    <n v="0"/>
    <n v="53250"/>
    <n v="0"/>
    <n v="19"/>
    <s v="Production Technician I"/>
    <s v="MA"/>
    <n v="2452"/>
    <d v="1979-04-06T00:00:00"/>
    <s v="M "/>
    <s v="Single"/>
    <s v="US Citizen"/>
    <s v="No"/>
    <s v="Asian"/>
    <d v="2013-07-08T00:00:00"/>
    <m/>
    <x v="0"/>
    <s v="Active"/>
    <s v="Production       "/>
    <s v="Webster Butler"/>
    <m/>
    <s v="LinkedIn"/>
    <s v="Fully Meets"/>
    <n v="4.2"/>
    <n v="4"/>
    <n v="0"/>
    <s v="1/11/2019"/>
    <n v="0"/>
    <n v="13"/>
    <s v="Normal"/>
    <s v="low Outlier"/>
    <n v="46"/>
    <n v="12"/>
    <n v="12"/>
    <s v="10+ Years"/>
    <s v="46-55"/>
    <s v="Mid (40-70K)"/>
    <n v="1"/>
    <n v="2013"/>
    <n v="7"/>
    <s v="Q3"/>
    <s v="Jul"/>
    <s v="2013-07"/>
    <s v="N/A"/>
    <s v="Production       "/>
    <n v="60"/>
    <n v="0"/>
    <s v="Medium"/>
    <n v="4.2"/>
    <s v=""/>
    <m/>
  </r>
  <r>
    <s v="Bernstein, Sean"/>
    <n v="10046"/>
    <n v="0"/>
    <n v="0"/>
    <n v="1"/>
    <n v="1"/>
    <n v="5"/>
    <n v="3"/>
    <n v="0"/>
    <n v="51044"/>
    <n v="0"/>
    <n v="19"/>
    <s v="Production Technician I"/>
    <s v="MA"/>
    <n v="2072"/>
    <d v="1970-12-22T00:00:00"/>
    <s v="M "/>
    <s v="Single"/>
    <s v="US Citizen"/>
    <s v="Yes"/>
    <s v="White"/>
    <d v="2012-04-02T00:00:00"/>
    <m/>
    <x v="0"/>
    <s v="Active"/>
    <s v="Production       "/>
    <s v="Amy Dunn"/>
    <n v="11"/>
    <s v="Google Search"/>
    <s v="Fully Meets"/>
    <n v="5"/>
    <n v="3"/>
    <n v="0"/>
    <s v="1/14/2019"/>
    <n v="0"/>
    <n v="13"/>
    <s v="Normal"/>
    <s v="low Outlier"/>
    <n v="55"/>
    <n v="13"/>
    <n v="13"/>
    <s v="10+ Years"/>
    <s v="46-55"/>
    <s v="Mid (40-70K)"/>
    <n v="1"/>
    <n v="2012"/>
    <n v="4"/>
    <s v="Q2"/>
    <s v="Apr"/>
    <s v="2012-04"/>
    <s v="N/A"/>
    <s v="Production       "/>
    <n v="65"/>
    <n v="0"/>
    <s v="Medium"/>
    <n v="5"/>
    <s v=""/>
    <s v="Gender Pay Gap MALE AND FEMALE"/>
  </r>
  <r>
    <s v="Biden, Lowan  M"/>
    <n v="10226"/>
    <n v="0"/>
    <n v="2"/>
    <n v="0"/>
    <n v="1"/>
    <n v="5"/>
    <n v="3"/>
    <n v="0"/>
    <n v="64919"/>
    <n v="0"/>
    <n v="19"/>
    <s v="Production Technician I"/>
    <s v="MA"/>
    <n v="2027"/>
    <d v="1958-12-27T00:00:00"/>
    <s v="F"/>
    <s v="Divorced"/>
    <s v="US Citizen"/>
    <s v="No"/>
    <s v="Asian"/>
    <d v="2013-08-19T00:00:00"/>
    <m/>
    <x v="0"/>
    <s v="Active"/>
    <s v="Production       "/>
    <s v="Ketsia Liebig"/>
    <n v="19"/>
    <s v="Indeed"/>
    <s v="Fully Meets"/>
    <n v="4.2"/>
    <n v="3"/>
    <n v="0"/>
    <s v="1/10/2019"/>
    <n v="0"/>
    <n v="2"/>
    <s v="Normal"/>
    <s v="low Outlier"/>
    <n v="67"/>
    <n v="12"/>
    <n v="12"/>
    <s v="10+ Years"/>
    <s v="55+"/>
    <s v="Mid (40-70K)"/>
    <n v="1"/>
    <n v="2013"/>
    <n v="8"/>
    <s v="Q3"/>
    <s v="Aug"/>
    <s v="2013-08"/>
    <s v="N/A"/>
    <s v="Production       "/>
    <n v="25"/>
    <n v="0"/>
    <s v="Medium"/>
    <n v="4.2"/>
    <s v=""/>
    <n v="4.0247725837579189"/>
  </r>
  <r>
    <s v="Billis, Helen"/>
    <n v="10003"/>
    <n v="1"/>
    <n v="1"/>
    <n v="0"/>
    <n v="1"/>
    <n v="5"/>
    <n v="4"/>
    <n v="0"/>
    <n v="62910"/>
    <n v="0"/>
    <n v="19"/>
    <s v="Production Technician I"/>
    <s v="MA"/>
    <n v="2031"/>
    <d v="1989-09-01T00:00:00"/>
    <s v="F"/>
    <s v="Married"/>
    <s v="US Citizen"/>
    <s v="No"/>
    <s v="White"/>
    <d v="2014-07-07T00:00:00"/>
    <m/>
    <x v="0"/>
    <s v="Active"/>
    <s v="Production       "/>
    <s v="Brannon Miller"/>
    <n v="12"/>
    <s v="Indeed"/>
    <s v="Exceeds"/>
    <n v="5"/>
    <n v="3"/>
    <n v="0"/>
    <s v="2/27/2019"/>
    <n v="0"/>
    <n v="19"/>
    <s v="Normal"/>
    <s v="low Outlier"/>
    <n v="36"/>
    <n v="11"/>
    <n v="11"/>
    <s v="10+ Years"/>
    <s v="36-45"/>
    <s v="Mid (40-70K)"/>
    <n v="1"/>
    <n v="2014"/>
    <n v="7"/>
    <s v="Q3"/>
    <s v="Jul"/>
    <s v="2014-07"/>
    <s v="N/A"/>
    <s v="Production       "/>
    <n v="28.571428571428569"/>
    <n v="0"/>
    <s v="Low"/>
    <n v="5"/>
    <s v=""/>
    <m/>
  </r>
  <r>
    <s v="Blount, Dianna"/>
    <n v="10294"/>
    <n v="0"/>
    <n v="0"/>
    <n v="0"/>
    <n v="1"/>
    <n v="5"/>
    <n v="2"/>
    <n v="0"/>
    <n v="66441"/>
    <n v="0"/>
    <n v="20"/>
    <s v="Production Technician II"/>
    <s v="MA"/>
    <n v="2171"/>
    <d v="1990-09-21T00:00:00"/>
    <s v="F"/>
    <s v="Single"/>
    <s v="US Citizen"/>
    <s v="No"/>
    <s v="White"/>
    <d v="2011-04-04T00:00:00"/>
    <m/>
    <x v="0"/>
    <s v="Active"/>
    <s v="Production       "/>
    <s v="Michael Albert"/>
    <n v="22"/>
    <s v="CareerBuilder"/>
    <s v="Needs Improvement"/>
    <n v="2"/>
    <n v="3"/>
    <n v="0"/>
    <s v="2/27/2019"/>
    <n v="2"/>
    <n v="3"/>
    <s v="Normal"/>
    <s v="low Outlier"/>
    <n v="35"/>
    <n v="14"/>
    <n v="14"/>
    <s v="10+ Years"/>
    <s v="26-35"/>
    <s v="Mid (40-70K)"/>
    <n v="1"/>
    <n v="2011"/>
    <n v="4"/>
    <s v="Q2"/>
    <s v="Apr"/>
    <s v="2011-04"/>
    <s v="N/A"/>
    <s v="Production       "/>
    <n v="40"/>
    <n v="0"/>
    <s v="High"/>
    <n v="2"/>
    <s v=""/>
    <s v="Age Demographics"/>
  </r>
  <r>
    <s v="Bondwell, Betsy"/>
    <n v="10267"/>
    <n v="0"/>
    <n v="0"/>
    <n v="0"/>
    <n v="5"/>
    <n v="5"/>
    <n v="3"/>
    <n v="0"/>
    <n v="57815"/>
    <n v="1"/>
    <n v="20"/>
    <s v="Production Technician II"/>
    <s v="MA"/>
    <n v="2210"/>
    <d v="1967-01-16T00:00:00"/>
    <s v="F"/>
    <s v="Single"/>
    <s v="US Citizen"/>
    <s v="No"/>
    <s v="White"/>
    <d v="2011-01-10T00:00:00"/>
    <d v="2014-04-04T00:00:00"/>
    <x v="1"/>
    <s v="Voluntarily Terminated"/>
    <s v="Production       "/>
    <s v="Elijiah Gray"/>
    <n v="16"/>
    <s v="Google Search"/>
    <s v="Fully Meets"/>
    <n v="4.8"/>
    <n v="5"/>
    <n v="0"/>
    <s v="3/4/2014"/>
    <n v="0"/>
    <n v="5"/>
    <s v="Normal"/>
    <s v="low Outlier"/>
    <n v="59"/>
    <n v="15"/>
    <n v="3"/>
    <s v="10+ Years"/>
    <s v="55+"/>
    <s v="Mid (40-70K)"/>
    <n v="0"/>
    <n v="2011"/>
    <n v="1"/>
    <s v="Q1"/>
    <s v="Jan"/>
    <s v="2011-01"/>
    <n v="2014"/>
    <s v="Production       "/>
    <n v="40"/>
    <n v="8"/>
    <s v="Medium"/>
    <s v=""/>
    <n v="4.8"/>
    <m/>
  </r>
  <r>
    <s v="Booth, Frank"/>
    <n v="10199"/>
    <n v="0"/>
    <n v="0"/>
    <n v="1"/>
    <n v="4"/>
    <n v="3"/>
    <n v="3"/>
    <n v="0"/>
    <n v="103613"/>
    <n v="1"/>
    <n v="30"/>
    <s v="Enterprise Architect"/>
    <s v="CT"/>
    <n v="6033"/>
    <d v="1964-07-30T00:00:00"/>
    <s v="M "/>
    <s v="Single"/>
    <s v="US Citizen"/>
    <s v="No"/>
    <s v="Black or African American"/>
    <d v="2014-02-17T00:00:00"/>
    <d v="2016-02-19T00:00:00"/>
    <x v="8"/>
    <s v="Terminated for Cause"/>
    <s v="IT/IS"/>
    <s v="Simon Roup"/>
    <n v="4"/>
    <s v="LinkedIn"/>
    <s v="Fully Meets"/>
    <n v="3.5"/>
    <n v="5"/>
    <n v="7"/>
    <s v="1/10/2016"/>
    <n v="0"/>
    <n v="2"/>
    <s v="Normal"/>
    <s v="low Outlier"/>
    <n v="61"/>
    <n v="12"/>
    <n v="2"/>
    <s v="10+ Years"/>
    <s v="55+"/>
    <s v="Executive (100K+)"/>
    <n v="0"/>
    <n v="2014"/>
    <n v="2"/>
    <s v="Q1"/>
    <s v="Feb"/>
    <s v="2014-02"/>
    <n v="2016"/>
    <s v="Production       "/>
    <n v="42.857142857142854"/>
    <n v="1"/>
    <s v="Medium"/>
    <s v=""/>
    <n v="3.5"/>
    <s v="Average Age of Workforce"/>
  </r>
  <r>
    <s v="Boutwell, Bonalyn"/>
    <n v="10081"/>
    <n v="1"/>
    <n v="1"/>
    <n v="0"/>
    <n v="1"/>
    <n v="1"/>
    <n v="3"/>
    <n v="1"/>
    <n v="106367"/>
    <n v="0"/>
    <n v="26"/>
    <s v="Sr. Accountant"/>
    <s v="MA"/>
    <n v="2468"/>
    <d v="1987-04-04T00:00:00"/>
    <s v="F"/>
    <s v="Married"/>
    <s v="US Citizen"/>
    <s v="No"/>
    <s v="Black or African American"/>
    <d v="2015-02-16T00:00:00"/>
    <m/>
    <x v="0"/>
    <s v="Active"/>
    <s v="Admin Offices"/>
    <s v="Brandon R. LeBlanc"/>
    <n v="3"/>
    <s v="Diversity Job Fair"/>
    <s v="Fully Meets"/>
    <n v="5"/>
    <n v="4"/>
    <n v="3"/>
    <s v="2/18/2019"/>
    <n v="0"/>
    <n v="4"/>
    <s v="Normal"/>
    <s v="low Outlier"/>
    <n v="38"/>
    <n v="11"/>
    <n v="11"/>
    <s v="10+ Years"/>
    <s v="36-45"/>
    <s v="Executive (100K+)"/>
    <n v="1"/>
    <n v="2015"/>
    <n v="2"/>
    <s v="Q1"/>
    <s v="Feb"/>
    <s v="2015-02"/>
    <s v="N/A"/>
    <s v="Production       "/>
    <n v="28.571428571428569"/>
    <n v="0"/>
    <s v="Medium"/>
    <n v="5"/>
    <s v=""/>
    <n v="46.59807073954984"/>
  </r>
  <r>
    <s v="Bozzi, Charles"/>
    <n v="10175"/>
    <n v="0"/>
    <n v="0"/>
    <n v="1"/>
    <n v="5"/>
    <n v="5"/>
    <n v="3"/>
    <n v="0"/>
    <n v="74312"/>
    <n v="1"/>
    <n v="18"/>
    <s v="Production Manager"/>
    <s v="MA"/>
    <n v="1901"/>
    <d v="1970-03-10T00:00:00"/>
    <s v="M "/>
    <s v="Single"/>
    <s v="US Citizen"/>
    <s v="No"/>
    <s v="Asian"/>
    <d v="2013-09-30T00:00:00"/>
    <d v="2014-08-07T00:00:00"/>
    <x v="9"/>
    <s v="Voluntarily Terminated"/>
    <s v="Production       "/>
    <s v="Janet King"/>
    <n v="2"/>
    <s v="Indeed"/>
    <s v="Fully Meets"/>
    <n v="3.39"/>
    <n v="3"/>
    <n v="0"/>
    <s v="2/20/2014"/>
    <n v="0"/>
    <n v="14"/>
    <s v="Normal"/>
    <s v="low Outlier"/>
    <n v="56"/>
    <n v="12"/>
    <n v="0"/>
    <s v="10+ Years"/>
    <s v="55+"/>
    <s v="Senior (70-100K)"/>
    <n v="0"/>
    <n v="2013"/>
    <n v="9"/>
    <s v="Q3"/>
    <s v="Sep"/>
    <s v="2013-09"/>
    <n v="2014"/>
    <s v="Production       "/>
    <n v="31.578947368421051"/>
    <n v="4"/>
    <s v="Medium"/>
    <s v=""/>
    <n v="3.39"/>
    <m/>
  </r>
  <r>
    <s v="Brill, Donna"/>
    <n v="10177"/>
    <n v="1"/>
    <n v="1"/>
    <n v="0"/>
    <n v="5"/>
    <n v="5"/>
    <n v="3"/>
    <n v="0"/>
    <n v="53492"/>
    <n v="1"/>
    <n v="19"/>
    <s v="Production Technician I"/>
    <s v="MA"/>
    <n v="1701"/>
    <d v="1990-08-24T00:00:00"/>
    <s v="F"/>
    <s v="Married"/>
    <s v="US Citizen"/>
    <s v="No"/>
    <s v="White"/>
    <d v="2012-04-02T00:00:00"/>
    <d v="2013-06-15T00:00:00"/>
    <x v="4"/>
    <s v="Voluntarily Terminated"/>
    <s v="Production       "/>
    <s v="David Stanley"/>
    <n v="14"/>
    <s v="Google Search"/>
    <s v="Fully Meets"/>
    <n v="3.35"/>
    <n v="4"/>
    <n v="0"/>
    <s v="3/4/2013"/>
    <n v="0"/>
    <n v="6"/>
    <s v="Normal"/>
    <s v="low Outlier"/>
    <n v="35"/>
    <n v="13"/>
    <n v="1"/>
    <s v="10+ Years"/>
    <s v="26-35"/>
    <s v="Mid (40-70K)"/>
    <n v="0"/>
    <n v="2012"/>
    <n v="4"/>
    <s v="Q2"/>
    <s v="Apr"/>
    <s v="2012-04"/>
    <n v="2013"/>
    <s v="Production       "/>
    <n v="25"/>
    <n v="18"/>
    <s v="Medium"/>
    <s v=""/>
    <n v="3.35"/>
    <s v="Median Age"/>
  </r>
  <r>
    <s v="Brown, Mia"/>
    <n v="10238"/>
    <n v="1"/>
    <n v="1"/>
    <n v="0"/>
    <n v="1"/>
    <n v="1"/>
    <n v="3"/>
    <n v="1"/>
    <n v="63000"/>
    <n v="0"/>
    <n v="1"/>
    <s v="Accountant I"/>
    <s v="MA"/>
    <n v="1450"/>
    <d v="1987-11-24T00:00:00"/>
    <s v="F"/>
    <s v="Married"/>
    <s v="US Citizen"/>
    <s v="No"/>
    <s v="Black or African American"/>
    <d v="2008-10-27T00:00:00"/>
    <m/>
    <x v="0"/>
    <s v="Active"/>
    <s v="Admin Offices"/>
    <s v="Brandon R. LeBlanc"/>
    <n v="1"/>
    <s v="Diversity Job Fair"/>
    <s v="Fully Meets"/>
    <n v="4.5"/>
    <n v="2"/>
    <n v="6"/>
    <s v="1/15/2019"/>
    <n v="0"/>
    <n v="14"/>
    <s v="Normal"/>
    <s v="low Outlier"/>
    <n v="38"/>
    <n v="17"/>
    <n v="17"/>
    <s v="10+ Years"/>
    <s v="36-45"/>
    <s v="Mid (40-70K)"/>
    <n v="1"/>
    <n v="2008"/>
    <n v="10"/>
    <s v="Q4"/>
    <s v="Oct"/>
    <s v="2008-10"/>
    <s v="N/A"/>
    <s v="Production       "/>
    <n v="33.333333333333329"/>
    <n v="0"/>
    <s v="Medium"/>
    <n v="4.5"/>
    <s v=""/>
    <n v="45"/>
  </r>
  <r>
    <s v="Buccheri, Joseph  "/>
    <n v="10184"/>
    <n v="0"/>
    <n v="0"/>
    <n v="1"/>
    <n v="1"/>
    <n v="5"/>
    <n v="3"/>
    <n v="0"/>
    <n v="65288"/>
    <n v="0"/>
    <n v="20"/>
    <s v="Production Technician II"/>
    <s v="MA"/>
    <n v="1013"/>
    <d v="1983-07-28T00:00:00"/>
    <s v="M "/>
    <s v="Single"/>
    <s v="US Citizen"/>
    <s v="No"/>
    <s v="White"/>
    <d v="2014-09-29T00:00:00"/>
    <m/>
    <x v="0"/>
    <s v="Active"/>
    <s v="Production       "/>
    <s v="Webster Butler"/>
    <m/>
    <s v="Google Search"/>
    <s v="Fully Meets"/>
    <n v="3.19"/>
    <n v="3"/>
    <n v="0"/>
    <s v="2/1/2019"/>
    <n v="0"/>
    <n v="9"/>
    <s v="Normal"/>
    <s v="low Outlier"/>
    <n v="42"/>
    <n v="11"/>
    <n v="11"/>
    <s v="10+ Years"/>
    <s v="36-45"/>
    <s v="Mid (40-70K)"/>
    <n v="1"/>
    <n v="2014"/>
    <n v="9"/>
    <s v="Q3"/>
    <s v="Sep"/>
    <s v="2014-09"/>
    <s v="N/A"/>
    <s v="Production       "/>
    <n v="63.157894736842103"/>
    <n v="0"/>
    <s v="Medium"/>
    <n v="3.19"/>
    <s v=""/>
    <s v="Age Distribution Count"/>
  </r>
  <r>
    <s v="Bugali, Josephine "/>
    <n v="10203"/>
    <n v="0"/>
    <n v="3"/>
    <n v="0"/>
    <n v="3"/>
    <n v="5"/>
    <n v="3"/>
    <n v="1"/>
    <n v="64375"/>
    <n v="0"/>
    <n v="19"/>
    <s v="Production Technician I"/>
    <s v="MA"/>
    <n v="2043"/>
    <d v="1969-10-30T00:00:00"/>
    <s v="F"/>
    <s v="Separated"/>
    <s v="US Citizen"/>
    <s v="No"/>
    <s v="Black or African American"/>
    <d v="2013-11-11T00:00:00"/>
    <m/>
    <x v="0"/>
    <s v="Active"/>
    <s v="Production       "/>
    <s v="Kissy Sullivan"/>
    <n v="20"/>
    <s v="Diversity Job Fair"/>
    <s v="Fully Meets"/>
    <n v="3.5"/>
    <n v="5"/>
    <n v="0"/>
    <s v="1/21/2019"/>
    <n v="0"/>
    <n v="17"/>
    <s v="Normal"/>
    <s v="low Outlier"/>
    <n v="56"/>
    <n v="12"/>
    <n v="12"/>
    <s v="10+ Years"/>
    <s v="55+"/>
    <s v="Mid (40-70K)"/>
    <n v="1"/>
    <n v="2013"/>
    <n v="11"/>
    <s v="Q4"/>
    <s v="Nov"/>
    <s v="2013-11"/>
    <s v="N/A"/>
    <s v="Production       "/>
    <n v="50"/>
    <n v="0"/>
    <s v="Medium"/>
    <n v="3.5"/>
    <s v=""/>
    <s v="18-25"/>
  </r>
  <r>
    <s v="Bunbury, Jessica"/>
    <n v="10188"/>
    <n v="1"/>
    <n v="1"/>
    <n v="0"/>
    <n v="5"/>
    <n v="6"/>
    <n v="3"/>
    <n v="0"/>
    <n v="74326"/>
    <n v="1"/>
    <n v="3"/>
    <s v="Area Sales Manager"/>
    <s v="VA"/>
    <n v="21851"/>
    <d v="1964-06-01T00:00:00"/>
    <s v="F"/>
    <s v="Married"/>
    <s v="Eligible NonCitizen"/>
    <s v="No"/>
    <s v="Black or African American"/>
    <d v="2011-08-15T00:00:00"/>
    <d v="2014-08-02T00:00:00"/>
    <x v="4"/>
    <s v="Voluntarily Terminated"/>
    <s v="Sales"/>
    <s v="John Smith"/>
    <n v="17"/>
    <s v="Google Search"/>
    <s v="Fully Meets"/>
    <n v="3.14"/>
    <n v="5"/>
    <n v="0"/>
    <s v="2/10/2013"/>
    <n v="1"/>
    <n v="19"/>
    <s v="Normal"/>
    <s v="low Outlier"/>
    <n v="61"/>
    <n v="14"/>
    <n v="2"/>
    <s v="10+ Years"/>
    <s v="55+"/>
    <s v="Senior (70-100K)"/>
    <n v="0"/>
    <n v="2011"/>
    <n v="8"/>
    <s v="Q3"/>
    <s v="Aug"/>
    <s v="2011-08"/>
    <n v="2014"/>
    <s v="Production       "/>
    <n v="21.428571428571427"/>
    <n v="17"/>
    <s v="Medium"/>
    <s v=""/>
    <n v="3.14"/>
    <n v="0"/>
  </r>
  <r>
    <s v="Burke, Joelle"/>
    <n v="10107"/>
    <n v="0"/>
    <n v="0"/>
    <n v="0"/>
    <n v="1"/>
    <n v="5"/>
    <n v="3"/>
    <n v="0"/>
    <n v="63763"/>
    <n v="0"/>
    <n v="20"/>
    <s v="Production Technician II"/>
    <s v="MA"/>
    <n v="2148"/>
    <d v="1980-03-02T00:00:00"/>
    <s v="F"/>
    <s v="Single"/>
    <s v="US Citizen"/>
    <s v="No"/>
    <s v="Black or African American"/>
    <d v="2012-03-05T00:00:00"/>
    <m/>
    <x v="0"/>
    <s v="Active"/>
    <s v="Production       "/>
    <s v="Amy Dunn"/>
    <n v="11"/>
    <s v="Employee Referral"/>
    <s v="Fully Meets"/>
    <n v="4.51"/>
    <n v="4"/>
    <n v="0"/>
    <s v="2/21/2019"/>
    <n v="0"/>
    <n v="3"/>
    <s v="Normal"/>
    <s v="low Outlier"/>
    <n v="46"/>
    <n v="14"/>
    <n v="14"/>
    <s v="10+ Years"/>
    <s v="46-55"/>
    <s v="Mid (40-70K)"/>
    <n v="1"/>
    <n v="2012"/>
    <n v="3"/>
    <s v="Q1"/>
    <s v="Mar"/>
    <s v="2012-03"/>
    <s v="N/A"/>
    <s v="Production       "/>
    <n v="68.421052631578945"/>
    <n v="0"/>
    <s v="Medium"/>
    <n v="4.51"/>
    <s v=""/>
    <n v="11"/>
  </r>
  <r>
    <s v="Burkett, Benjamin "/>
    <n v="10181"/>
    <n v="1"/>
    <n v="1"/>
    <n v="1"/>
    <n v="1"/>
    <n v="5"/>
    <n v="3"/>
    <n v="0"/>
    <n v="62162"/>
    <n v="0"/>
    <n v="20"/>
    <s v="Production Technician II"/>
    <s v="MA"/>
    <n v="1890"/>
    <d v="1977-08-19T00:00:00"/>
    <s v="M "/>
    <s v="Married"/>
    <s v="US Citizen"/>
    <s v="No"/>
    <s v="White"/>
    <d v="2011-04-04T00:00:00"/>
    <m/>
    <x v="0"/>
    <s v="Active"/>
    <s v="Production       "/>
    <s v="Ketsia Liebig"/>
    <n v="19"/>
    <s v="Indeed"/>
    <s v="Fully Meets"/>
    <n v="3.25"/>
    <n v="5"/>
    <n v="0"/>
    <s v="1/14/2019"/>
    <n v="0"/>
    <n v="15"/>
    <s v="Normal"/>
    <s v="low Outlier"/>
    <n v="48"/>
    <n v="14"/>
    <n v="14"/>
    <s v="10+ Years"/>
    <s v="46-55"/>
    <s v="Mid (40-70K)"/>
    <n v="1"/>
    <n v="2011"/>
    <n v="4"/>
    <s v="Q2"/>
    <s v="Apr"/>
    <s v="2011-04"/>
    <s v="N/A"/>
    <s v="Production       "/>
    <n v="26.315789473684209"/>
    <n v="0"/>
    <s v="Medium"/>
    <n v="3.25"/>
    <s v=""/>
    <n v="151"/>
  </r>
  <r>
    <s v="Cady, Max "/>
    <n v="10150"/>
    <n v="0"/>
    <n v="0"/>
    <n v="1"/>
    <n v="1"/>
    <n v="4"/>
    <n v="3"/>
    <n v="0"/>
    <n v="77692"/>
    <n v="0"/>
    <n v="25"/>
    <s v="Software Engineering Manager"/>
    <s v="MA"/>
    <n v="2184"/>
    <d v="1966-11-22T00:00:00"/>
    <s v="M "/>
    <s v="Single"/>
    <s v="US Citizen"/>
    <s v="No"/>
    <s v="White"/>
    <d v="2011-08-15T00:00:00"/>
    <m/>
    <x v="0"/>
    <s v="Active"/>
    <s v="Software Engineering"/>
    <s v="Jennifer Zamora"/>
    <n v="5"/>
    <s v="Google Search"/>
    <s v="Fully Meets"/>
    <n v="3.84"/>
    <n v="3"/>
    <n v="5"/>
    <s v="1/21/2019"/>
    <n v="0"/>
    <n v="4"/>
    <s v="Normal"/>
    <s v="low Outlier"/>
    <n v="59"/>
    <n v="14"/>
    <n v="14"/>
    <s v="10+ Years"/>
    <s v="55+"/>
    <s v="Senior (70-100K)"/>
    <n v="1"/>
    <n v="2011"/>
    <n v="8"/>
    <s v="Q3"/>
    <s v="Aug"/>
    <s v="2011-08"/>
    <s v="N/A"/>
    <s v="Production       "/>
    <n v="14.285714285714285"/>
    <n v="0"/>
    <s v="Medium"/>
    <n v="3.84"/>
    <s v=""/>
    <n v="97"/>
  </r>
  <r>
    <s v="Candie, Calvin"/>
    <n v="10001"/>
    <n v="0"/>
    <n v="0"/>
    <n v="1"/>
    <n v="1"/>
    <n v="5"/>
    <n v="4"/>
    <n v="0"/>
    <n v="72640"/>
    <n v="0"/>
    <n v="18"/>
    <s v="Production Manager"/>
    <s v="MA"/>
    <n v="2169"/>
    <d v="1983-08-09T00:00:00"/>
    <s v="M "/>
    <s v="Single"/>
    <s v="US Citizen"/>
    <s v="No"/>
    <s v="White"/>
    <d v="2016-01-28T00:00:00"/>
    <m/>
    <x v="0"/>
    <s v="Active"/>
    <s v="Production       "/>
    <s v="Janet King"/>
    <n v="2"/>
    <s v="Indeed"/>
    <s v="Exceeds"/>
    <n v="5"/>
    <n v="3"/>
    <n v="0"/>
    <s v="2/22/2019"/>
    <n v="0"/>
    <n v="14"/>
    <s v="Normal"/>
    <s v="low Outlier"/>
    <n v="42"/>
    <n v="10"/>
    <n v="10"/>
    <s v="10+ Years"/>
    <s v="36-45"/>
    <s v="Senior (70-100K)"/>
    <n v="1"/>
    <n v="2016"/>
    <n v="1"/>
    <s v="Q1"/>
    <s v="Jan"/>
    <s v="2016-01"/>
    <s v="N/A"/>
    <s v="Production       "/>
    <n v="27.777777777777779"/>
    <n v="0"/>
    <s v="Low"/>
    <n v="5"/>
    <s v=""/>
    <n v="52"/>
  </r>
  <r>
    <s v="Carabbio, Judith"/>
    <n v="10085"/>
    <n v="0"/>
    <n v="0"/>
    <n v="0"/>
    <n v="1"/>
    <n v="4"/>
    <n v="3"/>
    <n v="0"/>
    <n v="93396"/>
    <n v="0"/>
    <n v="24"/>
    <s v="Software Engineer"/>
    <s v="MA"/>
    <n v="2132"/>
    <d v="1987-04-05T00:00:00"/>
    <s v="F"/>
    <s v="Single"/>
    <s v="US Citizen"/>
    <s v="No"/>
    <s v="White"/>
    <d v="2013-11-11T00:00:00"/>
    <m/>
    <x v="0"/>
    <s v="Active"/>
    <s v="Software Engineering"/>
    <s v="Alex Sweetwater"/>
    <n v="10"/>
    <s v="Indeed"/>
    <s v="Fully Meets"/>
    <n v="4.96"/>
    <n v="4"/>
    <n v="6"/>
    <s v="1/30/2019"/>
    <n v="0"/>
    <n v="3"/>
    <s v="Normal"/>
    <s v="low Outlier"/>
    <n v="38"/>
    <n v="12"/>
    <n v="12"/>
    <s v="10+ Years"/>
    <s v="36-45"/>
    <s v="Senior (70-100K)"/>
    <n v="1"/>
    <n v="2013"/>
    <n v="11"/>
    <s v="Q4"/>
    <s v="Nov"/>
    <s v="2013-11"/>
    <s v="N/A"/>
    <s v="Production       "/>
    <n v="37.5"/>
    <n v="0"/>
    <s v="Medium"/>
    <n v="4.96"/>
    <s v=""/>
    <m/>
  </r>
  <r>
    <s v="Carey, Michael  "/>
    <n v="10115"/>
    <n v="0"/>
    <n v="0"/>
    <n v="1"/>
    <n v="1"/>
    <n v="5"/>
    <n v="3"/>
    <n v="0"/>
    <n v="52846"/>
    <n v="0"/>
    <n v="19"/>
    <s v="Production Technician I"/>
    <s v="MA"/>
    <n v="1701"/>
    <d v="1983-02-02T00:00:00"/>
    <s v="M "/>
    <s v="Single"/>
    <s v="US Citizen"/>
    <s v="No"/>
    <s v="Black or African American"/>
    <d v="2014-03-31T00:00:00"/>
    <m/>
    <x v="0"/>
    <s v="Active"/>
    <s v="Production       "/>
    <s v="Kelley Spirea"/>
    <n v="18"/>
    <s v="LinkedIn"/>
    <s v="Fully Meets"/>
    <n v="4.43"/>
    <n v="3"/>
    <n v="0"/>
    <s v="2/1/2019"/>
    <n v="0"/>
    <n v="14"/>
    <s v="Normal"/>
    <s v="low Outlier"/>
    <n v="43"/>
    <n v="11"/>
    <n v="11"/>
    <s v="10+ Years"/>
    <s v="36-45"/>
    <s v="Mid (40-70K)"/>
    <n v="1"/>
    <n v="2014"/>
    <n v="3"/>
    <s v="Q1"/>
    <s v="Mar"/>
    <s v="2014-03"/>
    <s v="N/A"/>
    <s v="Production       "/>
    <n v="26.315789473684209"/>
    <n v="0"/>
    <s v="Medium"/>
    <n v="4.43"/>
    <s v=""/>
    <s v="Average Age by Department"/>
  </r>
  <r>
    <s v="Carr, Claudia  N"/>
    <n v="10082"/>
    <n v="0"/>
    <n v="0"/>
    <n v="0"/>
    <n v="2"/>
    <n v="3"/>
    <n v="3"/>
    <n v="0"/>
    <n v="100031"/>
    <n v="0"/>
    <n v="27"/>
    <s v="Sr. DBA"/>
    <s v="MA"/>
    <n v="1886"/>
    <d v="1986-06-06T00:00:00"/>
    <s v="F"/>
    <s v="Single"/>
    <s v="US Citizen"/>
    <s v="No"/>
    <s v="Black or African American"/>
    <d v="2016-06-30T00:00:00"/>
    <m/>
    <x v="0"/>
    <s v="Active"/>
    <s v="IT/IS"/>
    <s v="Simon Roup"/>
    <n v="4"/>
    <s v="LinkedIn"/>
    <s v="Fully Meets"/>
    <n v="5"/>
    <n v="5"/>
    <n v="6"/>
    <s v="2/18/2019"/>
    <n v="0"/>
    <n v="7"/>
    <s v="Normal"/>
    <s v="low Outlier"/>
    <n v="39"/>
    <n v="9"/>
    <n v="9"/>
    <s v="5-10 Years"/>
    <s v="36-45"/>
    <s v="Executive (100K+)"/>
    <n v="1"/>
    <n v="2016"/>
    <n v="6"/>
    <s v="Q2"/>
    <s v="Jun"/>
    <s v="2016-06"/>
    <s v="N/A"/>
    <s v="Production       "/>
    <n v="38.461538461538467"/>
    <n v="0"/>
    <s v="Medium"/>
    <n v="5"/>
    <s v=""/>
    <n v="45.76"/>
  </r>
  <r>
    <s v="Carter, Michelle "/>
    <n v="10040"/>
    <n v="0"/>
    <n v="0"/>
    <n v="0"/>
    <n v="1"/>
    <n v="6"/>
    <n v="3"/>
    <n v="0"/>
    <n v="71860"/>
    <n v="0"/>
    <n v="3"/>
    <s v="Area Sales Manager"/>
    <s v="VT"/>
    <n v="5664"/>
    <d v="1963-05-15T00:00:00"/>
    <s v="F"/>
    <s v="Single"/>
    <s v="US Citizen"/>
    <s v="No"/>
    <s v="White"/>
    <d v="2014-08-18T00:00:00"/>
    <m/>
    <x v="0"/>
    <s v="Active"/>
    <s v="Sales"/>
    <s v="John Smith"/>
    <n v="17"/>
    <s v="Indeed"/>
    <s v="Fully Meets"/>
    <n v="5"/>
    <n v="5"/>
    <n v="0"/>
    <s v="1/21/2019"/>
    <n v="0"/>
    <n v="7"/>
    <s v="Normal"/>
    <s v="low Outlier"/>
    <n v="62"/>
    <n v="11"/>
    <n v="11"/>
    <s v="10+ Years"/>
    <s v="55+"/>
    <s v="Senior (70-100K)"/>
    <n v="1"/>
    <n v="2014"/>
    <n v="8"/>
    <s v="Q3"/>
    <s v="Aug"/>
    <s v="2014-08"/>
    <s v="N/A"/>
    <s v="Production       "/>
    <n v="15.384615384615385"/>
    <n v="0"/>
    <s v="Medium"/>
    <n v="5"/>
    <s v=""/>
    <s v="sales"/>
  </r>
  <r>
    <s v="Chace, Beatrice "/>
    <n v="10067"/>
    <n v="0"/>
    <n v="0"/>
    <n v="0"/>
    <n v="1"/>
    <n v="5"/>
    <n v="3"/>
    <n v="0"/>
    <n v="61656"/>
    <n v="0"/>
    <n v="19"/>
    <s v="Production Technician I"/>
    <s v="MA"/>
    <n v="2763"/>
    <d v="1951-01-02T00:00:00"/>
    <s v="F"/>
    <s v="Single"/>
    <s v="US Citizen"/>
    <s v="No"/>
    <s v="White"/>
    <d v="2014-09-29T00:00:00"/>
    <m/>
    <x v="0"/>
    <s v="Active"/>
    <s v="Production       "/>
    <s v="Michael Albert"/>
    <n v="22"/>
    <s v="Google Search"/>
    <s v="Fully Meets"/>
    <n v="5"/>
    <n v="4"/>
    <n v="0"/>
    <s v="2/12/2019"/>
    <n v="0"/>
    <n v="11"/>
    <s v="Normal"/>
    <s v="low Outlier"/>
    <n v="75"/>
    <n v="11"/>
    <n v="11"/>
    <s v="10+ Years"/>
    <s v="55+"/>
    <s v="Mid (40-70K)"/>
    <n v="1"/>
    <n v="2014"/>
    <n v="9"/>
    <s v="Q3"/>
    <s v="Sep"/>
    <s v="2014-09"/>
    <s v="N/A"/>
    <s v="Production       "/>
    <n v="42.105263157894733"/>
    <n v="0"/>
    <s v="Medium"/>
    <n v="5"/>
    <s v=""/>
    <n v="46.741935483870968"/>
  </r>
  <r>
    <s v="Champaigne, Brian"/>
    <n v="10108"/>
    <n v="1"/>
    <n v="1"/>
    <n v="1"/>
    <n v="1"/>
    <n v="3"/>
    <n v="3"/>
    <n v="0"/>
    <n v="110929"/>
    <n v="0"/>
    <n v="5"/>
    <s v="BI Director"/>
    <s v="MA"/>
    <n v="2045"/>
    <d v="1972-02-09T00:00:00"/>
    <s v="M "/>
    <s v="Married"/>
    <s v="US Citizen"/>
    <s v="No"/>
    <s v="White"/>
    <d v="2016-09-06T00:00:00"/>
    <m/>
    <x v="0"/>
    <s v="Active"/>
    <s v="IT/IS"/>
    <s v="Jennifer Zamora"/>
    <n v="5"/>
    <s v="Indeed"/>
    <s v="Fully Meets"/>
    <n v="4.5"/>
    <n v="5"/>
    <n v="7"/>
    <s v="1/15/2019"/>
    <n v="0"/>
    <n v="8"/>
    <s v="Normal"/>
    <s v="low Outlier"/>
    <n v="54"/>
    <n v="9"/>
    <n v="9"/>
    <s v="5-10 Years"/>
    <s v="46-55"/>
    <s v="Executive (100K+)"/>
    <n v="1"/>
    <n v="2016"/>
    <n v="9"/>
    <s v="Q3"/>
    <s v="Sep"/>
    <s v="2016-09"/>
    <s v="N/A"/>
    <s v="Production       "/>
    <n v="16.666666666666664"/>
    <n v="0"/>
    <s v="Medium"/>
    <n v="4.5"/>
    <s v=""/>
    <s v="production"/>
  </r>
  <r>
    <s v="Chan, Lin"/>
    <n v="10210"/>
    <n v="0"/>
    <n v="0"/>
    <n v="0"/>
    <n v="1"/>
    <n v="5"/>
    <n v="3"/>
    <n v="0"/>
    <n v="54237"/>
    <n v="0"/>
    <n v="19"/>
    <s v="Production Technician I"/>
    <s v="MA"/>
    <n v="2170"/>
    <d v="1979-02-12T00:00:00"/>
    <s v="F"/>
    <s v="Single"/>
    <s v="US Citizen"/>
    <s v="No"/>
    <s v="White"/>
    <d v="2014-05-12T00:00:00"/>
    <m/>
    <x v="0"/>
    <s v="Active"/>
    <s v="Production       "/>
    <s v="Elijiah Gray"/>
    <n v="16"/>
    <s v="Indeed"/>
    <s v="Fully Meets"/>
    <n v="3.3"/>
    <n v="4"/>
    <n v="0"/>
    <s v="2/19/2019"/>
    <n v="0"/>
    <n v="11"/>
    <s v="Normal"/>
    <s v="low Outlier"/>
    <n v="47"/>
    <n v="11"/>
    <n v="11"/>
    <s v="10+ Years"/>
    <s v="46-55"/>
    <s v="Mid (40-70K)"/>
    <n v="1"/>
    <n v="2014"/>
    <n v="5"/>
    <s v="Q2"/>
    <s v="May"/>
    <s v="2014-05"/>
    <s v="N/A"/>
    <s v="Production       "/>
    <n v="36.84210526315789"/>
    <n v="0"/>
    <s v="Medium"/>
    <n v="3.3"/>
    <s v=""/>
    <n v="47.12918660287081"/>
  </r>
  <r>
    <s v="Chang, Donovan  E"/>
    <n v="10154"/>
    <n v="0"/>
    <n v="0"/>
    <n v="1"/>
    <n v="1"/>
    <n v="5"/>
    <n v="3"/>
    <n v="0"/>
    <n v="60380"/>
    <n v="0"/>
    <n v="19"/>
    <s v="Production Technician I"/>
    <s v="MA"/>
    <n v="1845"/>
    <d v="1983-08-24T00:00:00"/>
    <s v="M "/>
    <s v="Single"/>
    <s v="US Citizen"/>
    <s v="No"/>
    <s v="White"/>
    <d v="2013-07-08T00:00:00"/>
    <m/>
    <x v="0"/>
    <s v="Active"/>
    <s v="Production       "/>
    <s v="Webster Butler"/>
    <m/>
    <s v="LinkedIn"/>
    <s v="Fully Meets"/>
    <n v="3.8"/>
    <n v="5"/>
    <n v="0"/>
    <s v="1/14/2019"/>
    <n v="0"/>
    <n v="4"/>
    <s v="Normal"/>
    <s v="low Outlier"/>
    <n v="42"/>
    <n v="12"/>
    <n v="12"/>
    <s v="10+ Years"/>
    <s v="36-45"/>
    <s v="Mid (40-70K)"/>
    <n v="1"/>
    <n v="2013"/>
    <n v="7"/>
    <s v="Q3"/>
    <s v="Jul"/>
    <s v="2013-07"/>
    <s v="N/A"/>
    <s v="Production       "/>
    <n v="66.666666666666657"/>
    <n v="0"/>
    <s v="Medium"/>
    <n v="3.8"/>
    <s v=""/>
    <s v="software"/>
  </r>
  <r>
    <s v="Chigurh, Anton"/>
    <n v="10200"/>
    <n v="0"/>
    <n v="0"/>
    <n v="1"/>
    <n v="1"/>
    <n v="6"/>
    <n v="3"/>
    <n v="0"/>
    <n v="66808"/>
    <n v="0"/>
    <n v="3"/>
    <s v="Area Sales Manager"/>
    <s v="TX"/>
    <n v="78207"/>
    <d v="1970-06-11T00:00:00"/>
    <s v="M "/>
    <s v="Single"/>
    <s v="Eligible NonCitizen"/>
    <s v="No"/>
    <s v="Black or African American"/>
    <d v="2012-05-14T00:00:00"/>
    <m/>
    <x v="0"/>
    <s v="Active"/>
    <s v="Sales"/>
    <s v="Lynn Daneault"/>
    <n v="21"/>
    <s v="Employee Referral"/>
    <s v="Fully Meets"/>
    <n v="3"/>
    <n v="5"/>
    <n v="0"/>
    <s v="1/19/2019"/>
    <n v="0"/>
    <n v="17"/>
    <s v="Normal"/>
    <s v="low Outlier"/>
    <n v="55"/>
    <n v="13"/>
    <n v="13"/>
    <s v="10+ Years"/>
    <s v="46-55"/>
    <s v="Mid (40-70K)"/>
    <n v="1"/>
    <n v="2012"/>
    <n v="5"/>
    <s v="Q2"/>
    <s v="May"/>
    <s v="2012-05"/>
    <s v="N/A"/>
    <s v="Production       "/>
    <n v="7.6923076923076925"/>
    <n v="0"/>
    <s v="Medium"/>
    <n v="3"/>
    <s v=""/>
    <n v="43.272727272727273"/>
  </r>
  <r>
    <s v="Chivukula, Enola"/>
    <n v="10240"/>
    <n v="0"/>
    <n v="0"/>
    <n v="0"/>
    <n v="5"/>
    <n v="5"/>
    <n v="3"/>
    <n v="0"/>
    <n v="64786"/>
    <n v="1"/>
    <n v="19"/>
    <s v="Production Technician I"/>
    <s v="MA"/>
    <n v="1775"/>
    <d v="1983-08-27T00:00:00"/>
    <s v="F"/>
    <s v="Single"/>
    <s v="US Citizen"/>
    <s v="No"/>
    <s v="White"/>
    <d v="2011-06-27T00:00:00"/>
    <d v="2015-11-15T00:00:00"/>
    <x v="10"/>
    <s v="Voluntarily Terminated"/>
    <s v="Production       "/>
    <s v="Amy Dunn"/>
    <n v="11"/>
    <s v="Indeed"/>
    <s v="Fully Meets"/>
    <n v="4.3"/>
    <n v="4"/>
    <n v="0"/>
    <s v="3/10/2015"/>
    <n v="0"/>
    <n v="3"/>
    <s v="Normal"/>
    <s v="low Outlier"/>
    <n v="42"/>
    <n v="14"/>
    <n v="4"/>
    <s v="10+ Years"/>
    <s v="36-45"/>
    <s v="Mid (40-70K)"/>
    <n v="0"/>
    <n v="2011"/>
    <n v="6"/>
    <s v="Q2"/>
    <s v="Jun"/>
    <s v="2011-06"/>
    <n v="2015"/>
    <s v="Production       "/>
    <n v="72.222222222222214"/>
    <n v="5"/>
    <s v="Medium"/>
    <s v=""/>
    <n v="4.3"/>
    <s v="admin"/>
  </r>
  <r>
    <s v="Cierpiszewski, Caroline  "/>
    <n v="10168"/>
    <n v="0"/>
    <n v="0"/>
    <n v="0"/>
    <n v="1"/>
    <n v="5"/>
    <n v="3"/>
    <n v="0"/>
    <n v="64816"/>
    <n v="0"/>
    <n v="19"/>
    <s v="Production Technician I"/>
    <s v="MA"/>
    <n v="2044"/>
    <d v="1988-05-31T00:00:00"/>
    <s v="F"/>
    <s v="Single"/>
    <s v="Non-Citizen"/>
    <s v="No"/>
    <s v="Black or African American"/>
    <d v="2011-10-03T00:00:00"/>
    <m/>
    <x v="0"/>
    <s v="Active"/>
    <s v="Production       "/>
    <s v="Ketsia Liebig"/>
    <n v="19"/>
    <s v="Indeed"/>
    <s v="Fully Meets"/>
    <n v="3.58"/>
    <n v="5"/>
    <n v="0"/>
    <s v="1/30/2019"/>
    <n v="0"/>
    <n v="3"/>
    <s v="Normal"/>
    <s v="low Outlier"/>
    <n v="37"/>
    <n v="14"/>
    <n v="14"/>
    <s v="10+ Years"/>
    <s v="36-45"/>
    <s v="Mid (40-70K)"/>
    <n v="1"/>
    <n v="2011"/>
    <n v="10"/>
    <s v="Q4"/>
    <s v="Oct"/>
    <s v="2011-10"/>
    <s v="N/A"/>
    <s v="Production       "/>
    <n v="27.777777777777779"/>
    <n v="0"/>
    <s v="Medium"/>
    <n v="3.58"/>
    <s v=""/>
    <n v="39.777777777777779"/>
  </r>
  <r>
    <s v="Clayton, Rick"/>
    <n v="10220"/>
    <n v="0"/>
    <n v="0"/>
    <n v="1"/>
    <n v="1"/>
    <n v="3"/>
    <n v="3"/>
    <n v="0"/>
    <n v="68678"/>
    <n v="0"/>
    <n v="14"/>
    <s v="IT Support"/>
    <s v="MA"/>
    <n v="2170"/>
    <d v="1985-09-05T00:00:00"/>
    <s v="M "/>
    <s v="Single"/>
    <s v="US Citizen"/>
    <s v="No"/>
    <s v="White"/>
    <d v="2012-09-05T00:00:00"/>
    <m/>
    <x v="0"/>
    <s v="Active"/>
    <s v="IT/IS"/>
    <s v="Eric Dougall"/>
    <n v="6"/>
    <s v="Indeed"/>
    <s v="Fully Meets"/>
    <n v="4.7"/>
    <n v="3"/>
    <n v="6"/>
    <s v="2/27/2019"/>
    <n v="0"/>
    <n v="2"/>
    <s v="Normal"/>
    <s v="low Outlier"/>
    <n v="40"/>
    <n v="13"/>
    <n v="13"/>
    <s v="10+ Years"/>
    <s v="36-45"/>
    <s v="Mid (40-70K)"/>
    <n v="1"/>
    <n v="2012"/>
    <n v="9"/>
    <s v="Q3"/>
    <s v="Sep"/>
    <s v="2012-09"/>
    <s v="N/A"/>
    <s v="Production       "/>
    <n v="0"/>
    <n v="0"/>
    <s v="Medium"/>
    <n v="4.7"/>
    <s v=""/>
    <s v="Executive"/>
  </r>
  <r>
    <s v="Cloninger, Jennifer"/>
    <n v="10275"/>
    <n v="1"/>
    <n v="1"/>
    <n v="0"/>
    <n v="5"/>
    <n v="5"/>
    <n v="3"/>
    <n v="0"/>
    <n v="64066"/>
    <n v="1"/>
    <n v="20"/>
    <s v="Production Technician II"/>
    <s v="MA"/>
    <n v="1752"/>
    <d v="1981-08-31T00:00:00"/>
    <s v="F"/>
    <s v="Married"/>
    <s v="US Citizen"/>
    <s v="No"/>
    <s v="White"/>
    <d v="2011-05-16T00:00:00"/>
    <d v="2013-01-07T00:00:00"/>
    <x v="5"/>
    <s v="Voluntarily Terminated"/>
    <s v="Production       "/>
    <s v="Brannon Miller"/>
    <n v="12"/>
    <s v="Google Search"/>
    <s v="Fully Meets"/>
    <n v="4.2"/>
    <n v="5"/>
    <n v="0"/>
    <s v="5/3/2012"/>
    <n v="0"/>
    <n v="9"/>
    <s v="Normal"/>
    <s v="low Outlier"/>
    <n v="44"/>
    <n v="14"/>
    <n v="1"/>
    <s v="10+ Years"/>
    <s v="36-45"/>
    <s v="Mid (40-70K)"/>
    <n v="0"/>
    <n v="2011"/>
    <n v="5"/>
    <s v="Q2"/>
    <s v="May"/>
    <s v="2011-05"/>
    <n v="2013"/>
    <s v="Production       "/>
    <n v="30"/>
    <n v="13"/>
    <s v="Medium"/>
    <s v=""/>
    <n v="4.2"/>
    <n v="71"/>
  </r>
  <r>
    <s v="Close, Phil"/>
    <n v="10269"/>
    <n v="1"/>
    <n v="1"/>
    <n v="1"/>
    <n v="5"/>
    <n v="5"/>
    <n v="3"/>
    <n v="0"/>
    <n v="59369"/>
    <n v="1"/>
    <n v="20"/>
    <s v="Production Technician II"/>
    <s v="MA"/>
    <n v="2169"/>
    <d v="1978-11-25T00:00:00"/>
    <s v="M "/>
    <s v="Married"/>
    <s v="US Citizen"/>
    <s v="No"/>
    <s v="White"/>
    <d v="2010-08-30T00:00:00"/>
    <d v="2011-09-26T00:00:00"/>
    <x v="1"/>
    <s v="Voluntarily Terminated"/>
    <s v="Production       "/>
    <s v="David Stanley"/>
    <n v="14"/>
    <s v="Indeed"/>
    <s v="Fully Meets"/>
    <n v="4.2"/>
    <n v="4"/>
    <n v="0"/>
    <s v="5/4/2011"/>
    <n v="0"/>
    <n v="6"/>
    <s v="Normal"/>
    <s v="low Outlier"/>
    <n v="47"/>
    <n v="15"/>
    <n v="1"/>
    <s v="10+ Years"/>
    <s v="46-55"/>
    <s v="Mid (40-70K)"/>
    <n v="0"/>
    <n v="2010"/>
    <n v="8"/>
    <s v="Q3"/>
    <s v="Aug"/>
    <s v="2010-08"/>
    <n v="2011"/>
    <s v="Production       "/>
    <n v="21.052631578947366"/>
    <n v="7"/>
    <s v="Medium"/>
    <s v=""/>
    <n v="4.2"/>
    <m/>
  </r>
  <r>
    <s v="Clukey, Elijian"/>
    <n v="10029"/>
    <n v="1"/>
    <n v="1"/>
    <n v="1"/>
    <n v="2"/>
    <n v="5"/>
    <n v="4"/>
    <n v="0"/>
    <n v="50373"/>
    <n v="0"/>
    <n v="19"/>
    <s v="Production Technician I"/>
    <s v="MA"/>
    <n v="2134"/>
    <d v="1980-08-26T00:00:00"/>
    <s v="M "/>
    <s v="Married"/>
    <s v="US Citizen"/>
    <s v="No"/>
    <s v="White"/>
    <d v="2016-07-06T00:00:00"/>
    <m/>
    <x v="0"/>
    <s v="Active"/>
    <s v="Production       "/>
    <s v="Brannon Miller"/>
    <n v="12"/>
    <s v="Employee Referral"/>
    <s v="Exceeds"/>
    <n v="4.0999999999999996"/>
    <n v="4"/>
    <n v="0"/>
    <s v="2/28/2019"/>
    <n v="0"/>
    <n v="5"/>
    <s v="Normal"/>
    <s v="low Outlier"/>
    <n v="45"/>
    <n v="9"/>
    <n v="9"/>
    <s v="5-10 Years"/>
    <s v="36-45"/>
    <s v="Mid (40-70K)"/>
    <n v="1"/>
    <n v="2016"/>
    <n v="7"/>
    <s v="Q3"/>
    <s v="Jul"/>
    <s v="2016-07"/>
    <s v="N/A"/>
    <s v="Production       "/>
    <n v="26.315789473684209"/>
    <n v="0"/>
    <s v="Low"/>
    <n v="4.0999999999999996"/>
    <s v=""/>
    <s v=" Youngest and Oldest Employee"/>
  </r>
  <r>
    <s v="Cockel, James"/>
    <n v="10261"/>
    <n v="0"/>
    <n v="0"/>
    <n v="1"/>
    <n v="1"/>
    <n v="5"/>
    <n v="3"/>
    <n v="0"/>
    <n v="63108"/>
    <n v="0"/>
    <n v="19"/>
    <s v="Production Technician I"/>
    <s v="MA"/>
    <n v="2452"/>
    <d v="1977-09-08T00:00:00"/>
    <s v="M "/>
    <s v="Single"/>
    <s v="US Citizen"/>
    <s v="No"/>
    <s v="White"/>
    <d v="2013-07-08T00:00:00"/>
    <m/>
    <x v="0"/>
    <s v="Active"/>
    <s v="Production       "/>
    <s v="David Stanley"/>
    <n v="14"/>
    <s v="Employee Referral"/>
    <s v="Fully Meets"/>
    <n v="4.4000000000000004"/>
    <n v="5"/>
    <n v="0"/>
    <s v="1/14/2019"/>
    <n v="0"/>
    <n v="3"/>
    <s v="Normal"/>
    <s v="low Outlier"/>
    <n v="48"/>
    <n v="12"/>
    <n v="12"/>
    <s v="10+ Years"/>
    <s v="46-55"/>
    <s v="Mid (40-70K)"/>
    <n v="1"/>
    <n v="2013"/>
    <n v="7"/>
    <s v="Q3"/>
    <s v="Jul"/>
    <s v="2013-07"/>
    <s v="N/A"/>
    <s v="Production       "/>
    <n v="16.666666666666664"/>
    <n v="0"/>
    <s v="Medium"/>
    <n v="4.4000000000000004"/>
    <s v=""/>
    <s v="Youngest Age"/>
  </r>
  <r>
    <s v="Cole, Spencer"/>
    <n v="10292"/>
    <n v="0"/>
    <n v="0"/>
    <n v="1"/>
    <n v="4"/>
    <n v="5"/>
    <n v="2"/>
    <n v="0"/>
    <n v="59144"/>
    <n v="1"/>
    <n v="19"/>
    <s v="Production Technician I"/>
    <s v="MA"/>
    <n v="1880"/>
    <d v="1979-08-12T00:00:00"/>
    <s v="M "/>
    <s v="Single"/>
    <s v="US Citizen"/>
    <s v="No"/>
    <s v="Black or African American"/>
    <d v="2011-07-11T00:00:00"/>
    <d v="2016-09-23T00:00:00"/>
    <x v="7"/>
    <s v="Terminated for Cause"/>
    <s v="Production       "/>
    <s v="Kissy Sullivan"/>
    <n v="20"/>
    <s v="LinkedIn"/>
    <s v="Needs Improvement"/>
    <n v="2"/>
    <n v="3"/>
    <n v="0"/>
    <s v="5/1/2016"/>
    <n v="5"/>
    <n v="16"/>
    <s v="Normal"/>
    <s v="low Outlier"/>
    <n v="46"/>
    <n v="14"/>
    <n v="5"/>
    <s v="10+ Years"/>
    <s v="46-55"/>
    <s v="Mid (40-70K)"/>
    <n v="0"/>
    <n v="2011"/>
    <n v="7"/>
    <s v="Q3"/>
    <s v="Jul"/>
    <s v="2011-07"/>
    <n v="2016"/>
    <s v="Production       "/>
    <n v="52.631578947368418"/>
    <n v="3"/>
    <s v="High"/>
    <s v=""/>
    <n v="2"/>
    <n v="33"/>
  </r>
  <r>
    <s v="Corleone, Michael"/>
    <n v="10282"/>
    <n v="0"/>
    <n v="2"/>
    <n v="1"/>
    <n v="1"/>
    <n v="5"/>
    <n v="2"/>
    <n v="0"/>
    <n v="68051"/>
    <n v="0"/>
    <n v="18"/>
    <s v="Production Manager"/>
    <s v="MA"/>
    <n v="1803"/>
    <d v="1975-12-17T00:00:00"/>
    <s v="M "/>
    <s v="Divorced"/>
    <s v="US Citizen"/>
    <s v="No"/>
    <s v="White"/>
    <d v="2010-07-20T00:00:00"/>
    <m/>
    <x v="0"/>
    <s v="Active"/>
    <s v="Production       "/>
    <s v="Janet King"/>
    <n v="2"/>
    <s v="CareerBuilder"/>
    <s v="Needs Improvement"/>
    <n v="4.13"/>
    <n v="2"/>
    <n v="0"/>
    <s v="1/14/2019"/>
    <n v="3"/>
    <n v="3"/>
    <s v="Normal"/>
    <s v="low Outlier"/>
    <n v="50"/>
    <n v="15"/>
    <n v="15"/>
    <s v="10+ Years"/>
    <s v="46-55"/>
    <s v="Mid (40-70K)"/>
    <n v="1"/>
    <n v="2010"/>
    <n v="7"/>
    <s v="Q3"/>
    <s v="Jul"/>
    <s v="2010-07"/>
    <s v="N/A"/>
    <s v="Production       "/>
    <n v="29.411764705882355"/>
    <n v="0"/>
    <s v="High"/>
    <n v="4.13"/>
    <s v=""/>
    <s v="Oldest Age"/>
  </r>
  <r>
    <s v="Corleone, Vito"/>
    <n v="10019"/>
    <n v="0"/>
    <n v="0"/>
    <n v="1"/>
    <n v="1"/>
    <n v="5"/>
    <n v="4"/>
    <n v="0"/>
    <n v="170500"/>
    <n v="0"/>
    <n v="10"/>
    <s v="Director of Operations"/>
    <s v="MA"/>
    <n v="2030"/>
    <d v="1983-03-19T00:00:00"/>
    <s v="M "/>
    <s v="Single"/>
    <s v="US Citizen"/>
    <s v="No"/>
    <s v="Black or African American"/>
    <d v="2009-01-05T00:00:00"/>
    <m/>
    <x v="0"/>
    <s v="Active"/>
    <s v="Production       "/>
    <s v="Janet King"/>
    <n v="2"/>
    <s v="Indeed"/>
    <s v="Exceeds"/>
    <n v="3.7"/>
    <n v="5"/>
    <n v="0"/>
    <s v="2/4/2019"/>
    <n v="0"/>
    <n v="15"/>
    <s v=" high Outlier"/>
    <s v="low Outlier"/>
    <n v="43"/>
    <n v="17"/>
    <n v="17"/>
    <s v="10+ Years"/>
    <s v="36-45"/>
    <s v="Executive (100K+)"/>
    <n v="1"/>
    <n v="2009"/>
    <n v="1"/>
    <s v="Q1"/>
    <s v="Jan"/>
    <s v="2009-01"/>
    <s v="N/A"/>
    <s v="Production       "/>
    <n v="31.25"/>
    <n v="0"/>
    <s v="Medium"/>
    <n v="3.7"/>
    <s v=""/>
    <n v="75"/>
  </r>
  <r>
    <s v="Cornett, Lisa "/>
    <n v="10094"/>
    <n v="1"/>
    <n v="1"/>
    <n v="0"/>
    <n v="1"/>
    <n v="5"/>
    <n v="3"/>
    <n v="0"/>
    <n v="63381"/>
    <n v="0"/>
    <n v="19"/>
    <s v="Production Technician I"/>
    <s v="MA"/>
    <n v="2189"/>
    <d v="1977-03-31T00:00:00"/>
    <s v="F"/>
    <s v="Married"/>
    <s v="US Citizen"/>
    <s v="Yes"/>
    <s v="White"/>
    <d v="2015-01-05T00:00:00"/>
    <m/>
    <x v="0"/>
    <s v="Active"/>
    <s v="Production       "/>
    <s v="Kelley Spirea"/>
    <n v="18"/>
    <s v="Indeed"/>
    <s v="Fully Meets"/>
    <n v="4.7300000000000004"/>
    <n v="5"/>
    <n v="0"/>
    <s v="2/14/2019"/>
    <n v="0"/>
    <n v="6"/>
    <s v="Normal"/>
    <s v="low Outlier"/>
    <n v="48"/>
    <n v="11"/>
    <n v="11"/>
    <s v="10+ Years"/>
    <s v="46-55"/>
    <s v="Mid (40-70K)"/>
    <n v="1"/>
    <n v="2015"/>
    <n v="1"/>
    <s v="Q1"/>
    <s v="Jan"/>
    <s v="2015-01"/>
    <s v="N/A"/>
    <s v="Production       "/>
    <n v="27.777777777777779"/>
    <n v="0"/>
    <s v="Medium"/>
    <n v="4.7300000000000004"/>
    <s v=""/>
    <s v="NAMEOF EMPLOYEE AGE MIN"/>
  </r>
  <r>
    <s v="Costello, Frank"/>
    <n v="10193"/>
    <n v="1"/>
    <n v="1"/>
    <n v="1"/>
    <n v="1"/>
    <n v="3"/>
    <n v="3"/>
    <n v="0"/>
    <n v="83552"/>
    <n v="0"/>
    <n v="9"/>
    <s v="Data Analyst"/>
    <s v="MA"/>
    <n v="1810"/>
    <d v="1986-08-26T00:00:00"/>
    <s v="M "/>
    <s v="Married"/>
    <s v="US Citizen"/>
    <s v="No"/>
    <s v="White"/>
    <d v="2015-03-30T00:00:00"/>
    <m/>
    <x v="0"/>
    <s v="Active"/>
    <s v="IT/IS"/>
    <s v="Simon Roup"/>
    <n v="4"/>
    <s v="Indeed"/>
    <s v="Fully Meets"/>
    <n v="3.04"/>
    <n v="3"/>
    <n v="6"/>
    <s v="1/22/2019"/>
    <n v="0"/>
    <n v="2"/>
    <s v="Normal"/>
    <s v="low Outlier"/>
    <n v="39"/>
    <n v="10"/>
    <n v="10"/>
    <s v="10+ Years"/>
    <s v="36-45"/>
    <s v="Senior (70-100K)"/>
    <n v="1"/>
    <n v="2015"/>
    <n v="3"/>
    <s v="Q1"/>
    <s v="Mar"/>
    <s v="2015-03"/>
    <s v="N/A"/>
    <s v="Production       "/>
    <n v="41.666666666666671"/>
    <n v="0"/>
    <s v="Medium"/>
    <n v="3.04"/>
    <s v=""/>
    <s v="Gold, Shenice  "/>
  </r>
  <r>
    <s v="Crimmings,   Jean"/>
    <n v="10132"/>
    <n v="0"/>
    <n v="0"/>
    <n v="0"/>
    <n v="2"/>
    <n v="5"/>
    <n v="3"/>
    <n v="0"/>
    <n v="56149"/>
    <n v="0"/>
    <n v="19"/>
    <s v="Production Technician I"/>
    <s v="MA"/>
    <n v="1821"/>
    <d v="1987-04-10T00:00:00"/>
    <s v="F"/>
    <s v="Single"/>
    <s v="US Citizen"/>
    <s v="No"/>
    <s v="White"/>
    <d v="2016-07-06T00:00:00"/>
    <m/>
    <x v="0"/>
    <s v="Active"/>
    <s v="Production       "/>
    <s v="Michael Albert"/>
    <n v="22"/>
    <s v="LinkedIn"/>
    <s v="Fully Meets"/>
    <n v="4.12"/>
    <n v="5"/>
    <n v="0"/>
    <s v="1/28/2019"/>
    <n v="0"/>
    <n v="15"/>
    <s v="Normal"/>
    <s v="low Outlier"/>
    <n v="38"/>
    <n v="9"/>
    <n v="9"/>
    <s v="5-10 Years"/>
    <s v="36-45"/>
    <s v="Mid (40-70K)"/>
    <n v="1"/>
    <n v="2016"/>
    <n v="7"/>
    <s v="Q3"/>
    <s v="Jul"/>
    <s v="2016-07"/>
    <s v="N/A"/>
    <s v="Production       "/>
    <n v="44.444444444444443"/>
    <n v="0"/>
    <s v="Medium"/>
    <n v="4.12"/>
    <s v=""/>
    <s v="Oldest Employee Name"/>
  </r>
  <r>
    <s v="Cross, Noah"/>
    <n v="10083"/>
    <n v="0"/>
    <n v="0"/>
    <n v="1"/>
    <n v="1"/>
    <n v="3"/>
    <n v="3"/>
    <n v="0"/>
    <n v="92329"/>
    <n v="0"/>
    <n v="28"/>
    <s v="Sr. Network Engineer"/>
    <s v="CT"/>
    <n v="6278"/>
    <d v="1965-09-09T00:00:00"/>
    <s v="M "/>
    <s v="Single"/>
    <s v="US Citizen"/>
    <s v="No"/>
    <s v="White"/>
    <d v="2014-11-10T00:00:00"/>
    <m/>
    <x v="0"/>
    <s v="Active"/>
    <s v="IT/IS"/>
    <s v="Peter Monroe"/>
    <n v="7"/>
    <s v="Employee Referral"/>
    <s v="Fully Meets"/>
    <n v="5"/>
    <n v="3"/>
    <n v="4"/>
    <s v="1/2/2019"/>
    <n v="0"/>
    <n v="5"/>
    <s v="Normal"/>
    <s v="low Outlier"/>
    <n v="60"/>
    <n v="11"/>
    <n v="11"/>
    <s v="10+ Years"/>
    <s v="55+"/>
    <s v="Senior (70-100K)"/>
    <n v="1"/>
    <n v="2014"/>
    <n v="11"/>
    <s v="Q4"/>
    <s v="Nov"/>
    <s v="2014-11"/>
    <s v="N/A"/>
    <s v="Production       "/>
    <n v="7.6923076923076925"/>
    <n v="0"/>
    <s v="Medium"/>
    <n v="5"/>
    <s v=""/>
    <s v="Chace, Beatrice "/>
  </r>
  <r>
    <s v="Daneault, Lynn"/>
    <n v="10099"/>
    <n v="0"/>
    <n v="0"/>
    <n v="0"/>
    <n v="1"/>
    <n v="6"/>
    <n v="3"/>
    <n v="0"/>
    <n v="65729"/>
    <n v="0"/>
    <n v="21"/>
    <s v="Sales Manager"/>
    <s v="VT"/>
    <n v="5473"/>
    <d v="1990-04-19T00:00:00"/>
    <s v="F"/>
    <s v="Single"/>
    <s v="US Citizen"/>
    <s v="No"/>
    <s v="White"/>
    <d v="2014-05-05T00:00:00"/>
    <m/>
    <x v="0"/>
    <s v="Active"/>
    <s v="Sales"/>
    <s v="Debra Houlihan"/>
    <n v="15"/>
    <s v="Indeed"/>
    <s v="Fully Meets"/>
    <n v="4.62"/>
    <n v="4"/>
    <n v="0"/>
    <s v="1/24/2019"/>
    <n v="0"/>
    <n v="8"/>
    <s v="Normal"/>
    <s v="low Outlier"/>
    <n v="35"/>
    <n v="11"/>
    <n v="11"/>
    <s v="10+ Years"/>
    <s v="26-35"/>
    <s v="Mid (40-70K)"/>
    <n v="1"/>
    <n v="2014"/>
    <n v="5"/>
    <s v="Q2"/>
    <s v="May"/>
    <s v="2014-05"/>
    <s v="N/A"/>
    <s v="Production       "/>
    <n v="33.333333333333329"/>
    <n v="0"/>
    <s v="Medium"/>
    <n v="4.62"/>
    <s v=""/>
    <m/>
  </r>
  <r>
    <s v="Daniele, Ann  "/>
    <n v="10212"/>
    <n v="1"/>
    <n v="1"/>
    <n v="0"/>
    <n v="3"/>
    <n v="3"/>
    <n v="3"/>
    <n v="0"/>
    <n v="85028"/>
    <n v="0"/>
    <n v="28"/>
    <s v="Sr. Network Engineer"/>
    <s v="CT"/>
    <n v="6033"/>
    <d v="1952-01-18T00:00:00"/>
    <s v="F"/>
    <s v="Married"/>
    <s v="US Citizen"/>
    <s v="No"/>
    <s v="White"/>
    <d v="2014-11-10T00:00:00"/>
    <m/>
    <x v="0"/>
    <s v="Active"/>
    <s v="IT/IS"/>
    <s v="Peter Monroe"/>
    <n v="7"/>
    <s v="LinkedIn"/>
    <s v="Fully Meets"/>
    <n v="3.1"/>
    <n v="5"/>
    <n v="8"/>
    <s v="2/12/2019"/>
    <n v="0"/>
    <n v="19"/>
    <s v="Normal"/>
    <s v="low Outlier"/>
    <n v="74"/>
    <n v="11"/>
    <n v="11"/>
    <s v="10+ Years"/>
    <s v="55+"/>
    <s v="Senior (70-100K)"/>
    <n v="1"/>
    <n v="2014"/>
    <n v="11"/>
    <s v="Q4"/>
    <s v="Nov"/>
    <s v="2014-11"/>
    <s v="N/A"/>
    <s v="Production       "/>
    <n v="8.3333333333333321"/>
    <n v="0"/>
    <s v="Medium"/>
    <n v="3.1"/>
    <s v=""/>
    <s v="Race/Ethnicity Count"/>
  </r>
  <r>
    <s v="Darson, Jene'ya "/>
    <n v="10056"/>
    <n v="1"/>
    <n v="1"/>
    <n v="0"/>
    <n v="1"/>
    <n v="5"/>
    <n v="3"/>
    <n v="0"/>
    <n v="57583"/>
    <n v="0"/>
    <n v="19"/>
    <s v="Production Technician I"/>
    <s v="MA"/>
    <n v="2110"/>
    <d v="1978-11-05T00:00:00"/>
    <s v="F"/>
    <s v="Married"/>
    <s v="US Citizen"/>
    <s v="No"/>
    <s v="White"/>
    <d v="2012-07-02T00:00:00"/>
    <m/>
    <x v="0"/>
    <s v="Active"/>
    <s v="Production       "/>
    <s v="Elijiah Gray"/>
    <n v="16"/>
    <s v="Indeed"/>
    <s v="Fully Meets"/>
    <n v="5"/>
    <n v="3"/>
    <n v="0"/>
    <s v="2/25/2019"/>
    <n v="0"/>
    <n v="1"/>
    <s v="Normal"/>
    <s v="low Outlier"/>
    <n v="47"/>
    <n v="13"/>
    <n v="13"/>
    <s v="10+ Years"/>
    <s v="46-55"/>
    <s v="Mid (40-70K)"/>
    <n v="1"/>
    <n v="2012"/>
    <n v="7"/>
    <s v="Q3"/>
    <s v="Jul"/>
    <s v="2012-07"/>
    <s v="N/A"/>
    <s v="Production       "/>
    <n v="38.888888888888893"/>
    <n v="0"/>
    <s v="Medium"/>
    <n v="5"/>
    <s v=""/>
    <s v="WHITE"/>
  </r>
  <r>
    <s v="Davis, Daniel"/>
    <n v="10143"/>
    <n v="0"/>
    <n v="0"/>
    <n v="1"/>
    <n v="1"/>
    <n v="5"/>
    <n v="3"/>
    <n v="0"/>
    <n v="56294"/>
    <n v="0"/>
    <n v="20"/>
    <s v="Production Technician II"/>
    <s v="MA"/>
    <n v="2458"/>
    <d v="1979-09-14T00:00:00"/>
    <s v="M "/>
    <s v="Single"/>
    <s v="Eligible NonCitizen"/>
    <s v="No"/>
    <s v="Two or more races"/>
    <d v="2011-11-07T00:00:00"/>
    <m/>
    <x v="0"/>
    <s v="Active"/>
    <s v="Production       "/>
    <s v="Kissy Sullivan"/>
    <n v="20"/>
    <s v="LinkedIn"/>
    <s v="Fully Meets"/>
    <n v="3.96"/>
    <n v="4"/>
    <n v="0"/>
    <s v="2/27/2019"/>
    <n v="0"/>
    <n v="6"/>
    <s v="Normal"/>
    <s v="low Outlier"/>
    <n v="46"/>
    <n v="14"/>
    <n v="14"/>
    <s v="10+ Years"/>
    <s v="46-55"/>
    <s v="Mid (40-70K)"/>
    <n v="1"/>
    <n v="2011"/>
    <n v="11"/>
    <s v="Q4"/>
    <s v="Nov"/>
    <s v="2011-11"/>
    <s v="N/A"/>
    <s v="Production       "/>
    <n v="50"/>
    <n v="0"/>
    <s v="Medium"/>
    <n v="3.96"/>
    <s v=""/>
    <n v="187"/>
  </r>
  <r>
    <s v="Dee, Randy"/>
    <n v="10311"/>
    <n v="1"/>
    <n v="1"/>
    <n v="1"/>
    <n v="1"/>
    <n v="6"/>
    <n v="1"/>
    <n v="0"/>
    <n v="56991"/>
    <n v="0"/>
    <n v="19"/>
    <s v="Production Technician I"/>
    <s v="MA"/>
    <n v="2138"/>
    <d v="1988-04-15T00:00:00"/>
    <s v="M "/>
    <s v="Married"/>
    <s v="US Citizen"/>
    <s v="No"/>
    <s v="White"/>
    <d v="2018-07-09T00:00:00"/>
    <m/>
    <x v="0"/>
    <s v="Active"/>
    <s v="Production       "/>
    <s v="Brannon Miller"/>
    <n v="12"/>
    <s v="Indeed"/>
    <s v="Fully Meets"/>
    <n v="4.3"/>
    <n v="4"/>
    <n v="3"/>
    <s v="1/31/2019"/>
    <n v="2"/>
    <n v="2"/>
    <s v="Normal"/>
    <s v="low Outlier"/>
    <n v="37"/>
    <n v="7"/>
    <n v="7"/>
    <s v="5-10 Years"/>
    <s v="36-45"/>
    <s v="Mid (40-70K)"/>
    <n v="1"/>
    <n v="2018"/>
    <n v="7"/>
    <s v="Q3"/>
    <s v="Jul"/>
    <s v="2018-07"/>
    <s v="N/A"/>
    <s v="Production       "/>
    <n v="27.777777777777779"/>
    <n v="0"/>
    <s v="Medium"/>
    <n v="4.3"/>
    <s v=""/>
    <s v="Black or African American"/>
  </r>
  <r>
    <s v="DeGweck,  James"/>
    <n v="10070"/>
    <n v="1"/>
    <n v="1"/>
    <n v="1"/>
    <n v="5"/>
    <n v="5"/>
    <n v="3"/>
    <n v="0"/>
    <n v="55722"/>
    <n v="1"/>
    <n v="19"/>
    <s v="Production Technician I"/>
    <s v="MA"/>
    <n v="1810"/>
    <d v="1977-10-31T00:00:00"/>
    <s v="M "/>
    <s v="Married"/>
    <s v="US Citizen"/>
    <s v="No"/>
    <s v="White"/>
    <d v="2011-05-16T00:00:00"/>
    <d v="2016-06-08T00:00:00"/>
    <x v="5"/>
    <s v="Voluntarily Terminated"/>
    <s v="Production       "/>
    <s v="Webster Butler"/>
    <n v="39"/>
    <s v="Indeed"/>
    <s v="Fully Meets"/>
    <n v="5"/>
    <n v="4"/>
    <n v="0"/>
    <s v="4/2/2016"/>
    <n v="0"/>
    <n v="14"/>
    <s v="Normal"/>
    <s v="low Outlier"/>
    <n v="48"/>
    <n v="14"/>
    <n v="5"/>
    <s v="10+ Years"/>
    <s v="46-55"/>
    <s v="Mid (40-70K)"/>
    <n v="0"/>
    <n v="2011"/>
    <n v="5"/>
    <s v="Q2"/>
    <s v="May"/>
    <s v="2011-05"/>
    <n v="2016"/>
    <s v="Production       "/>
    <n v="70.588235294117652"/>
    <n v="12"/>
    <s v="Medium"/>
    <s v=""/>
    <n v="5"/>
    <n v="80"/>
  </r>
  <r>
    <s v="Del Bosque, Keyla"/>
    <n v="10155"/>
    <n v="0"/>
    <n v="0"/>
    <n v="0"/>
    <n v="1"/>
    <n v="4"/>
    <n v="3"/>
    <n v="0"/>
    <n v="101199"/>
    <n v="0"/>
    <n v="24"/>
    <s v="Software Engineer"/>
    <s v="MA"/>
    <n v="2176"/>
    <d v="1979-07-05T00:00:00"/>
    <s v="F"/>
    <s v="Single"/>
    <s v="US Citizen"/>
    <s v="No"/>
    <s v="Black or African American"/>
    <d v="2012-01-09T00:00:00"/>
    <m/>
    <x v="0"/>
    <s v="Active"/>
    <s v="Software Engineering"/>
    <s v="Alex Sweetwater"/>
    <n v="10"/>
    <s v="CareerBuilder"/>
    <s v="Fully Meets"/>
    <n v="3.79"/>
    <n v="5"/>
    <n v="5"/>
    <s v="1/25/2019"/>
    <n v="0"/>
    <n v="8"/>
    <s v="Normal"/>
    <s v="low Outlier"/>
    <n v="46"/>
    <n v="14"/>
    <n v="14"/>
    <s v="10+ Years"/>
    <s v="46-55"/>
    <s v="Executive (100K+)"/>
    <n v="1"/>
    <n v="2012"/>
    <n v="1"/>
    <s v="Q1"/>
    <s v="Jan"/>
    <s v="2012-01"/>
    <s v="N/A"/>
    <s v="Production       "/>
    <n v="42.857142857142854"/>
    <n v="0"/>
    <s v="Medium"/>
    <n v="3.79"/>
    <s v=""/>
    <s v="ASIAN"/>
  </r>
  <r>
    <s v="Delarge, Alex"/>
    <n v="10306"/>
    <n v="0"/>
    <n v="0"/>
    <n v="1"/>
    <n v="1"/>
    <n v="6"/>
    <n v="1"/>
    <n v="0"/>
    <n v="61568"/>
    <n v="0"/>
    <n v="3"/>
    <s v="Area Sales Manager"/>
    <s v="AL"/>
    <n v="36006"/>
    <d v="1975-11-02T00:00:00"/>
    <s v="M "/>
    <s v="Single"/>
    <s v="US Citizen"/>
    <s v="No"/>
    <s v="Two or more races"/>
    <d v="2014-09-29T00:00:00"/>
    <m/>
    <x v="0"/>
    <s v="Active"/>
    <s v="Sales"/>
    <s v="John Smith"/>
    <n v="17"/>
    <s v="Indeed"/>
    <s v="PIP"/>
    <n v="1.93"/>
    <n v="3"/>
    <n v="0"/>
    <s v="1/30/2019"/>
    <n v="6"/>
    <n v="5"/>
    <s v="Normal"/>
    <s v="low Outlier"/>
    <n v="50"/>
    <n v="11"/>
    <n v="11"/>
    <s v="10+ Years"/>
    <s v="46-55"/>
    <s v="Mid (40-70K)"/>
    <n v="1"/>
    <n v="2014"/>
    <n v="9"/>
    <s v="Q3"/>
    <s v="Sep"/>
    <s v="2014-09"/>
    <s v="N/A"/>
    <s v="Production       "/>
    <n v="16.666666666666664"/>
    <n v="0"/>
    <s v="High"/>
    <n v="1.93"/>
    <s v=""/>
    <n v="29"/>
  </r>
  <r>
    <s v="Demita, Carla"/>
    <n v="10100"/>
    <n v="0"/>
    <n v="3"/>
    <n v="0"/>
    <n v="5"/>
    <n v="5"/>
    <n v="3"/>
    <n v="0"/>
    <n v="58275"/>
    <n v="1"/>
    <n v="20"/>
    <s v="Production Technician II"/>
    <s v="MA"/>
    <n v="2343"/>
    <d v="1951-02-25T00:00:00"/>
    <s v="F"/>
    <s v="Separated"/>
    <s v="US Citizen"/>
    <s v="No"/>
    <s v="Black or African American"/>
    <d v="2011-04-04T00:00:00"/>
    <d v="2015-11-04T00:00:00"/>
    <x v="11"/>
    <s v="Voluntarily Terminated"/>
    <s v="Production       "/>
    <s v="Kelley Spirea"/>
    <n v="18"/>
    <s v="Google Search"/>
    <s v="Fully Meets"/>
    <n v="4.62"/>
    <n v="5"/>
    <n v="0"/>
    <s v="5/6/2015"/>
    <n v="0"/>
    <n v="1"/>
    <s v="Normal"/>
    <s v="low Outlier"/>
    <n v="75"/>
    <n v="14"/>
    <n v="4"/>
    <s v="10+ Years"/>
    <s v="55+"/>
    <s v="Mid (40-70K)"/>
    <n v="0"/>
    <n v="2011"/>
    <n v="4"/>
    <s v="Q2"/>
    <s v="Apr"/>
    <s v="2011-04"/>
    <n v="2015"/>
    <s v="Production       "/>
    <n v="29.411764705882355"/>
    <n v="11"/>
    <s v="Medium"/>
    <s v=""/>
    <n v="4.62"/>
    <s v="HISPANIC"/>
  </r>
  <r>
    <s v="Desimone, Carl "/>
    <n v="10310"/>
    <n v="1"/>
    <n v="1"/>
    <n v="1"/>
    <n v="1"/>
    <n v="5"/>
    <n v="1"/>
    <n v="0"/>
    <n v="53189"/>
    <n v="0"/>
    <n v="19"/>
    <s v="Production Technician I"/>
    <s v="MA"/>
    <n v="2061"/>
    <d v="1967-04-19T00:00:00"/>
    <s v="M "/>
    <s v="Married"/>
    <s v="US Citizen"/>
    <s v="No"/>
    <s v="White"/>
    <d v="2014-07-07T00:00:00"/>
    <m/>
    <x v="0"/>
    <s v="Active"/>
    <s v="Production       "/>
    <s v="Amy Dunn"/>
    <n v="11"/>
    <s v="Indeed"/>
    <s v="PIP"/>
    <n v="1.1200000000000001"/>
    <n v="2"/>
    <n v="0"/>
    <s v="1/31/2019"/>
    <n v="4"/>
    <n v="9"/>
    <s v="Normal"/>
    <s v="low Outlier"/>
    <n v="58"/>
    <n v="11"/>
    <n v="11"/>
    <s v="10+ Years"/>
    <s v="55+"/>
    <s v="Mid (40-70K)"/>
    <n v="1"/>
    <n v="2014"/>
    <n v="7"/>
    <s v="Q3"/>
    <s v="Jul"/>
    <s v="2014-07"/>
    <s v="N/A"/>
    <s v="Production       "/>
    <n v="70.588235294117652"/>
    <n v="0"/>
    <s v="High"/>
    <n v="1.1200000000000001"/>
    <s v=""/>
    <n v="1"/>
  </r>
  <r>
    <s v="DeVito, Tommy"/>
    <n v="10197"/>
    <n v="0"/>
    <n v="0"/>
    <n v="1"/>
    <n v="1"/>
    <n v="3"/>
    <n v="3"/>
    <n v="0"/>
    <n v="96820"/>
    <n v="0"/>
    <n v="4"/>
    <s v="BI Developer"/>
    <s v="MA"/>
    <n v="2045"/>
    <d v="1983-09-04T00:00:00"/>
    <s v="M "/>
    <s v="Single"/>
    <s v="US Citizen"/>
    <s v="No"/>
    <s v="White"/>
    <d v="2017-02-15T00:00:00"/>
    <m/>
    <x v="0"/>
    <s v="Active"/>
    <s v="IT/IS"/>
    <s v="Brian Champaigne"/>
    <n v="13"/>
    <s v="Indeed"/>
    <s v="Fully Meets"/>
    <n v="3.01"/>
    <n v="5"/>
    <n v="7"/>
    <s v="1/23/2019"/>
    <n v="0"/>
    <n v="15"/>
    <s v="Normal"/>
    <s v="low Outlier"/>
    <n v="42"/>
    <n v="9"/>
    <n v="9"/>
    <s v="5-10 Years"/>
    <s v="36-45"/>
    <s v="Senior (70-100K)"/>
    <n v="1"/>
    <n v="2017"/>
    <n v="2"/>
    <s v="Q1"/>
    <s v="Feb"/>
    <s v="2017-02"/>
    <s v="N/A"/>
    <s v="Production       "/>
    <n v="0"/>
    <n v="0"/>
    <s v="Medium"/>
    <n v="3.01"/>
    <s v=""/>
    <s v="Two or more races"/>
  </r>
  <r>
    <s v="Dickinson, Geoff "/>
    <n v="10276"/>
    <n v="0"/>
    <n v="0"/>
    <n v="1"/>
    <n v="1"/>
    <n v="5"/>
    <n v="3"/>
    <n v="0"/>
    <n v="51259"/>
    <n v="0"/>
    <n v="19"/>
    <s v="Production Technician I"/>
    <s v="MA"/>
    <n v="2180"/>
    <d v="1982-11-15T00:00:00"/>
    <s v="M "/>
    <s v="Single"/>
    <s v="US Citizen"/>
    <s v="No"/>
    <s v="White"/>
    <d v="2014-05-12T00:00:00"/>
    <m/>
    <x v="0"/>
    <s v="Active"/>
    <s v="Production       "/>
    <s v="Ketsia Liebig"/>
    <n v="19"/>
    <s v="Indeed"/>
    <s v="Fully Meets"/>
    <n v="4.3"/>
    <n v="4"/>
    <n v="0"/>
    <s v="2/19/2019"/>
    <n v="0"/>
    <n v="1"/>
    <s v="Normal"/>
    <s v="low Outlier"/>
    <n v="43"/>
    <n v="11"/>
    <n v="11"/>
    <s v="10+ Years"/>
    <s v="36-45"/>
    <s v="Mid (40-70K)"/>
    <n v="1"/>
    <n v="2014"/>
    <n v="5"/>
    <s v="Q2"/>
    <s v="May"/>
    <s v="2014-05"/>
    <s v="N/A"/>
    <s v="Production       "/>
    <n v="29.411764705882355"/>
    <n v="0"/>
    <s v="Medium"/>
    <n v="4.3"/>
    <s v=""/>
    <n v="11"/>
  </r>
  <r>
    <s v="Dietrich, Jenna  "/>
    <n v="10304"/>
    <n v="0"/>
    <n v="0"/>
    <n v="0"/>
    <n v="1"/>
    <n v="6"/>
    <n v="1"/>
    <n v="0"/>
    <n v="59231"/>
    <n v="0"/>
    <n v="3"/>
    <s v="Area Sales Manager"/>
    <s v="WA"/>
    <n v="98052"/>
    <d v="1987-05-14T00:00:00"/>
    <s v="F"/>
    <s v="Single"/>
    <s v="US Citizen"/>
    <s v="Yes"/>
    <s v="White"/>
    <d v="2012-02-20T00:00:00"/>
    <m/>
    <x v="0"/>
    <s v="Active"/>
    <s v="Sales"/>
    <s v="John Smith"/>
    <n v="17"/>
    <s v="Website"/>
    <s v="PIP"/>
    <n v="2.2999999999999998"/>
    <n v="1"/>
    <n v="0"/>
    <s v="1/29/2019"/>
    <n v="2"/>
    <n v="17"/>
    <s v="Normal"/>
    <s v="low Outlier"/>
    <n v="38"/>
    <n v="14"/>
    <n v="14"/>
    <s v="10+ Years"/>
    <s v="36-45"/>
    <s v="Mid (40-70K)"/>
    <n v="1"/>
    <n v="2012"/>
    <n v="2"/>
    <s v="Q1"/>
    <s v="Feb"/>
    <s v="2012-02"/>
    <s v="N/A"/>
    <s v="Production       "/>
    <n v="18.181818181818183"/>
    <n v="0"/>
    <s v="High"/>
    <n v="2.2999999999999998"/>
    <s v=""/>
    <m/>
  </r>
  <r>
    <s v="DiNocco, Lily "/>
    <n v="10284"/>
    <n v="1"/>
    <n v="1"/>
    <n v="0"/>
    <n v="1"/>
    <n v="5"/>
    <n v="2"/>
    <n v="0"/>
    <n v="61584"/>
    <n v="0"/>
    <n v="19"/>
    <s v="Production Technician I"/>
    <s v="MA"/>
    <n v="2351"/>
    <d v="1978-12-02T00:00:00"/>
    <s v="F"/>
    <s v="Married"/>
    <s v="US Citizen"/>
    <s v="No"/>
    <s v="Black or African American"/>
    <d v="2013-01-07T00:00:00"/>
    <m/>
    <x v="0"/>
    <s v="Active"/>
    <s v="Production       "/>
    <s v="Brannon Miller"/>
    <n v="12"/>
    <s v="Indeed"/>
    <s v="Needs Improvement"/>
    <n v="3.88"/>
    <n v="4"/>
    <n v="0"/>
    <s v="1/18/2019"/>
    <n v="0"/>
    <n v="6"/>
    <s v="Normal"/>
    <s v="low Outlier"/>
    <n v="47"/>
    <n v="13"/>
    <n v="13"/>
    <s v="10+ Years"/>
    <s v="46-55"/>
    <s v="Mid (40-70K)"/>
    <n v="1"/>
    <n v="2013"/>
    <n v="1"/>
    <s v="Q1"/>
    <s v="Jan"/>
    <s v="2013-01"/>
    <s v="N/A"/>
    <s v="Production       "/>
    <n v="29.411764705882355"/>
    <n v="0"/>
    <s v="High"/>
    <n v="3.88"/>
    <s v=""/>
    <s v=" Race Percentage"/>
  </r>
  <r>
    <s v="Dobrin, Denisa  S"/>
    <n v="10207"/>
    <n v="0"/>
    <n v="0"/>
    <n v="0"/>
    <n v="1"/>
    <n v="5"/>
    <n v="3"/>
    <n v="0"/>
    <n v="46335"/>
    <n v="0"/>
    <n v="19"/>
    <s v="Production Technician I"/>
    <s v="MA"/>
    <n v="2125"/>
    <d v="1986-10-07T00:00:00"/>
    <s v="F"/>
    <s v="Single"/>
    <s v="US Citizen"/>
    <s v="Yes"/>
    <s v="White"/>
    <d v="2012-04-02T00:00:00"/>
    <m/>
    <x v="0"/>
    <s v="Active"/>
    <s v="Production       "/>
    <s v="David Stanley"/>
    <n v="14"/>
    <s v="CareerBuilder"/>
    <s v="Fully Meets"/>
    <n v="3.4"/>
    <n v="5"/>
    <n v="0"/>
    <s v="2/19/2019"/>
    <n v="0"/>
    <n v="15"/>
    <s v="Normal"/>
    <s v="low Outlier"/>
    <n v="39"/>
    <n v="13"/>
    <n v="13"/>
    <s v="10+ Years"/>
    <s v="36-45"/>
    <s v="Mid (40-70K)"/>
    <n v="1"/>
    <n v="2012"/>
    <n v="4"/>
    <s v="Q2"/>
    <s v="Apr"/>
    <s v="2012-04"/>
    <s v="N/A"/>
    <s v="Production       "/>
    <n v="17.647058823529413"/>
    <n v="0"/>
    <s v="Medium"/>
    <n v="3.4"/>
    <s v=""/>
    <n v="9.2948717948717956"/>
  </r>
  <r>
    <s v="Dolan, Linda"/>
    <n v="10133"/>
    <n v="1"/>
    <n v="1"/>
    <n v="0"/>
    <n v="1"/>
    <n v="3"/>
    <n v="3"/>
    <n v="0"/>
    <n v="70621"/>
    <n v="0"/>
    <n v="14"/>
    <s v="IT Support"/>
    <s v="MA"/>
    <n v="2119"/>
    <d v="1988-07-18T00:00:00"/>
    <s v="F"/>
    <s v="Married"/>
    <s v="US Citizen"/>
    <s v="No"/>
    <s v="White"/>
    <d v="2015-01-05T00:00:00"/>
    <m/>
    <x v="0"/>
    <s v="Active"/>
    <s v="IT/IS"/>
    <s v="Peter Monroe"/>
    <n v="7"/>
    <s v="Employee Referral"/>
    <s v="Fully Meets"/>
    <n v="4.1100000000000003"/>
    <n v="4"/>
    <n v="6"/>
    <s v="2/25/2019"/>
    <n v="0"/>
    <n v="16"/>
    <s v="Normal"/>
    <s v="low Outlier"/>
    <n v="37"/>
    <n v="11"/>
    <n v="11"/>
    <s v="10+ Years"/>
    <s v="36-45"/>
    <s v="Senior (70-100K)"/>
    <n v="1"/>
    <n v="2015"/>
    <n v="1"/>
    <s v="Q1"/>
    <s v="Jan"/>
    <s v="2015-01"/>
    <s v="N/A"/>
    <s v="Production       "/>
    <n v="9.0909090909090917"/>
    <n v="0"/>
    <s v="Medium"/>
    <n v="4.1100000000000003"/>
    <s v=""/>
    <s v="white"/>
  </r>
  <r>
    <s v="Dougall, Eric"/>
    <n v="10028"/>
    <n v="0"/>
    <n v="0"/>
    <n v="1"/>
    <n v="1"/>
    <n v="3"/>
    <n v="4"/>
    <n v="0"/>
    <n v="138888"/>
    <n v="0"/>
    <n v="13"/>
    <s v="IT Manager - Support"/>
    <s v="MA"/>
    <n v="1886"/>
    <d v="1970-07-09T00:00:00"/>
    <s v="M "/>
    <s v="Single"/>
    <s v="US Citizen"/>
    <s v="No"/>
    <s v="Black or African American"/>
    <d v="2014-01-05T00:00:00"/>
    <m/>
    <x v="0"/>
    <s v="Active"/>
    <s v="IT/IS"/>
    <s v="Jennifer Zamora"/>
    <n v="5"/>
    <s v="Indeed"/>
    <s v="Exceeds"/>
    <n v="4.3"/>
    <n v="5"/>
    <n v="5"/>
    <s v="1/4/2019"/>
    <n v="0"/>
    <n v="4"/>
    <s v=" high Outlier"/>
    <s v="low Outlier"/>
    <n v="55"/>
    <n v="12"/>
    <n v="12"/>
    <s v="10+ Years"/>
    <s v="46-55"/>
    <s v="Executive (100K+)"/>
    <n v="1"/>
    <n v="2014"/>
    <n v="1"/>
    <s v="Q1"/>
    <s v="Jan"/>
    <s v="2014-01"/>
    <s v="N/A"/>
    <s v="Production       "/>
    <n v="20"/>
    <n v="0"/>
    <s v="Low"/>
    <n v="4.3"/>
    <s v=""/>
    <n v="59.935897435897431"/>
  </r>
  <r>
    <s v="Driver, Elle"/>
    <n v="10006"/>
    <n v="0"/>
    <n v="0"/>
    <n v="0"/>
    <n v="1"/>
    <n v="6"/>
    <n v="4"/>
    <n v="0"/>
    <n v="74241"/>
    <n v="0"/>
    <n v="3"/>
    <s v="Area Sales Manager"/>
    <s v="CA"/>
    <n v="90007"/>
    <d v="1988-11-08T00:00:00"/>
    <s v="F"/>
    <s v="Single"/>
    <s v="US Citizen"/>
    <s v="No"/>
    <s v="White"/>
    <d v="2011-01-10T00:00:00"/>
    <m/>
    <x v="0"/>
    <s v="Active"/>
    <s v="Sales"/>
    <s v="Lynn Daneault"/>
    <n v="21"/>
    <s v="Indeed"/>
    <s v="Exceeds"/>
    <n v="4.7699999999999996"/>
    <n v="5"/>
    <n v="0"/>
    <s v="1/27/2019"/>
    <n v="0"/>
    <n v="14"/>
    <s v="Normal"/>
    <s v="low Outlier"/>
    <n v="37"/>
    <n v="15"/>
    <n v="15"/>
    <s v="10+ Years"/>
    <s v="36-45"/>
    <s v="Senior (70-100K)"/>
    <n v="1"/>
    <n v="2011"/>
    <n v="1"/>
    <s v="Q1"/>
    <s v="Jan"/>
    <s v="2011-01"/>
    <s v="N/A"/>
    <s v="Production       "/>
    <n v="8.3333333333333321"/>
    <n v="0"/>
    <s v="Low"/>
    <n v="4.7699999999999996"/>
    <s v=""/>
    <s v="Black or African American"/>
  </r>
  <r>
    <s v="Dunn, Amy  "/>
    <n v="10105"/>
    <n v="0"/>
    <n v="0"/>
    <n v="0"/>
    <n v="1"/>
    <n v="5"/>
    <n v="3"/>
    <n v="0"/>
    <n v="75188"/>
    <n v="0"/>
    <n v="18"/>
    <s v="Production Manager"/>
    <s v="MA"/>
    <n v="1731"/>
    <d v="1973-11-28T00:00:00"/>
    <s v="F"/>
    <s v="Single"/>
    <s v="US Citizen"/>
    <s v="No"/>
    <s v="White"/>
    <d v="2014-09-18T00:00:00"/>
    <m/>
    <x v="0"/>
    <s v="Active"/>
    <s v="Production       "/>
    <s v="Janet King"/>
    <n v="2"/>
    <s v="Google Search"/>
    <s v="Fully Meets"/>
    <n v="4.5199999999999996"/>
    <n v="4"/>
    <n v="0"/>
    <s v="1/15/2019"/>
    <n v="0"/>
    <n v="4"/>
    <s v="Normal"/>
    <s v="low Outlier"/>
    <n v="52"/>
    <n v="11"/>
    <n v="11"/>
    <s v="10+ Years"/>
    <s v="46-55"/>
    <s v="Senior (70-100K)"/>
    <n v="1"/>
    <n v="2014"/>
    <n v="9"/>
    <s v="Q3"/>
    <s v="Sep"/>
    <s v="2014-09"/>
    <s v="N/A"/>
    <s v="Production       "/>
    <n v="33.333333333333329"/>
    <n v="0"/>
    <s v="Medium"/>
    <n v="4.5199999999999996"/>
    <s v=""/>
    <n v="25.641025641025639"/>
  </r>
  <r>
    <s v="Dunne, Amy"/>
    <n v="10211"/>
    <n v="1"/>
    <n v="1"/>
    <n v="0"/>
    <n v="1"/>
    <n v="5"/>
    <n v="3"/>
    <n v="0"/>
    <n v="62514"/>
    <n v="0"/>
    <n v="19"/>
    <s v="Production Technician I"/>
    <s v="MA"/>
    <n v="1749"/>
    <d v="1973-09-23T00:00:00"/>
    <s v="F"/>
    <s v="Married"/>
    <s v="US Citizen"/>
    <s v="No"/>
    <s v="White"/>
    <d v="2010-04-26T00:00:00"/>
    <m/>
    <x v="0"/>
    <s v="Active"/>
    <s v="Production       "/>
    <s v="Ketsia Liebig"/>
    <n v="19"/>
    <s v="Google Search"/>
    <s v="Fully Meets"/>
    <n v="2.9"/>
    <n v="3"/>
    <n v="0"/>
    <s v="1/21/2019"/>
    <n v="0"/>
    <n v="6"/>
    <s v="Normal"/>
    <s v="low Outlier"/>
    <n v="52"/>
    <n v="15"/>
    <n v="15"/>
    <s v="10+ Years"/>
    <s v="46-55"/>
    <s v="Mid (40-70K)"/>
    <n v="1"/>
    <n v="2010"/>
    <n v="4"/>
    <s v="Q2"/>
    <s v="Apr"/>
    <s v="2010-04"/>
    <s v="N/A"/>
    <s v="Production       "/>
    <n v="31.25"/>
    <n v="0"/>
    <s v="Medium"/>
    <n v="2.9"/>
    <s v=""/>
    <s v="American"/>
  </r>
  <r>
    <s v="Eaton, Marianne"/>
    <n v="10064"/>
    <n v="1"/>
    <n v="1"/>
    <n v="0"/>
    <n v="5"/>
    <n v="5"/>
    <n v="3"/>
    <n v="0"/>
    <n v="60070"/>
    <n v="1"/>
    <n v="19"/>
    <s v="Production Technician I"/>
    <s v="MA"/>
    <n v="2343"/>
    <d v="1991-09-05T00:00:00"/>
    <s v="F"/>
    <s v="Married"/>
    <s v="US Citizen"/>
    <s v="No"/>
    <s v="White"/>
    <d v="2011-04-04T00:00:00"/>
    <d v="2017-06-06T00:00:00"/>
    <x v="12"/>
    <s v="Voluntarily Terminated"/>
    <s v="Production       "/>
    <s v="Kissy Sullivan"/>
    <n v="20"/>
    <s v="Google Search"/>
    <s v="Fully Meets"/>
    <n v="5"/>
    <n v="3"/>
    <n v="0"/>
    <s v="4/9/2017"/>
    <n v="0"/>
    <n v="7"/>
    <s v="Normal"/>
    <s v="low Outlier"/>
    <n v="34"/>
    <n v="14"/>
    <n v="6"/>
    <s v="10+ Years"/>
    <s v="26-35"/>
    <s v="Mid (40-70K)"/>
    <n v="0"/>
    <n v="2011"/>
    <n v="4"/>
    <s v="Q2"/>
    <s v="Apr"/>
    <s v="2011-04"/>
    <n v="2017"/>
    <s v="Production       "/>
    <n v="52.941176470588239"/>
    <n v="4"/>
    <s v="Medium"/>
    <s v=""/>
    <n v="5"/>
    <n v="26.602564102564102"/>
  </r>
  <r>
    <s v="Engdahl, Jean"/>
    <n v="10247"/>
    <n v="0"/>
    <n v="0"/>
    <n v="1"/>
    <n v="1"/>
    <n v="5"/>
    <n v="3"/>
    <n v="0"/>
    <n v="48888"/>
    <n v="0"/>
    <n v="19"/>
    <s v="Production Technician I"/>
    <s v="MA"/>
    <n v="2026"/>
    <d v="1974-05-31T00:00:00"/>
    <s v="M "/>
    <s v="Single"/>
    <s v="US Citizen"/>
    <s v="No"/>
    <s v="White"/>
    <d v="2014-11-10T00:00:00"/>
    <m/>
    <x v="0"/>
    <s v="Active"/>
    <s v="Production       "/>
    <s v="Kelley Spirea"/>
    <n v="18"/>
    <s v="LinkedIn"/>
    <s v="Fully Meets"/>
    <n v="4.7"/>
    <n v="5"/>
    <n v="0"/>
    <s v="2/13/2019"/>
    <n v="0"/>
    <n v="8"/>
    <s v="Normal"/>
    <s v="low Outlier"/>
    <n v="51"/>
    <n v="11"/>
    <n v="11"/>
    <s v="10+ Years"/>
    <s v="46-55"/>
    <s v="Mid (40-70K)"/>
    <n v="1"/>
    <n v="2014"/>
    <n v="11"/>
    <s v="Q4"/>
    <s v="Nov"/>
    <s v="2014-11"/>
    <s v="N/A"/>
    <s v="Production       "/>
    <n v="25"/>
    <n v="0"/>
    <s v="Medium"/>
    <n v="4.7"/>
    <s v=""/>
    <s v="two or more races"/>
  </r>
  <r>
    <s v="England, Rex"/>
    <n v="10235"/>
    <n v="1"/>
    <n v="1"/>
    <n v="1"/>
    <n v="1"/>
    <n v="5"/>
    <n v="3"/>
    <n v="0"/>
    <n v="54285"/>
    <n v="0"/>
    <n v="19"/>
    <s v="Production Technician I"/>
    <s v="MA"/>
    <n v="2045"/>
    <d v="1978-08-25T00:00:00"/>
    <s v="M "/>
    <s v="Married"/>
    <s v="US Citizen"/>
    <s v="No"/>
    <s v="White"/>
    <d v="2014-03-31T00:00:00"/>
    <m/>
    <x v="0"/>
    <s v="Active"/>
    <s v="Production       "/>
    <s v="Kelley Spirea"/>
    <n v="18"/>
    <s v="Employee Referral"/>
    <s v="Fully Meets"/>
    <n v="4.2"/>
    <n v="3"/>
    <n v="0"/>
    <s v="1/11/2019"/>
    <n v="0"/>
    <n v="3"/>
    <s v="Normal"/>
    <s v="low Outlier"/>
    <n v="47"/>
    <n v="11"/>
    <n v="11"/>
    <s v="10+ Years"/>
    <s v="46-55"/>
    <s v="Mid (40-70K)"/>
    <n v="1"/>
    <n v="2014"/>
    <n v="3"/>
    <s v="Q1"/>
    <s v="Mar"/>
    <s v="2014-03"/>
    <s v="N/A"/>
    <s v="Production       "/>
    <n v="26.666666666666668"/>
    <n v="0"/>
    <s v="Medium"/>
    <n v="4.2"/>
    <s v=""/>
    <n v="3.5256410256410255"/>
  </r>
  <r>
    <s v="Erilus, Angela"/>
    <n v="10299"/>
    <n v="0"/>
    <n v="3"/>
    <n v="0"/>
    <n v="1"/>
    <n v="5"/>
    <n v="1"/>
    <n v="0"/>
    <n v="56847"/>
    <n v="0"/>
    <n v="20"/>
    <s v="Production Technician II"/>
    <s v="MA"/>
    <n v="2133"/>
    <d v="1989-08-25T00:00:00"/>
    <s v="F"/>
    <s v="Separated"/>
    <s v="US Citizen"/>
    <s v="No"/>
    <s v="White"/>
    <d v="2014-07-07T00:00:00"/>
    <m/>
    <x v="0"/>
    <s v="Active"/>
    <s v="Production       "/>
    <s v="Michael Albert"/>
    <n v="22"/>
    <s v="Indeed"/>
    <s v="PIP"/>
    <n v="3"/>
    <n v="1"/>
    <n v="0"/>
    <s v="2/25/2019"/>
    <n v="2"/>
    <n v="5"/>
    <s v="Normal"/>
    <s v="low Outlier"/>
    <n v="36"/>
    <n v="11"/>
    <n v="11"/>
    <s v="10+ Years"/>
    <s v="36-45"/>
    <s v="Mid (40-70K)"/>
    <n v="1"/>
    <n v="2014"/>
    <n v="7"/>
    <s v="Q3"/>
    <s v="Jul"/>
    <s v="2014-07"/>
    <s v="N/A"/>
    <s v="Production       "/>
    <n v="47.058823529411761"/>
    <n v="0"/>
    <s v="High"/>
    <n v="3"/>
    <s v=""/>
    <s v="hispanic"/>
  </r>
  <r>
    <s v="Estremera, Miguel"/>
    <n v="10280"/>
    <n v="0"/>
    <n v="0"/>
    <n v="1"/>
    <n v="4"/>
    <n v="5"/>
    <n v="2"/>
    <n v="0"/>
    <n v="60340"/>
    <n v="1"/>
    <n v="19"/>
    <s v="Production Technician I"/>
    <s v="MA"/>
    <n v="2129"/>
    <d v="1983-09-02T00:00:00"/>
    <s v="M "/>
    <s v="Single"/>
    <s v="US Citizen"/>
    <s v="No"/>
    <s v="White"/>
    <d v="2012-04-02T00:00:00"/>
    <d v="2018-09-27T00:00:00"/>
    <x v="6"/>
    <s v="Terminated for Cause"/>
    <s v="Production       "/>
    <s v="Michael Albert"/>
    <n v="22"/>
    <s v="Google Search"/>
    <s v="Needs Improvement"/>
    <n v="5"/>
    <n v="4"/>
    <n v="0"/>
    <s v="4/12/2018"/>
    <n v="5"/>
    <n v="16"/>
    <s v="Normal"/>
    <s v="low Outlier"/>
    <n v="42"/>
    <n v="13"/>
    <n v="6"/>
    <s v="10+ Years"/>
    <s v="36-45"/>
    <s v="Mid (40-70K)"/>
    <n v="0"/>
    <n v="2012"/>
    <n v="4"/>
    <s v="Q2"/>
    <s v="Apr"/>
    <s v="2012-04"/>
    <n v="2018"/>
    <s v="Production       "/>
    <n v="50"/>
    <n v="6"/>
    <s v="High"/>
    <s v=""/>
    <n v="5"/>
    <n v="0.32051282051282048"/>
  </r>
  <r>
    <s v="Evensen, April"/>
    <n v="10296"/>
    <n v="0"/>
    <n v="0"/>
    <n v="0"/>
    <n v="4"/>
    <n v="5"/>
    <n v="2"/>
    <n v="0"/>
    <n v="59124"/>
    <n v="1"/>
    <n v="19"/>
    <s v="Production Technician I"/>
    <s v="MA"/>
    <n v="2458"/>
    <d v="1989-05-06T00:00:00"/>
    <s v="F"/>
    <s v="Single"/>
    <s v="US Citizen"/>
    <s v="No"/>
    <s v="White"/>
    <d v="2014-02-17T00:00:00"/>
    <d v="2018-02-25T00:00:00"/>
    <x v="13"/>
    <s v="Terminated for Cause"/>
    <s v="Production       "/>
    <s v="Elijiah Gray"/>
    <n v="16"/>
    <s v="Google Search"/>
    <s v="Needs Improvement"/>
    <n v="2.2999999999999998"/>
    <n v="3"/>
    <n v="0"/>
    <s v="1/15/2017"/>
    <n v="5"/>
    <n v="19"/>
    <s v="Normal"/>
    <s v="low Outlier"/>
    <n v="36"/>
    <n v="12"/>
    <n v="4"/>
    <s v="10+ Years"/>
    <s v="36-45"/>
    <s v="Mid (40-70K)"/>
    <n v="0"/>
    <n v="2014"/>
    <n v="2"/>
    <s v="Q1"/>
    <s v="Feb"/>
    <s v="2014-02"/>
    <n v="2018"/>
    <s v="Production       "/>
    <n v="41.17647058823529"/>
    <n v="4"/>
    <s v="High"/>
    <s v=""/>
    <n v="2.2999999999999998"/>
    <s v="indian"/>
  </r>
  <r>
    <s v="Exantus, Susan"/>
    <n v="10290"/>
    <n v="1"/>
    <n v="1"/>
    <n v="0"/>
    <n v="4"/>
    <n v="4"/>
    <n v="2"/>
    <n v="0"/>
    <n v="99280"/>
    <n v="1"/>
    <n v="24"/>
    <s v="Software Engineer"/>
    <s v="MA"/>
    <n v="1749"/>
    <d v="1987-05-15T00:00:00"/>
    <s v="F"/>
    <s v="Married"/>
    <s v="US Citizen"/>
    <s v="No"/>
    <s v="Black or African American"/>
    <d v="2011-05-02T00:00:00"/>
    <d v="2013-06-05T00:00:00"/>
    <x v="6"/>
    <s v="Terminated for Cause"/>
    <s v="Software Engineering"/>
    <s v="Alex Sweetwater"/>
    <n v="10"/>
    <s v="Indeed"/>
    <s v="Needs Improvement"/>
    <n v="2.1"/>
    <n v="5"/>
    <n v="4"/>
    <s v="8/10/2012"/>
    <n v="4"/>
    <n v="19"/>
    <s v="Normal"/>
    <s v="low Outlier"/>
    <n v="38"/>
    <n v="14"/>
    <n v="2"/>
    <s v="10+ Years"/>
    <s v="36-45"/>
    <s v="Senior (70-100K)"/>
    <n v="0"/>
    <n v="2011"/>
    <n v="5"/>
    <s v="Q2"/>
    <s v="May"/>
    <s v="2011-05"/>
    <n v="2013"/>
    <s v="Production       "/>
    <n v="50"/>
    <n v="5"/>
    <s v="High"/>
    <s v=""/>
    <n v="2.1"/>
    <n v="0.96153846153846156"/>
  </r>
  <r>
    <s v="Faller, Megan "/>
    <n v="10263"/>
    <n v="1"/>
    <n v="1"/>
    <n v="0"/>
    <n v="1"/>
    <n v="5"/>
    <n v="3"/>
    <n v="0"/>
    <n v="71776"/>
    <n v="0"/>
    <n v="20"/>
    <s v="Production Technician II"/>
    <s v="MA"/>
    <n v="1824"/>
    <d v="1978-09-22T00:00:00"/>
    <s v="F"/>
    <s v="Married"/>
    <s v="US Citizen"/>
    <s v="No"/>
    <s v="Black or African American"/>
    <d v="2014-07-07T00:00:00"/>
    <m/>
    <x v="0"/>
    <s v="Active"/>
    <s v="Production       "/>
    <s v="Elijiah Gray"/>
    <n v="16"/>
    <s v="LinkedIn"/>
    <s v="Fully Meets"/>
    <n v="4.4000000000000004"/>
    <n v="5"/>
    <n v="0"/>
    <s v="2/22/2019"/>
    <n v="0"/>
    <n v="17"/>
    <s v="Normal"/>
    <s v="low Outlier"/>
    <n v="47"/>
    <n v="11"/>
    <n v="11"/>
    <s v="10+ Years"/>
    <s v="46-55"/>
    <s v="Senior (70-100K)"/>
    <n v="1"/>
    <n v="2014"/>
    <n v="7"/>
    <s v="Q3"/>
    <s v="Jul"/>
    <s v="2014-07"/>
    <s v="N/A"/>
    <s v="Production       "/>
    <n v="37.5"/>
    <n v="0"/>
    <s v="Medium"/>
    <n v="4.4000000000000004"/>
    <s v=""/>
    <m/>
  </r>
  <r>
    <s v="Fancett, Nicole"/>
    <n v="10136"/>
    <n v="0"/>
    <n v="0"/>
    <n v="0"/>
    <n v="1"/>
    <n v="5"/>
    <n v="3"/>
    <n v="0"/>
    <n v="65902"/>
    <n v="0"/>
    <n v="20"/>
    <s v="Production Technician II"/>
    <s v="MA"/>
    <n v="2324"/>
    <d v="1987-09-27T00:00:00"/>
    <s v="F"/>
    <s v="Single"/>
    <s v="US Citizen"/>
    <s v="No"/>
    <s v="Black or African American"/>
    <d v="2014-02-17T00:00:00"/>
    <m/>
    <x v="0"/>
    <s v="Active"/>
    <s v="Production       "/>
    <s v="Webster Butler"/>
    <m/>
    <s v="LinkedIn"/>
    <s v="Fully Meets"/>
    <n v="4"/>
    <n v="4"/>
    <n v="0"/>
    <s v="1/7/2019"/>
    <n v="0"/>
    <n v="7"/>
    <s v="Normal"/>
    <s v="low Outlier"/>
    <n v="38"/>
    <n v="12"/>
    <n v="12"/>
    <s v="10+ Years"/>
    <s v="36-45"/>
    <s v="Mid (40-70K)"/>
    <n v="1"/>
    <n v="2014"/>
    <n v="2"/>
    <s v="Q1"/>
    <s v="Feb"/>
    <s v="2014-02"/>
    <s v="N/A"/>
    <s v="Production       "/>
    <n v="68.75"/>
    <n v="0"/>
    <s v="Medium"/>
    <n v="4"/>
    <s v=""/>
    <s v=" Hispanic/Latino Count"/>
  </r>
  <r>
    <s v="Ferguson, Susan"/>
    <n v="10189"/>
    <n v="1"/>
    <n v="1"/>
    <n v="0"/>
    <n v="5"/>
    <n v="5"/>
    <n v="3"/>
    <n v="0"/>
    <n v="57748"/>
    <n v="1"/>
    <n v="19"/>
    <s v="Production Technician I"/>
    <s v="MA"/>
    <n v="2176"/>
    <d v="1955-04-14T00:00:00"/>
    <s v="F"/>
    <s v="Married"/>
    <s v="US Citizen"/>
    <s v="No"/>
    <s v="White"/>
    <d v="2011-11-07T00:00:00"/>
    <d v="2016-05-17T00:00:00"/>
    <x v="12"/>
    <s v="Voluntarily Terminated"/>
    <s v="Production       "/>
    <s v="Webster Butler"/>
    <n v="39"/>
    <s v="Google Search"/>
    <s v="Fully Meets"/>
    <n v="3.13"/>
    <n v="3"/>
    <n v="0"/>
    <s v="2/4/2016"/>
    <n v="0"/>
    <n v="16"/>
    <s v="Normal"/>
    <s v="low Outlier"/>
    <n v="70"/>
    <n v="14"/>
    <n v="4"/>
    <s v="10+ Years"/>
    <s v="55+"/>
    <s v="Mid (40-70K)"/>
    <n v="0"/>
    <n v="2011"/>
    <n v="11"/>
    <s v="Q4"/>
    <s v="Nov"/>
    <s v="2011-11"/>
    <n v="2016"/>
    <s v="Production       "/>
    <n v="73.333333333333329"/>
    <n v="3"/>
    <s v="Medium"/>
    <s v=""/>
    <n v="3.13"/>
    <n v="28"/>
  </r>
  <r>
    <s v="Fernandes, Nilson  "/>
    <n v="10308"/>
    <n v="1"/>
    <n v="1"/>
    <n v="1"/>
    <n v="1"/>
    <n v="5"/>
    <n v="1"/>
    <n v="0"/>
    <n v="64057"/>
    <n v="0"/>
    <n v="19"/>
    <s v="Production Technician I"/>
    <s v="MA"/>
    <n v="2132"/>
    <d v="1989-10-18T00:00:00"/>
    <s v="M "/>
    <s v="Married"/>
    <s v="US Citizen"/>
    <s v="No"/>
    <s v="White"/>
    <d v="2015-05-11T00:00:00"/>
    <m/>
    <x v="0"/>
    <s v="Active"/>
    <s v="Production       "/>
    <s v="Amy Dunn"/>
    <n v="11"/>
    <s v="Indeed"/>
    <s v="PIP"/>
    <n v="1.56"/>
    <n v="5"/>
    <n v="0"/>
    <s v="1/3/2019"/>
    <n v="6"/>
    <n v="15"/>
    <s v="Normal"/>
    <s v="low Outlier"/>
    <n v="36"/>
    <n v="10"/>
    <n v="10"/>
    <s v="10+ Years"/>
    <s v="36-45"/>
    <s v="Mid (40-70K)"/>
    <n v="1"/>
    <n v="2015"/>
    <n v="5"/>
    <s v="Q2"/>
    <s v="May"/>
    <s v="2015-05"/>
    <s v="N/A"/>
    <s v="Production       "/>
    <n v="75"/>
    <n v="0"/>
    <s v="High"/>
    <n v="1.56"/>
    <s v=""/>
    <n v="283"/>
  </r>
  <r>
    <s v="Fett, Boba"/>
    <n v="10309"/>
    <n v="0"/>
    <n v="0"/>
    <n v="1"/>
    <n v="1"/>
    <n v="3"/>
    <n v="1"/>
    <n v="0"/>
    <n v="53366"/>
    <n v="0"/>
    <n v="15"/>
    <s v="Network Engineer"/>
    <s v="MA"/>
    <n v="2138"/>
    <d v="1987-06-18T00:00:00"/>
    <s v="M "/>
    <s v="Single"/>
    <s v="US Citizen"/>
    <s v="No"/>
    <s v="White"/>
    <d v="2015-03-30T00:00:00"/>
    <m/>
    <x v="0"/>
    <s v="Active"/>
    <s v="IT/IS"/>
    <s v="Peter Monroe"/>
    <n v="7"/>
    <s v="LinkedIn"/>
    <s v="PIP"/>
    <n v="1.2"/>
    <n v="3"/>
    <n v="6"/>
    <s v="2/4/2019"/>
    <n v="3"/>
    <n v="2"/>
    <s v="Normal"/>
    <s v="low Outlier"/>
    <n v="38"/>
    <n v="10"/>
    <n v="10"/>
    <s v="10+ Years"/>
    <s v="36-45"/>
    <s v="Mid (40-70K)"/>
    <n v="1"/>
    <n v="2015"/>
    <n v="3"/>
    <s v="Q1"/>
    <s v="Mar"/>
    <s v="2015-03"/>
    <s v="N/A"/>
    <s v="Production       "/>
    <n v="10"/>
    <n v="0"/>
    <s v="High"/>
    <n v="1.2"/>
    <s v=""/>
    <s v="DROM DIVERSITY JOBFAIR"/>
  </r>
  <r>
    <s v="Fidelia,  Libby"/>
    <n v="10049"/>
    <n v="1"/>
    <n v="1"/>
    <n v="0"/>
    <n v="1"/>
    <n v="5"/>
    <n v="3"/>
    <n v="0"/>
    <n v="58530"/>
    <n v="0"/>
    <n v="19"/>
    <s v="Production Technician I"/>
    <s v="MA"/>
    <n v="2155"/>
    <d v="1981-03-16T00:00:00"/>
    <s v="F"/>
    <s v="Married"/>
    <s v="US Citizen"/>
    <s v="No"/>
    <s v="White"/>
    <d v="2012-01-09T00:00:00"/>
    <m/>
    <x v="0"/>
    <s v="Active"/>
    <s v="Production       "/>
    <s v="Brannon Miller"/>
    <n v="12"/>
    <s v="Google Search"/>
    <s v="Fully Meets"/>
    <n v="5"/>
    <n v="5"/>
    <n v="0"/>
    <s v="1/29/2019"/>
    <n v="0"/>
    <n v="19"/>
    <s v="Normal"/>
    <s v="low Outlier"/>
    <n v="45"/>
    <n v="14"/>
    <n v="14"/>
    <s v="10+ Years"/>
    <s v="36-45"/>
    <s v="Mid (40-70K)"/>
    <n v="1"/>
    <n v="2012"/>
    <n v="1"/>
    <s v="Q1"/>
    <s v="Jan"/>
    <s v="2012-01"/>
    <s v="N/A"/>
    <s v="Production       "/>
    <n v="31.25"/>
    <n v="0"/>
    <s v="Medium"/>
    <n v="5"/>
    <s v=""/>
    <n v="9.2948717948717956"/>
  </r>
  <r>
    <s v="Fitzpatrick, Michael  J"/>
    <n v="10093"/>
    <n v="0"/>
    <n v="0"/>
    <n v="1"/>
    <n v="5"/>
    <n v="5"/>
    <n v="3"/>
    <n v="0"/>
    <n v="72609"/>
    <n v="1"/>
    <n v="20"/>
    <s v="Production Technician II"/>
    <s v="MA"/>
    <n v="2143"/>
    <d v="1981-10-01T00:00:00"/>
    <s v="M "/>
    <s v="Single"/>
    <s v="US Citizen"/>
    <s v="Yes"/>
    <s v="White"/>
    <d v="2011-05-16T00:00:00"/>
    <d v="2013-06-24T00:00:00"/>
    <x v="2"/>
    <s v="Voluntarily Terminated"/>
    <s v="Production       "/>
    <s v="Amy Dunn"/>
    <n v="11"/>
    <s v="Google Search"/>
    <s v="Fully Meets"/>
    <n v="4.76"/>
    <n v="5"/>
    <n v="0"/>
    <s v="4/5/2013"/>
    <n v="0"/>
    <n v="20"/>
    <s v="Normal"/>
    <s v="low Outlier"/>
    <n v="44"/>
    <n v="14"/>
    <n v="2"/>
    <s v="10+ Years"/>
    <s v="36-45"/>
    <s v="Senior (70-100K)"/>
    <n v="0"/>
    <n v="2011"/>
    <n v="5"/>
    <s v="Q2"/>
    <s v="May"/>
    <s v="2011-05"/>
    <n v="2013"/>
    <s v="Production       "/>
    <n v="80"/>
    <n v="7"/>
    <s v="Medium"/>
    <s v=""/>
    <n v="4.76"/>
    <s v="Diversity Index (Simpson's Diversity Index)"/>
  </r>
  <r>
    <s v="Foreman, Tanya"/>
    <n v="10163"/>
    <n v="1"/>
    <n v="1"/>
    <n v="0"/>
    <n v="5"/>
    <n v="5"/>
    <n v="3"/>
    <n v="0"/>
    <n v="55965"/>
    <n v="1"/>
    <n v="20"/>
    <s v="Production Technician II"/>
    <s v="MA"/>
    <n v="2170"/>
    <d v="1983-11-08T00:00:00"/>
    <s v="F"/>
    <s v="Married"/>
    <s v="US Citizen"/>
    <s v="No"/>
    <s v="White"/>
    <d v="2011-04-04T00:00:00"/>
    <d v="2013-01-09T00:00:00"/>
    <x v="1"/>
    <s v="Voluntarily Terminated"/>
    <s v="Production       "/>
    <s v="Ketsia Liebig"/>
    <n v="19"/>
    <s v="Google Search"/>
    <s v="Fully Meets"/>
    <n v="3.66"/>
    <n v="3"/>
    <n v="0"/>
    <s v="1/7/2012"/>
    <n v="0"/>
    <n v="6"/>
    <s v="Normal"/>
    <s v="low Outlier"/>
    <n v="42"/>
    <n v="14"/>
    <n v="1"/>
    <s v="10+ Years"/>
    <s v="36-45"/>
    <s v="Mid (40-70K)"/>
    <n v="0"/>
    <n v="2011"/>
    <n v="4"/>
    <s v="Q2"/>
    <s v="Apr"/>
    <s v="2011-04"/>
    <n v="2013"/>
    <s v="Production       "/>
    <n v="33.333333333333329"/>
    <n v="6"/>
    <s v="Medium"/>
    <s v=""/>
    <n v="3.66"/>
    <n v="0.63212935568704798"/>
  </r>
  <r>
    <s v="Forrest, Alex"/>
    <n v="10305"/>
    <n v="1"/>
    <n v="1"/>
    <n v="1"/>
    <n v="1"/>
    <n v="6"/>
    <n v="3"/>
    <n v="0"/>
    <n v="70187"/>
    <n v="1"/>
    <n v="3"/>
    <s v="Area Sales Manager"/>
    <s v="MA"/>
    <n v="2330"/>
    <d v="1975-07-07T00:00:00"/>
    <s v="M "/>
    <s v="Married"/>
    <s v="US Citizen"/>
    <s v="No"/>
    <s v="White"/>
    <d v="2014-09-29T00:00:00"/>
    <d v="2018-08-19T00:00:00"/>
    <x v="14"/>
    <s v="Terminated for Cause"/>
    <s v="Sales"/>
    <s v="Lynn Daneault"/>
    <n v="21"/>
    <s v="Employee Referral"/>
    <s v="PIP"/>
    <n v="2"/>
    <n v="5"/>
    <n v="0"/>
    <s v="1/28/2019"/>
    <n v="4"/>
    <n v="7"/>
    <s v="Normal"/>
    <s v="low Outlier"/>
    <n v="50"/>
    <n v="11"/>
    <n v="3"/>
    <s v="10+ Years"/>
    <s v="46-55"/>
    <s v="Senior (70-100K)"/>
    <n v="0"/>
    <n v="2014"/>
    <n v="9"/>
    <s v="Q3"/>
    <s v="Sep"/>
    <s v="2014-09"/>
    <n v="2018"/>
    <s v="Production       "/>
    <n v="9.0909090909090917"/>
    <n v="1"/>
    <s v="High"/>
    <s v=""/>
    <n v="2"/>
    <m/>
  </r>
  <r>
    <s v="Foss, Jason"/>
    <n v="10015"/>
    <n v="0"/>
    <n v="0"/>
    <n v="1"/>
    <n v="1"/>
    <n v="3"/>
    <n v="4"/>
    <n v="0"/>
    <n v="178000"/>
    <n v="0"/>
    <n v="12"/>
    <s v="IT Director"/>
    <s v="MA"/>
    <n v="1460"/>
    <d v="1980-07-05T00:00:00"/>
    <s v="M "/>
    <s v="Single"/>
    <s v="US Citizen"/>
    <s v="No"/>
    <s v="Black or African American"/>
    <d v="2011-04-15T00:00:00"/>
    <m/>
    <x v="0"/>
    <s v="Active"/>
    <s v="IT/IS"/>
    <s v="Jennifer Zamora"/>
    <n v="5"/>
    <s v="Indeed"/>
    <s v="Exceeds"/>
    <n v="5"/>
    <n v="5"/>
    <n v="5"/>
    <s v="1/7/2019"/>
    <n v="0"/>
    <n v="15"/>
    <s v=" high Outlier"/>
    <s v="low Outlier"/>
    <n v="45"/>
    <n v="14"/>
    <n v="14"/>
    <s v="10+ Years"/>
    <s v="36-45"/>
    <s v="Executive (100K+)"/>
    <n v="1"/>
    <n v="2011"/>
    <n v="4"/>
    <s v="Q2"/>
    <s v="Apr"/>
    <s v="2011-04"/>
    <s v="N/A"/>
    <s v="Production       "/>
    <n v="25"/>
    <n v="0"/>
    <s v="Low"/>
    <n v="5"/>
    <s v=""/>
    <m/>
  </r>
  <r>
    <s v="Foster-Baker, Amy"/>
    <n v="10080"/>
    <n v="1"/>
    <n v="1"/>
    <n v="0"/>
    <n v="1"/>
    <n v="1"/>
    <n v="3"/>
    <n v="0"/>
    <n v="99351"/>
    <n v="0"/>
    <n v="26"/>
    <s v="Sr. Accountant"/>
    <s v="MA"/>
    <n v="2050"/>
    <d v="1979-04-16T00:00:00"/>
    <s v="F"/>
    <s v="Married"/>
    <s v="US Citizen"/>
    <s v="No"/>
    <s v="White"/>
    <d v="2009-01-05T00:00:00"/>
    <m/>
    <x v="0"/>
    <s v="Active"/>
    <s v="Admin Offices"/>
    <s v="Board of Directors"/>
    <n v="9"/>
    <s v="Other"/>
    <s v="Fully Meets"/>
    <n v="5"/>
    <n v="3"/>
    <n v="2"/>
    <s v="2/8/2019"/>
    <n v="0"/>
    <n v="3"/>
    <s v="Normal"/>
    <s v="low Outlier"/>
    <n v="46"/>
    <n v="17"/>
    <n v="17"/>
    <s v="10+ Years"/>
    <s v="46-55"/>
    <s v="Senior (70-100K)"/>
    <n v="1"/>
    <n v="2009"/>
    <n v="1"/>
    <s v="Q1"/>
    <s v="Jan"/>
    <s v="2009-01"/>
    <s v="N/A"/>
    <s v="Production       "/>
    <n v="0"/>
    <n v="0"/>
    <s v="Medium"/>
    <n v="5"/>
    <s v=""/>
    <s v="Marital Status Analysis"/>
  </r>
  <r>
    <s v="Fraval, Maruk "/>
    <n v="10258"/>
    <n v="0"/>
    <n v="0"/>
    <n v="1"/>
    <n v="1"/>
    <n v="6"/>
    <n v="3"/>
    <n v="0"/>
    <n v="67251"/>
    <n v="0"/>
    <n v="3"/>
    <s v="Area Sales Manager"/>
    <s v="CT"/>
    <n v="6050"/>
    <d v="1963-08-28T00:00:00"/>
    <s v="M "/>
    <s v="Single"/>
    <s v="US Citizen"/>
    <s v="No"/>
    <s v="Black or African American"/>
    <d v="2011-09-06T00:00:00"/>
    <m/>
    <x v="0"/>
    <s v="Active"/>
    <s v="Sales"/>
    <s v="Lynn Daneault"/>
    <n v="21"/>
    <s v="CareerBuilder"/>
    <s v="Fully Meets"/>
    <n v="4.3"/>
    <n v="3"/>
    <n v="0"/>
    <s v="1/27/2019"/>
    <n v="2"/>
    <n v="7"/>
    <s v="Normal"/>
    <s v="low Outlier"/>
    <n v="62"/>
    <n v="14"/>
    <n v="14"/>
    <s v="10+ Years"/>
    <s v="55+"/>
    <s v="Mid (40-70K)"/>
    <n v="1"/>
    <n v="2011"/>
    <n v="9"/>
    <s v="Q3"/>
    <s v="Sep"/>
    <s v="2011-09"/>
    <s v="N/A"/>
    <s v="Production       "/>
    <n v="0"/>
    <n v="0"/>
    <s v="Medium"/>
    <n v="4.3"/>
    <s v=""/>
    <s v="SINGAL"/>
  </r>
  <r>
    <s v="Galia, Lisa"/>
    <n v="10273"/>
    <n v="0"/>
    <n v="0"/>
    <n v="0"/>
    <n v="1"/>
    <n v="3"/>
    <n v="3"/>
    <n v="0"/>
    <n v="65707"/>
    <n v="0"/>
    <n v="14"/>
    <s v="IT Support"/>
    <s v="CT"/>
    <n v="6040"/>
    <d v="1968-07-06T00:00:00"/>
    <s v="F"/>
    <s v="Single"/>
    <s v="US Citizen"/>
    <s v="No"/>
    <s v="White"/>
    <d v="2010-05-01T00:00:00"/>
    <m/>
    <x v="0"/>
    <s v="Active"/>
    <s v="IT/IS"/>
    <s v="Eric Dougall"/>
    <n v="6"/>
    <s v="LinkedIn"/>
    <s v="Fully Meets"/>
    <n v="4.7"/>
    <n v="4"/>
    <n v="5"/>
    <s v="2/1/2019"/>
    <n v="0"/>
    <n v="1"/>
    <s v="Normal"/>
    <s v="low Outlier"/>
    <n v="57"/>
    <n v="15"/>
    <n v="15"/>
    <s v="10+ Years"/>
    <s v="55+"/>
    <s v="Mid (40-70K)"/>
    <n v="1"/>
    <n v="2010"/>
    <n v="5"/>
    <s v="Q2"/>
    <s v="May"/>
    <s v="2010-05"/>
    <s v="N/A"/>
    <s v="Production       "/>
    <n v="0"/>
    <n v="0"/>
    <s v="Medium"/>
    <n v="4.7"/>
    <s v=""/>
    <n v="137"/>
  </r>
  <r>
    <s v="Garcia, Raul"/>
    <n v="10111"/>
    <n v="0"/>
    <n v="0"/>
    <n v="1"/>
    <n v="1"/>
    <n v="5"/>
    <n v="3"/>
    <n v="0"/>
    <n v="52249"/>
    <n v="0"/>
    <n v="19"/>
    <s v="Production Technician I"/>
    <s v="MA"/>
    <n v="1905"/>
    <d v="1985-09-15T00:00:00"/>
    <s v="M "/>
    <s v="Single"/>
    <s v="US Citizen"/>
    <s v="Yes"/>
    <s v="White"/>
    <d v="2015-03-30T00:00:00"/>
    <m/>
    <x v="0"/>
    <s v="Active"/>
    <s v="Production       "/>
    <s v="David Stanley"/>
    <n v="14"/>
    <s v="Employee Referral"/>
    <s v="Fully Meets"/>
    <n v="4.5"/>
    <n v="3"/>
    <n v="0"/>
    <s v="2/18/2019"/>
    <n v="0"/>
    <n v="5"/>
    <s v="Normal"/>
    <s v="low Outlier"/>
    <n v="40"/>
    <n v="10"/>
    <n v="10"/>
    <s v="10+ Years"/>
    <s v="36-45"/>
    <s v="Mid (40-70K)"/>
    <n v="1"/>
    <n v="2015"/>
    <n v="3"/>
    <s v="Q1"/>
    <s v="Mar"/>
    <s v="2015-03"/>
    <s v="N/A"/>
    <s v="Production       "/>
    <n v="18.75"/>
    <n v="0"/>
    <s v="Medium"/>
    <n v="4.5"/>
    <s v=""/>
    <s v="married"/>
  </r>
  <r>
    <s v="Gaul, Barbara"/>
    <n v="10257"/>
    <n v="0"/>
    <n v="0"/>
    <n v="0"/>
    <n v="1"/>
    <n v="5"/>
    <n v="3"/>
    <n v="0"/>
    <n v="53171"/>
    <n v="0"/>
    <n v="19"/>
    <s v="Production Technician I"/>
    <s v="MA"/>
    <n v="2121"/>
    <d v="1983-12-02T00:00:00"/>
    <s v="F"/>
    <s v="Single"/>
    <s v="US Citizen"/>
    <s v="Yes"/>
    <s v="Black or African American"/>
    <d v="2011-05-16T00:00:00"/>
    <m/>
    <x v="0"/>
    <s v="Active"/>
    <s v="Production       "/>
    <s v="Kelley Spirea"/>
    <n v="18"/>
    <s v="LinkedIn"/>
    <s v="Fully Meets"/>
    <n v="4.2"/>
    <n v="4"/>
    <n v="0"/>
    <s v="2/26/2019"/>
    <n v="0"/>
    <n v="12"/>
    <s v="Normal"/>
    <s v="low Outlier"/>
    <n v="42"/>
    <n v="14"/>
    <n v="14"/>
    <s v="10+ Years"/>
    <s v="36-45"/>
    <s v="Mid (40-70K)"/>
    <n v="1"/>
    <n v="2011"/>
    <n v="5"/>
    <s v="Q2"/>
    <s v="May"/>
    <s v="2011-05"/>
    <s v="N/A"/>
    <s v="Production       "/>
    <n v="28.571428571428569"/>
    <n v="0"/>
    <s v="Medium"/>
    <n v="4.2"/>
    <s v=""/>
    <n v="124"/>
  </r>
  <r>
    <s v="Gentry, Mildred"/>
    <n v="10159"/>
    <n v="1"/>
    <n v="1"/>
    <n v="0"/>
    <n v="1"/>
    <n v="5"/>
    <n v="3"/>
    <n v="0"/>
    <n v="51337"/>
    <n v="0"/>
    <n v="19"/>
    <s v="Production Technician I"/>
    <s v="MA"/>
    <n v="2145"/>
    <d v="1990-10-01T00:00:00"/>
    <s v="F"/>
    <s v="Married"/>
    <s v="US Citizen"/>
    <s v="No"/>
    <s v="Black or African American"/>
    <d v="2015-03-30T00:00:00"/>
    <m/>
    <x v="0"/>
    <s v="Active"/>
    <s v="Production       "/>
    <s v="Michael Albert"/>
    <n v="22"/>
    <s v="LinkedIn"/>
    <s v="Fully Meets"/>
    <n v="3.73"/>
    <n v="3"/>
    <n v="0"/>
    <s v="1/16/2019"/>
    <n v="0"/>
    <n v="19"/>
    <s v="Normal"/>
    <s v="low Outlier"/>
    <n v="35"/>
    <n v="10"/>
    <n v="10"/>
    <s v="10+ Years"/>
    <s v="26-35"/>
    <s v="Mid (40-70K)"/>
    <n v="1"/>
    <n v="2015"/>
    <n v="3"/>
    <s v="Q1"/>
    <s v="Mar"/>
    <s v="2015-03"/>
    <s v="N/A"/>
    <s v="Production       "/>
    <n v="46.666666666666664"/>
    <n v="0"/>
    <s v="Medium"/>
    <n v="3.73"/>
    <s v=""/>
    <s v="Divorced"/>
  </r>
  <r>
    <s v="Gerke, Melisa"/>
    <n v="10122"/>
    <n v="0"/>
    <n v="2"/>
    <n v="0"/>
    <n v="5"/>
    <n v="5"/>
    <n v="3"/>
    <n v="1"/>
    <n v="51505"/>
    <n v="1"/>
    <n v="19"/>
    <s v="Production Technician I"/>
    <s v="MA"/>
    <n v="2330"/>
    <d v="1970-05-15T00:00:00"/>
    <s v="F"/>
    <s v="Divorced"/>
    <s v="US Citizen"/>
    <s v="No"/>
    <s v="Black or African American"/>
    <d v="2011-11-07T00:00:00"/>
    <d v="2016-11-15T00:00:00"/>
    <x v="2"/>
    <s v="Voluntarily Terminated"/>
    <s v="Production       "/>
    <s v="Elijiah Gray"/>
    <n v="16"/>
    <s v="Diversity Job Fair"/>
    <s v="Fully Meets"/>
    <n v="4.24"/>
    <n v="4"/>
    <n v="0"/>
    <s v="4/29/2016"/>
    <n v="0"/>
    <n v="2"/>
    <s v="Normal"/>
    <s v="low Outlier"/>
    <n v="55"/>
    <n v="14"/>
    <n v="5"/>
    <s v="10+ Years"/>
    <s v="46-55"/>
    <s v="Mid (40-70K)"/>
    <n v="0"/>
    <n v="2011"/>
    <n v="11"/>
    <s v="Q4"/>
    <s v="Nov"/>
    <s v="2011-11"/>
    <n v="2016"/>
    <s v="Production       "/>
    <n v="40"/>
    <n v="6"/>
    <s v="Medium"/>
    <s v=""/>
    <n v="4.24"/>
    <n v="30"/>
  </r>
  <r>
    <s v="Gill, Whitney  "/>
    <n v="10142"/>
    <n v="0"/>
    <n v="4"/>
    <n v="0"/>
    <n v="4"/>
    <n v="6"/>
    <n v="3"/>
    <n v="0"/>
    <n v="59370"/>
    <n v="1"/>
    <n v="3"/>
    <s v="Area Sales Manager"/>
    <s v="OH"/>
    <n v="43050"/>
    <d v="1971-07-10T00:00:00"/>
    <s v="F"/>
    <s v="Widowed"/>
    <s v="US Citizen"/>
    <s v="No"/>
    <s v="Black or African American"/>
    <d v="2014-07-07T00:00:00"/>
    <d v="2015-09-05T00:00:00"/>
    <x v="6"/>
    <s v="Terminated for Cause"/>
    <s v="Sales"/>
    <s v="John Smith"/>
    <n v="17"/>
    <s v="CareerBuilder"/>
    <s v="Fully Meets"/>
    <n v="3.97"/>
    <n v="4"/>
    <n v="0"/>
    <s v="1/15/2014"/>
    <n v="0"/>
    <n v="7"/>
    <s v="Normal"/>
    <s v="low Outlier"/>
    <n v="54"/>
    <n v="11"/>
    <n v="1"/>
    <s v="10+ Years"/>
    <s v="46-55"/>
    <s v="Mid (40-70K)"/>
    <n v="0"/>
    <n v="2014"/>
    <n v="7"/>
    <s v="Q3"/>
    <s v="Jul"/>
    <s v="2014-07"/>
    <n v="2015"/>
    <s v="Production       "/>
    <n v="20"/>
    <n v="4"/>
    <s v="Medium"/>
    <s v=""/>
    <n v="3.97"/>
    <s v="windowed"/>
  </r>
  <r>
    <s v="Gilles, Alex"/>
    <n v="10283"/>
    <n v="1"/>
    <n v="1"/>
    <n v="1"/>
    <n v="5"/>
    <n v="5"/>
    <n v="2"/>
    <n v="1"/>
    <n v="54933"/>
    <n v="1"/>
    <n v="19"/>
    <s v="Production Technician I"/>
    <s v="MA"/>
    <n v="2062"/>
    <d v="1974-08-09T00:00:00"/>
    <s v="M "/>
    <s v="Married"/>
    <s v="US Citizen"/>
    <s v="No"/>
    <s v="Black or African American"/>
    <d v="2012-04-02T00:00:00"/>
    <d v="2015-06-25T00:00:00"/>
    <x v="12"/>
    <s v="Voluntarily Terminated"/>
    <s v="Production       "/>
    <s v="Webster Butler"/>
    <n v="39"/>
    <s v="Diversity Job Fair"/>
    <s v="Needs Improvement"/>
    <n v="3.97"/>
    <n v="4"/>
    <n v="0"/>
    <s v="1/20/2015"/>
    <n v="3"/>
    <n v="15"/>
    <s v="Normal"/>
    <s v="low Outlier"/>
    <n v="51"/>
    <n v="13"/>
    <n v="3"/>
    <s v="10+ Years"/>
    <s v="46-55"/>
    <s v="Mid (40-70K)"/>
    <n v="0"/>
    <n v="2012"/>
    <n v="4"/>
    <s v="Q2"/>
    <s v="Apr"/>
    <s v="2012-04"/>
    <n v="2015"/>
    <s v="Production       "/>
    <n v="71.428571428571431"/>
    <n v="2"/>
    <s v="High"/>
    <s v=""/>
    <n v="3.97"/>
    <n v="8"/>
  </r>
  <r>
    <s v="Girifalco, Evelyn"/>
    <n v="10018"/>
    <n v="0"/>
    <n v="0"/>
    <n v="0"/>
    <n v="1"/>
    <n v="5"/>
    <n v="4"/>
    <n v="0"/>
    <n v="57815"/>
    <n v="0"/>
    <n v="19"/>
    <s v="Production Technician I"/>
    <s v="MA"/>
    <n v="2451"/>
    <d v="1980-05-08T00:00:00"/>
    <s v="F"/>
    <s v="Single"/>
    <s v="US Citizen"/>
    <s v="Yes"/>
    <s v="Two or more races"/>
    <d v="2014-09-29T00:00:00"/>
    <m/>
    <x v="0"/>
    <s v="Active"/>
    <s v="Production       "/>
    <s v="Amy Dunn"/>
    <n v="11"/>
    <s v="Indeed"/>
    <s v="Exceeds"/>
    <n v="3.9"/>
    <n v="4"/>
    <n v="0"/>
    <s v="2/7/2019"/>
    <n v="0"/>
    <n v="3"/>
    <s v="Normal"/>
    <s v="low Outlier"/>
    <n v="45"/>
    <n v="11"/>
    <n v="11"/>
    <s v="10+ Years"/>
    <s v="36-45"/>
    <s v="Mid (40-70K)"/>
    <n v="1"/>
    <n v="2014"/>
    <n v="9"/>
    <s v="Q3"/>
    <s v="Sep"/>
    <s v="2014-09"/>
    <s v="N/A"/>
    <s v="Production       "/>
    <n v="78.571428571428569"/>
    <n v="0"/>
    <s v="Medium"/>
    <n v="3.9"/>
    <s v=""/>
    <m/>
  </r>
  <r>
    <s v="Givens, Myriam"/>
    <n v="10255"/>
    <n v="0"/>
    <n v="0"/>
    <n v="0"/>
    <n v="1"/>
    <n v="6"/>
    <n v="3"/>
    <n v="0"/>
    <n v="61555"/>
    <n v="0"/>
    <n v="3"/>
    <s v="Area Sales Manager"/>
    <s v="IN"/>
    <n v="46204"/>
    <d v="1989-09-22T00:00:00"/>
    <s v="F"/>
    <s v="Single"/>
    <s v="US Citizen"/>
    <s v="No"/>
    <s v="White"/>
    <d v="2015-02-16T00:00:00"/>
    <m/>
    <x v="0"/>
    <s v="Active"/>
    <s v="Sales"/>
    <s v="Lynn Daneault"/>
    <n v="21"/>
    <s v="Indeed"/>
    <s v="Fully Meets"/>
    <n v="4.5"/>
    <n v="5"/>
    <n v="0"/>
    <s v="1/25/2019"/>
    <n v="0"/>
    <n v="20"/>
    <s v="Normal"/>
    <s v="low Outlier"/>
    <n v="36"/>
    <n v="11"/>
    <n v="11"/>
    <s v="10+ Years"/>
    <s v="36-45"/>
    <s v="Mid (40-70K)"/>
    <n v="1"/>
    <n v="2015"/>
    <n v="2"/>
    <s v="Q1"/>
    <s v="Feb"/>
    <s v="2015-02"/>
    <s v="N/A"/>
    <s v="Production       "/>
    <n v="0"/>
    <n v="0"/>
    <s v="Medium"/>
    <n v="4.5"/>
    <s v=""/>
    <s v="Marital Status by Department"/>
  </r>
  <r>
    <s v="Goble, Taisha"/>
    <n v="10246"/>
    <n v="0"/>
    <n v="0"/>
    <n v="0"/>
    <n v="4"/>
    <n v="3"/>
    <n v="3"/>
    <n v="0"/>
    <n v="114800"/>
    <n v="1"/>
    <n v="8"/>
    <s v="Database Administrator"/>
    <s v="MA"/>
    <n v="2127"/>
    <d v="1971-10-23T00:00:00"/>
    <s v="F"/>
    <s v="Single"/>
    <s v="US Citizen"/>
    <s v="No"/>
    <s v="White"/>
    <d v="2015-02-16T00:00:00"/>
    <d v="2015-03-15T00:00:00"/>
    <x v="13"/>
    <s v="Terminated for Cause"/>
    <s v="IT/IS"/>
    <s v="Simon Roup"/>
    <n v="4"/>
    <s v="Indeed"/>
    <s v="Fully Meets"/>
    <n v="4.5999999999999996"/>
    <n v="4"/>
    <n v="4"/>
    <s v="1/20/2015"/>
    <n v="0"/>
    <n v="10"/>
    <s v="Normal"/>
    <s v="low Outlier"/>
    <n v="54"/>
    <n v="11"/>
    <n v="0"/>
    <s v="10+ Years"/>
    <s v="46-55"/>
    <s v="Executive (100K+)"/>
    <n v="0"/>
    <n v="2015"/>
    <n v="2"/>
    <s v="Q1"/>
    <s v="Feb"/>
    <s v="2015-02"/>
    <n v="2015"/>
    <s v="Production       "/>
    <n v="45.454545454545453"/>
    <n v="3"/>
    <s v="Medium"/>
    <s v=""/>
    <n v="4.5999999999999996"/>
    <n v="10"/>
  </r>
  <r>
    <s v="Goeth, Amon"/>
    <n v="10228"/>
    <n v="1"/>
    <n v="1"/>
    <n v="1"/>
    <n v="1"/>
    <n v="3"/>
    <n v="3"/>
    <n v="0"/>
    <n v="74679"/>
    <n v="0"/>
    <n v="14"/>
    <s v="IT Support"/>
    <s v="MA"/>
    <n v="2135"/>
    <d v="1989-11-24T00:00:00"/>
    <s v="M "/>
    <s v="Married"/>
    <s v="US Citizen"/>
    <s v="Yes"/>
    <s v="White"/>
    <d v="2015-03-30T00:00:00"/>
    <m/>
    <x v="0"/>
    <s v="Active"/>
    <s v="IT/IS"/>
    <s v="Peter Monroe"/>
    <n v="7"/>
    <s v="LinkedIn"/>
    <s v="Fully Meets"/>
    <n v="4.3"/>
    <n v="5"/>
    <n v="7"/>
    <s v="1/10/2019"/>
    <n v="0"/>
    <n v="20"/>
    <s v="Normal"/>
    <s v="low Outlier"/>
    <n v="36"/>
    <n v="10"/>
    <n v="10"/>
    <s v="10+ Years"/>
    <s v="36-45"/>
    <s v="Senior (70-100K)"/>
    <n v="1"/>
    <n v="2015"/>
    <n v="3"/>
    <s v="Q1"/>
    <s v="Mar"/>
    <s v="2015-03"/>
    <s v="N/A"/>
    <s v="Production       "/>
    <n v="11.111111111111111"/>
    <n v="0"/>
    <s v="Medium"/>
    <n v="4.3"/>
    <s v=""/>
    <s v="IT/IS"/>
  </r>
  <r>
    <s v="Gold, Shenice  "/>
    <n v="10243"/>
    <n v="0"/>
    <n v="0"/>
    <n v="0"/>
    <n v="1"/>
    <n v="5"/>
    <n v="3"/>
    <n v="0"/>
    <n v="53018"/>
    <n v="0"/>
    <n v="19"/>
    <s v="Production Technician I"/>
    <s v="MA"/>
    <n v="2451"/>
    <d v="1992-06-18T00:00:00"/>
    <s v="F"/>
    <s v="Single"/>
    <s v="US Citizen"/>
    <s v="Yes"/>
    <s v="White"/>
    <d v="2013-11-11T00:00:00"/>
    <m/>
    <x v="0"/>
    <s v="Active"/>
    <s v="Production       "/>
    <s v="Ketsia Liebig"/>
    <n v="19"/>
    <s v="Indeed"/>
    <s v="Fully Meets"/>
    <n v="4.3"/>
    <n v="5"/>
    <n v="0"/>
    <s v="2/18/2019"/>
    <n v="0"/>
    <n v="7"/>
    <s v="Normal"/>
    <s v="low Outlier"/>
    <n v="33"/>
    <n v="12"/>
    <n v="12"/>
    <s v="10+ Years"/>
    <s v="26-35"/>
    <s v="Mid (40-70K)"/>
    <n v="1"/>
    <n v="2013"/>
    <n v="11"/>
    <s v="Q4"/>
    <s v="Nov"/>
    <s v="2013-11"/>
    <s v="N/A"/>
    <s v="Production       "/>
    <n v="28.571428571428569"/>
    <n v="0"/>
    <s v="Medium"/>
    <n v="4.3"/>
    <s v=""/>
    <n v="23"/>
  </r>
  <r>
    <s v="Gonzalez, Cayo"/>
    <n v="10031"/>
    <n v="0"/>
    <n v="2"/>
    <n v="1"/>
    <n v="1"/>
    <n v="5"/>
    <n v="4"/>
    <n v="1"/>
    <n v="59892"/>
    <n v="0"/>
    <n v="19"/>
    <s v="Production Technician I"/>
    <s v="MA"/>
    <n v="2108"/>
    <d v="1969-09-29T00:00:00"/>
    <s v="M "/>
    <s v="Divorced"/>
    <s v="US Citizen"/>
    <s v="No"/>
    <s v="Black or African American"/>
    <d v="2011-07-11T00:00:00"/>
    <m/>
    <x v="0"/>
    <s v="Active"/>
    <s v="Production       "/>
    <s v="Brannon Miller"/>
    <n v="12"/>
    <s v="Diversity Job Fair"/>
    <s v="Exceeds"/>
    <n v="4.5"/>
    <n v="4"/>
    <n v="0"/>
    <s v="2/18/2019"/>
    <n v="0"/>
    <n v="1"/>
    <s v="Normal"/>
    <s v="low Outlier"/>
    <n v="56"/>
    <n v="14"/>
    <n v="14"/>
    <s v="10+ Years"/>
    <s v="55+"/>
    <s v="Mid (40-70K)"/>
    <n v="1"/>
    <n v="2011"/>
    <n v="7"/>
    <s v="Q3"/>
    <s v="Jul"/>
    <s v="2011-07"/>
    <s v="N/A"/>
    <s v="Production       "/>
    <n v="33.333333333333329"/>
    <n v="0"/>
    <s v="Low"/>
    <n v="4.5"/>
    <s v=""/>
    <s v="Production"/>
  </r>
  <r>
    <s v="Gonzalez, Juan"/>
    <n v="10300"/>
    <n v="1"/>
    <n v="1"/>
    <n v="1"/>
    <n v="5"/>
    <n v="5"/>
    <n v="1"/>
    <n v="1"/>
    <n v="68898"/>
    <n v="1"/>
    <n v="20"/>
    <s v="Production Technician II"/>
    <s v="MA"/>
    <n v="2128"/>
    <d v="1964-10-12T00:00:00"/>
    <s v="M "/>
    <s v="Married"/>
    <s v="US Citizen"/>
    <s v="No"/>
    <s v="Black or African American"/>
    <d v="2010-04-26T00:00:00"/>
    <d v="2011-05-30T00:00:00"/>
    <x v="1"/>
    <s v="Voluntarily Terminated"/>
    <s v="Production       "/>
    <s v="Brannon Miller"/>
    <n v="12"/>
    <s v="Diversity Job Fair"/>
    <s v="PIP"/>
    <n v="3"/>
    <n v="3"/>
    <n v="0"/>
    <s v="3/6/2011"/>
    <n v="3"/>
    <n v="10"/>
    <s v="Normal"/>
    <s v="low Outlier"/>
    <n v="61"/>
    <n v="15"/>
    <n v="1"/>
    <s v="10+ Years"/>
    <s v="55+"/>
    <s v="Mid (40-70K)"/>
    <n v="0"/>
    <n v="2010"/>
    <n v="4"/>
    <s v="Q2"/>
    <s v="Apr"/>
    <s v="2010-04"/>
    <n v="2011"/>
    <s v="Production       "/>
    <n v="35.714285714285715"/>
    <n v="5"/>
    <s v="High"/>
    <s v=""/>
    <n v="3"/>
    <n v="81"/>
  </r>
  <r>
    <s v="Gonzalez, Maria"/>
    <n v="10101"/>
    <n v="0"/>
    <n v="3"/>
    <n v="0"/>
    <n v="1"/>
    <n v="3"/>
    <n v="3"/>
    <n v="0"/>
    <n v="61242"/>
    <n v="0"/>
    <n v="14"/>
    <s v="IT Support"/>
    <s v="MA"/>
    <n v="2472"/>
    <d v="1981-04-16T00:00:00"/>
    <s v="F"/>
    <s v="Separated"/>
    <s v="US Citizen"/>
    <s v="Yes"/>
    <s v="White"/>
    <d v="2015-01-05T00:00:00"/>
    <m/>
    <x v="0"/>
    <s v="Active"/>
    <s v="IT/IS"/>
    <s v="Peter Monroe"/>
    <n v="7"/>
    <s v="Employee Referral"/>
    <s v="Fully Meets"/>
    <n v="4.6100000000000003"/>
    <n v="4"/>
    <n v="5"/>
    <s v="1/28/2019"/>
    <n v="0"/>
    <n v="11"/>
    <s v="Normal"/>
    <s v="low Outlier"/>
    <n v="44"/>
    <n v="11"/>
    <n v="11"/>
    <s v="10+ Years"/>
    <s v="36-45"/>
    <s v="Mid (40-70K)"/>
    <n v="1"/>
    <n v="2015"/>
    <n v="1"/>
    <s v="Q1"/>
    <s v="Jan"/>
    <s v="2015-01"/>
    <s v="N/A"/>
    <s v="Production       "/>
    <n v="12.5"/>
    <n v="0"/>
    <s v="Medium"/>
    <n v="4.6100000000000003"/>
    <s v=""/>
    <s v="admin offices"/>
  </r>
  <r>
    <s v="Good, Susan"/>
    <n v="10237"/>
    <n v="1"/>
    <n v="1"/>
    <n v="0"/>
    <n v="3"/>
    <n v="5"/>
    <n v="3"/>
    <n v="0"/>
    <n v="66825"/>
    <n v="0"/>
    <n v="20"/>
    <s v="Production Technician II"/>
    <s v="MA"/>
    <n v="1886"/>
    <d v="1986-05-25T00:00:00"/>
    <s v="F"/>
    <s v="Married"/>
    <s v="US Citizen"/>
    <s v="No"/>
    <s v="White"/>
    <d v="2014-05-12T00:00:00"/>
    <m/>
    <x v="0"/>
    <s v="Active"/>
    <s v="Production       "/>
    <s v="David Stanley"/>
    <n v="14"/>
    <s v="LinkedIn"/>
    <s v="Fully Meets"/>
    <n v="4.5999999999999996"/>
    <n v="3"/>
    <n v="0"/>
    <s v="2/7/2019"/>
    <n v="0"/>
    <n v="20"/>
    <s v="Normal"/>
    <s v="low Outlier"/>
    <n v="39"/>
    <n v="11"/>
    <n v="11"/>
    <s v="10+ Years"/>
    <s v="36-45"/>
    <s v="Mid (40-70K)"/>
    <n v="1"/>
    <n v="2014"/>
    <n v="5"/>
    <s v="Q2"/>
    <s v="May"/>
    <s v="2014-05"/>
    <s v="N/A"/>
    <s v="Production       "/>
    <n v="20"/>
    <n v="0"/>
    <s v="Medium"/>
    <n v="4.5999999999999996"/>
    <s v=""/>
    <n v="6"/>
  </r>
  <r>
    <s v="Gordon, David"/>
    <n v="10051"/>
    <n v="1"/>
    <n v="1"/>
    <n v="1"/>
    <n v="1"/>
    <n v="5"/>
    <n v="3"/>
    <n v="0"/>
    <n v="48285"/>
    <n v="0"/>
    <n v="19"/>
    <s v="Production Technician I"/>
    <s v="MA"/>
    <n v="2169"/>
    <d v="1979-05-21T00:00:00"/>
    <s v="M "/>
    <s v="Married"/>
    <s v="US Citizen"/>
    <s v="No"/>
    <s v="White"/>
    <d v="2012-07-02T00:00:00"/>
    <m/>
    <x v="0"/>
    <s v="Active"/>
    <s v="Production       "/>
    <s v="David Stanley"/>
    <n v="14"/>
    <s v="LinkedIn"/>
    <s v="Fully Meets"/>
    <n v="5"/>
    <n v="3"/>
    <n v="0"/>
    <s v="1/14/2019"/>
    <n v="0"/>
    <n v="2"/>
    <s v="Normal"/>
    <s v="low Outlier"/>
    <n v="46"/>
    <n v="13"/>
    <n v="13"/>
    <s v="10+ Years"/>
    <s v="46-55"/>
    <s v="Mid (40-70K)"/>
    <n v="1"/>
    <n v="2012"/>
    <n v="7"/>
    <s v="Q3"/>
    <s v="Jul"/>
    <s v="2012-07"/>
    <s v="N/A"/>
    <s v="Production       "/>
    <n v="21.428571428571427"/>
    <n v="0"/>
    <s v="Medium"/>
    <n v="5"/>
    <s v=""/>
    <s v="executive"/>
  </r>
  <r>
    <s v="Gosciminski, Phylicia  "/>
    <n v="10218"/>
    <n v="0"/>
    <n v="3"/>
    <n v="0"/>
    <n v="3"/>
    <n v="5"/>
    <n v="3"/>
    <n v="0"/>
    <n v="66149"/>
    <n v="0"/>
    <n v="20"/>
    <s v="Production Technician II"/>
    <s v="MA"/>
    <n v="1824"/>
    <d v="1983-12-08T00:00:00"/>
    <s v="F"/>
    <s v="Separated"/>
    <s v="US Citizen"/>
    <s v="No"/>
    <s v="American Indian or Alaska Native"/>
    <d v="2013-09-30T00:00:00"/>
    <m/>
    <x v="0"/>
    <s v="Active"/>
    <s v="Production       "/>
    <s v="Kissy Sullivan"/>
    <n v="20"/>
    <s v="Google Search"/>
    <s v="Fully Meets"/>
    <n v="4.4000000000000004"/>
    <n v="5"/>
    <n v="0"/>
    <s v="2/21/2019"/>
    <n v="0"/>
    <n v="1"/>
    <s v="Normal"/>
    <s v="low Outlier"/>
    <n v="42"/>
    <n v="12"/>
    <n v="12"/>
    <s v="10+ Years"/>
    <s v="36-45"/>
    <s v="Mid (40-70K)"/>
    <n v="1"/>
    <n v="2013"/>
    <n v="9"/>
    <s v="Q3"/>
    <s v="Sep"/>
    <s v="2013-09"/>
    <s v="N/A"/>
    <s v="Production       "/>
    <n v="50"/>
    <n v="0"/>
    <s v="Medium"/>
    <n v="4.4000000000000004"/>
    <s v=""/>
    <n v="1"/>
  </r>
  <r>
    <s v="Goyal, Roxana"/>
    <n v="10256"/>
    <n v="1"/>
    <n v="1"/>
    <n v="0"/>
    <n v="3"/>
    <n v="5"/>
    <n v="3"/>
    <n v="0"/>
    <n v="49256"/>
    <n v="0"/>
    <n v="19"/>
    <s v="Production Technician I"/>
    <s v="MA"/>
    <n v="1864"/>
    <d v="1974-10-09T00:00:00"/>
    <s v="F"/>
    <s v="Married"/>
    <s v="US Citizen"/>
    <s v="No"/>
    <s v="Asian"/>
    <d v="2013-08-19T00:00:00"/>
    <m/>
    <x v="0"/>
    <s v="Active"/>
    <s v="Production       "/>
    <s v="Kissy Sullivan"/>
    <n v="20"/>
    <s v="LinkedIn"/>
    <s v="Fully Meets"/>
    <n v="4.0999999999999996"/>
    <n v="5"/>
    <n v="0"/>
    <s v="2/15/2019"/>
    <n v="0"/>
    <n v="3"/>
    <s v="Normal"/>
    <s v="low Outlier"/>
    <n v="51"/>
    <n v="12"/>
    <n v="12"/>
    <s v="10+ Years"/>
    <s v="46-55"/>
    <s v="Mid (40-70K)"/>
    <n v="1"/>
    <n v="2013"/>
    <n v="8"/>
    <s v="Q3"/>
    <s v="Aug"/>
    <s v="2013-08"/>
    <s v="N/A"/>
    <s v="Production       "/>
    <n v="53.333333333333336"/>
    <n v="0"/>
    <s v="Medium"/>
    <n v="4.0999999999999996"/>
    <s v=""/>
    <s v="Married"/>
  </r>
  <r>
    <s v="Gray, Elijiah  "/>
    <n v="10098"/>
    <n v="0"/>
    <n v="2"/>
    <n v="1"/>
    <n v="1"/>
    <n v="5"/>
    <n v="3"/>
    <n v="0"/>
    <n v="62957"/>
    <n v="0"/>
    <n v="18"/>
    <s v="Production Manager"/>
    <s v="MA"/>
    <n v="1752"/>
    <d v="1981-07-11T00:00:00"/>
    <s v="M "/>
    <s v="Divorced"/>
    <s v="US Citizen"/>
    <s v="No"/>
    <s v="White"/>
    <d v="2015-06-02T00:00:00"/>
    <m/>
    <x v="0"/>
    <s v="Active"/>
    <s v="Production       "/>
    <s v="Janet King"/>
    <n v="2"/>
    <s v="Employee Referral"/>
    <s v="Fully Meets"/>
    <n v="4.63"/>
    <n v="3"/>
    <n v="0"/>
    <s v="1/4/2019"/>
    <n v="0"/>
    <n v="2"/>
    <s v="Normal"/>
    <s v="low Outlier"/>
    <n v="44"/>
    <n v="10"/>
    <n v="10"/>
    <s v="10+ Years"/>
    <s v="36-45"/>
    <s v="Mid (40-70K)"/>
    <n v="1"/>
    <n v="2015"/>
    <n v="6"/>
    <s v="Q2"/>
    <s v="Jun"/>
    <s v="2015-06"/>
    <s v="N/A"/>
    <s v="Production       "/>
    <n v="35.714285714285715"/>
    <n v="0"/>
    <s v="Medium"/>
    <n v="4.63"/>
    <s v=""/>
    <n v="2.935483870967742"/>
  </r>
  <r>
    <s v="Gross, Paula"/>
    <n v="10059"/>
    <n v="0"/>
    <n v="2"/>
    <n v="0"/>
    <n v="5"/>
    <n v="5"/>
    <n v="3"/>
    <n v="0"/>
    <n v="63813"/>
    <n v="1"/>
    <n v="19"/>
    <s v="Production Technician I"/>
    <s v="MA"/>
    <n v="2176"/>
    <d v="1983-05-21T00:00:00"/>
    <s v="F"/>
    <s v="Divorced"/>
    <s v="US Citizen"/>
    <s v="No"/>
    <s v="White"/>
    <d v="2011-02-21T00:00:00"/>
    <d v="2014-01-11T00:00:00"/>
    <x v="11"/>
    <s v="Voluntarily Terminated"/>
    <s v="Production       "/>
    <s v="Kelley Spirea"/>
    <n v="18"/>
    <s v="CareerBuilder"/>
    <s v="Fully Meets"/>
    <n v="5"/>
    <n v="5"/>
    <n v="0"/>
    <s v="6/3/2013"/>
    <n v="0"/>
    <n v="17"/>
    <s v="Normal"/>
    <s v="low Outlier"/>
    <n v="42"/>
    <n v="15"/>
    <n v="2"/>
    <s v="10+ Years"/>
    <s v="36-45"/>
    <s v="Mid (40-70K)"/>
    <n v="0"/>
    <n v="2011"/>
    <n v="2"/>
    <s v="Q1"/>
    <s v="Feb"/>
    <s v="2011-02"/>
    <n v="2014"/>
    <s v="Production       "/>
    <n v="30.76923076923077"/>
    <n v="10"/>
    <s v="Medium"/>
    <s v=""/>
    <n v="5"/>
    <s v="single"/>
  </r>
  <r>
    <s v="Gruber, Hans"/>
    <n v="10234"/>
    <n v="1"/>
    <n v="1"/>
    <n v="1"/>
    <n v="1"/>
    <n v="3"/>
    <n v="3"/>
    <n v="0"/>
    <n v="99020"/>
    <n v="0"/>
    <n v="4"/>
    <s v="BI Developer"/>
    <s v="MA"/>
    <n v="2134"/>
    <d v="1989-06-30T00:00:00"/>
    <s v="M "/>
    <s v="Married"/>
    <s v="US Citizen"/>
    <s v="No"/>
    <s v="Black or African American"/>
    <d v="2017-04-20T00:00:00"/>
    <m/>
    <x v="0"/>
    <s v="Active"/>
    <s v="IT/IS"/>
    <s v="Brian Champaigne"/>
    <n v="13"/>
    <s v="Indeed"/>
    <s v="Fully Meets"/>
    <n v="4.2"/>
    <n v="5"/>
    <n v="5"/>
    <s v="1/28/2019"/>
    <n v="0"/>
    <n v="8"/>
    <s v="Normal"/>
    <s v="low Outlier"/>
    <n v="36"/>
    <n v="8"/>
    <n v="8"/>
    <s v="5-10 Years"/>
    <s v="36-45"/>
    <s v="Senior (70-100K)"/>
    <n v="1"/>
    <n v="2017"/>
    <n v="4"/>
    <s v="Q2"/>
    <s v="Apr"/>
    <s v="2017-04"/>
    <s v="N/A"/>
    <s v="Production       "/>
    <n v="0"/>
    <n v="0"/>
    <s v="Medium"/>
    <n v="4.2"/>
    <s v=""/>
    <n v="2.9781021897810218"/>
  </r>
  <r>
    <s v="Guilianno, Mike"/>
    <n v="10109"/>
    <n v="0"/>
    <n v="0"/>
    <n v="1"/>
    <n v="5"/>
    <n v="6"/>
    <n v="3"/>
    <n v="0"/>
    <n v="71707"/>
    <n v="1"/>
    <n v="3"/>
    <s v="Area Sales Manager"/>
    <s v="TN"/>
    <n v="37129"/>
    <d v="1969-02-09T00:00:00"/>
    <s v="M "/>
    <s v="Single"/>
    <s v="US Citizen"/>
    <s v="No"/>
    <s v="Two or more races"/>
    <d v="2012-03-07T00:00:00"/>
    <d v="2014-10-31T00:00:00"/>
    <x v="10"/>
    <s v="Voluntarily Terminated"/>
    <s v="Sales"/>
    <s v="John Smith"/>
    <n v="17"/>
    <s v="LinkedIn"/>
    <s v="Fully Meets"/>
    <n v="4.5"/>
    <n v="5"/>
    <n v="0"/>
    <s v="2/1/2013"/>
    <n v="0"/>
    <n v="20"/>
    <s v="Normal"/>
    <s v="low Outlier"/>
    <n v="57"/>
    <n v="14"/>
    <n v="2"/>
    <s v="10+ Years"/>
    <s v="55+"/>
    <s v="Senior (70-100K)"/>
    <n v="0"/>
    <n v="2012"/>
    <n v="3"/>
    <s v="Q1"/>
    <s v="Mar"/>
    <s v="2012-03"/>
    <n v="2014"/>
    <s v="Production       "/>
    <n v="11.111111111111111"/>
    <n v="4"/>
    <s v="Medium"/>
    <s v=""/>
    <n v="4.5"/>
    <m/>
  </r>
  <r>
    <s v="Handschiegl, Joanne"/>
    <n v="10125"/>
    <n v="1"/>
    <n v="1"/>
    <n v="0"/>
    <n v="1"/>
    <n v="5"/>
    <n v="3"/>
    <n v="0"/>
    <n v="54828"/>
    <n v="0"/>
    <n v="19"/>
    <s v="Production Technician I"/>
    <s v="MA"/>
    <n v="2127"/>
    <d v="1977-03-23T00:00:00"/>
    <s v="F"/>
    <s v="Married"/>
    <s v="US Citizen"/>
    <s v="No"/>
    <s v="White"/>
    <d v="2011-11-28T00:00:00"/>
    <m/>
    <x v="0"/>
    <s v="Active"/>
    <s v="Production       "/>
    <s v="Michael Albert"/>
    <n v="22"/>
    <s v="Google Search"/>
    <s v="Fully Meets"/>
    <n v="4.2"/>
    <n v="4"/>
    <n v="0"/>
    <s v="2/22/2019"/>
    <n v="0"/>
    <n v="13"/>
    <s v="Normal"/>
    <s v="low Outlier"/>
    <n v="49"/>
    <n v="14"/>
    <n v="14"/>
    <s v="10+ Years"/>
    <s v="46-55"/>
    <s v="Mid (40-70K)"/>
    <n v="1"/>
    <n v="2011"/>
    <n v="11"/>
    <s v="Q4"/>
    <s v="Nov"/>
    <s v="2011-11"/>
    <s v="N/A"/>
    <s v="Production       "/>
    <n v="50"/>
    <n v="0"/>
    <s v="Medium"/>
    <n v="4.2"/>
    <s v=""/>
    <m/>
  </r>
  <r>
    <s v="Hankard, Earnest"/>
    <n v="10074"/>
    <n v="0"/>
    <n v="0"/>
    <n v="1"/>
    <n v="1"/>
    <n v="5"/>
    <n v="3"/>
    <n v="0"/>
    <n v="64246"/>
    <n v="0"/>
    <n v="20"/>
    <s v="Production Technician II"/>
    <s v="MA"/>
    <n v="2155"/>
    <d v="1988-08-10T00:00:00"/>
    <s v="M "/>
    <s v="Single"/>
    <s v="US Citizen"/>
    <s v="Yes"/>
    <s v="White"/>
    <d v="2013-11-11T00:00:00"/>
    <m/>
    <x v="0"/>
    <s v="Active"/>
    <s v="Production       "/>
    <s v="Kelley Spirea"/>
    <n v="18"/>
    <s v="LinkedIn"/>
    <s v="Fully Meets"/>
    <n v="5"/>
    <n v="3"/>
    <n v="0"/>
    <s v="1/8/2019"/>
    <n v="0"/>
    <n v="20"/>
    <s v="Normal"/>
    <s v="low Outlier"/>
    <n v="37"/>
    <n v="12"/>
    <n v="12"/>
    <s v="10+ Years"/>
    <s v="36-45"/>
    <s v="Mid (40-70K)"/>
    <n v="1"/>
    <n v="2013"/>
    <n v="11"/>
    <s v="Q4"/>
    <s v="Nov"/>
    <s v="2013-11"/>
    <s v="N/A"/>
    <s v="Production       "/>
    <n v="25"/>
    <n v="0"/>
    <s v="Medium"/>
    <n v="5"/>
    <s v=""/>
    <m/>
  </r>
  <r>
    <s v="Harrington, Christie "/>
    <n v="10097"/>
    <n v="0"/>
    <n v="0"/>
    <n v="0"/>
    <n v="5"/>
    <n v="5"/>
    <n v="3"/>
    <n v="0"/>
    <n v="52177"/>
    <n v="1"/>
    <n v="19"/>
    <s v="Production Technician I"/>
    <s v="MA"/>
    <n v="2324"/>
    <d v="1952-08-18T00:00:00"/>
    <s v="F"/>
    <s v="Single"/>
    <s v="US Citizen"/>
    <s v="No"/>
    <s v="White"/>
    <d v="2012-01-09T00:00:00"/>
    <d v="2015-12-15T00:00:00"/>
    <x v="9"/>
    <s v="Voluntarily Terminated"/>
    <s v="Production       "/>
    <s v="Webster Butler"/>
    <n v="39"/>
    <s v="CareerBuilder"/>
    <s v="Fully Meets"/>
    <n v="4.6399999999999997"/>
    <n v="4"/>
    <n v="0"/>
    <s v="5/2/2015"/>
    <n v="0"/>
    <n v="8"/>
    <s v="Normal"/>
    <s v="low Outlier"/>
    <n v="73"/>
    <n v="14"/>
    <n v="3"/>
    <s v="10+ Years"/>
    <s v="55+"/>
    <s v="Mid (40-70K)"/>
    <n v="0"/>
    <n v="2012"/>
    <n v="1"/>
    <s v="Q1"/>
    <s v="Jan"/>
    <s v="2012-01"/>
    <n v="2015"/>
    <s v="Production       "/>
    <n v="69.230769230769226"/>
    <n v="3"/>
    <s v="Medium"/>
    <s v=""/>
    <n v="4.6399999999999997"/>
    <m/>
  </r>
  <r>
    <s v="Harrison, Kara"/>
    <n v="10007"/>
    <n v="1"/>
    <n v="1"/>
    <n v="0"/>
    <n v="1"/>
    <n v="5"/>
    <n v="4"/>
    <n v="0"/>
    <n v="62065"/>
    <n v="0"/>
    <n v="19"/>
    <s v="Production Technician I"/>
    <s v="MA"/>
    <n v="1886"/>
    <d v="1974-05-02T00:00:00"/>
    <s v="F"/>
    <s v="Married"/>
    <s v="US Citizen"/>
    <s v="No"/>
    <s v="White"/>
    <d v="2014-05-12T00:00:00"/>
    <m/>
    <x v="0"/>
    <s v="Active"/>
    <s v="Production       "/>
    <s v="Amy Dunn"/>
    <n v="11"/>
    <s v="CareerBuilder"/>
    <s v="Exceeds"/>
    <n v="4.76"/>
    <n v="4"/>
    <n v="0"/>
    <s v="2/15/2019"/>
    <n v="0"/>
    <n v="5"/>
    <s v="Normal"/>
    <s v="low Outlier"/>
    <n v="51"/>
    <n v="11"/>
    <n v="11"/>
    <s v="10+ Years"/>
    <s v="46-55"/>
    <s v="Mid (40-70K)"/>
    <n v="1"/>
    <n v="2014"/>
    <n v="5"/>
    <s v="Q2"/>
    <s v="May"/>
    <s v="2014-05"/>
    <s v="N/A"/>
    <s v="Production       "/>
    <n v="84.615384615384613"/>
    <n v="0"/>
    <s v="Low"/>
    <n v="4.76"/>
    <s v=""/>
    <m/>
  </r>
  <r>
    <s v="Heitzman, Anthony"/>
    <n v="10129"/>
    <n v="0"/>
    <n v="0"/>
    <n v="1"/>
    <n v="1"/>
    <n v="5"/>
    <n v="3"/>
    <n v="0"/>
    <n v="46998"/>
    <n v="0"/>
    <n v="19"/>
    <s v="Production Technician I"/>
    <s v="MA"/>
    <n v="2149"/>
    <d v="1984-01-04T00:00:00"/>
    <s v="M "/>
    <s v="Single"/>
    <s v="US Citizen"/>
    <s v="No"/>
    <s v="White"/>
    <d v="2012-08-13T00:00:00"/>
    <m/>
    <x v="0"/>
    <s v="Active"/>
    <s v="Production       "/>
    <s v="Ketsia Liebig"/>
    <n v="19"/>
    <s v="Google Search"/>
    <s v="Fully Meets"/>
    <n v="4.17"/>
    <n v="4"/>
    <n v="0"/>
    <s v="2/11/2019"/>
    <n v="0"/>
    <n v="1"/>
    <s v="Normal"/>
    <s v="low Outlier"/>
    <n v="42"/>
    <n v="13"/>
    <n v="13"/>
    <s v="10+ Years"/>
    <s v="36-45"/>
    <s v="Mid (40-70K)"/>
    <n v="1"/>
    <n v="2012"/>
    <n v="8"/>
    <s v="Q3"/>
    <s v="Aug"/>
    <s v="2012-08"/>
    <s v="N/A"/>
    <s v="Production       "/>
    <n v="30.76923076923077"/>
    <n v="0"/>
    <s v="Medium"/>
    <n v="4.17"/>
    <s v=""/>
    <m/>
  </r>
  <r>
    <s v="Hendrickson, Trina"/>
    <n v="10075"/>
    <n v="0"/>
    <n v="0"/>
    <n v="0"/>
    <n v="5"/>
    <n v="5"/>
    <n v="3"/>
    <n v="0"/>
    <n v="68099"/>
    <n v="1"/>
    <n v="20"/>
    <s v="Production Technician II"/>
    <s v="MA"/>
    <n v="2021"/>
    <d v="1972-08-27T00:00:00"/>
    <s v="F"/>
    <s v="Single"/>
    <s v="US Citizen"/>
    <s v="No"/>
    <s v="White"/>
    <d v="2011-01-10T00:00:00"/>
    <d v="2013-06-18T00:00:00"/>
    <x v="2"/>
    <s v="Voluntarily Terminated"/>
    <s v="Production       "/>
    <s v="Kelley Spirea"/>
    <n v="18"/>
    <s v="CareerBuilder"/>
    <s v="Fully Meets"/>
    <n v="5"/>
    <n v="3"/>
    <n v="0"/>
    <s v="1/30/2013"/>
    <n v="0"/>
    <n v="15"/>
    <s v="Normal"/>
    <s v="low Outlier"/>
    <n v="53"/>
    <n v="15"/>
    <n v="2"/>
    <s v="10+ Years"/>
    <s v="46-55"/>
    <s v="Mid (40-70K)"/>
    <n v="0"/>
    <n v="2011"/>
    <n v="1"/>
    <s v="Q1"/>
    <s v="Jan"/>
    <s v="2011-01"/>
    <n v="2013"/>
    <s v="Production       "/>
    <n v="27.27272727272727"/>
    <n v="5"/>
    <s v="Medium"/>
    <s v=""/>
    <n v="5"/>
    <m/>
  </r>
  <r>
    <s v="Hitchcock, Alfred"/>
    <n v="10167"/>
    <n v="1"/>
    <n v="1"/>
    <n v="1"/>
    <n v="1"/>
    <n v="6"/>
    <n v="3"/>
    <n v="0"/>
    <n v="70545"/>
    <n v="0"/>
    <n v="3"/>
    <s v="Area Sales Manager"/>
    <s v="NH"/>
    <n v="3062"/>
    <d v="1988-09-14T00:00:00"/>
    <s v="M "/>
    <s v="Married"/>
    <s v="US Citizen"/>
    <s v="No"/>
    <s v="American Indian or Alaska Native"/>
    <d v="2014-08-18T00:00:00"/>
    <m/>
    <x v="0"/>
    <s v="Active"/>
    <s v="Sales"/>
    <s v="John Smith"/>
    <n v="17"/>
    <s v="Indeed"/>
    <s v="Fully Meets"/>
    <n v="3.6"/>
    <n v="5"/>
    <n v="0"/>
    <s v="1/30/2019"/>
    <n v="0"/>
    <n v="9"/>
    <s v="Normal"/>
    <s v="low Outlier"/>
    <n v="37"/>
    <n v="11"/>
    <n v="11"/>
    <s v="10+ Years"/>
    <s v="36-45"/>
    <s v="Senior (70-100K)"/>
    <n v="1"/>
    <n v="2014"/>
    <n v="8"/>
    <s v="Q3"/>
    <s v="Aug"/>
    <s v="2014-08"/>
    <s v="N/A"/>
    <s v="Production       "/>
    <n v="0"/>
    <n v="0"/>
    <s v="Medium"/>
    <n v="3.6"/>
    <s v=""/>
    <m/>
  </r>
  <r>
    <s v="Homberger, Adrienne  J"/>
    <n v="10195"/>
    <n v="1"/>
    <n v="1"/>
    <n v="0"/>
    <n v="5"/>
    <n v="5"/>
    <n v="3"/>
    <n v="0"/>
    <n v="63478"/>
    <n v="1"/>
    <n v="20"/>
    <s v="Production Technician II"/>
    <s v="MA"/>
    <n v="2445"/>
    <d v="1984-02-16T00:00:00"/>
    <s v="F"/>
    <s v="Married"/>
    <s v="Non-Citizen"/>
    <s v="No"/>
    <s v="White"/>
    <d v="2011-08-15T00:00:00"/>
    <d v="2012-04-07T00:00:00"/>
    <x v="10"/>
    <s v="Voluntarily Terminated"/>
    <s v="Production       "/>
    <s v="Michael Albert"/>
    <n v="30"/>
    <s v="Indeed"/>
    <s v="Fully Meets"/>
    <n v="3.03"/>
    <n v="5"/>
    <n v="0"/>
    <s v="3/5/2012"/>
    <n v="0"/>
    <n v="16"/>
    <s v="Normal"/>
    <s v="low Outlier"/>
    <n v="42"/>
    <n v="14"/>
    <n v="0"/>
    <s v="10+ Years"/>
    <s v="36-45"/>
    <s v="Mid (40-70K)"/>
    <n v="0"/>
    <n v="2011"/>
    <n v="8"/>
    <s v="Q3"/>
    <s v="Aug"/>
    <s v="2011-08"/>
    <n v="2012"/>
    <s v="Production       "/>
    <n v="53.846153846153847"/>
    <n v="3"/>
    <s v="Medium"/>
    <s v=""/>
    <n v="3.03"/>
    <m/>
  </r>
  <r>
    <s v="Horton, Jayne"/>
    <n v="10112"/>
    <n v="0"/>
    <n v="0"/>
    <n v="0"/>
    <n v="1"/>
    <n v="3"/>
    <n v="3"/>
    <n v="0"/>
    <n v="97999"/>
    <n v="0"/>
    <n v="8"/>
    <s v="Database Administrator"/>
    <s v="MA"/>
    <n v="2493"/>
    <d v="1984-02-21T00:00:00"/>
    <s v="F"/>
    <s v="Single"/>
    <s v="US Citizen"/>
    <s v="No"/>
    <s v="White"/>
    <d v="2015-03-30T00:00:00"/>
    <m/>
    <x v="0"/>
    <s v="Active"/>
    <s v="IT/IS"/>
    <s v="Simon Roup"/>
    <n v="4"/>
    <s v="Indeed"/>
    <s v="Fully Meets"/>
    <n v="4.4800000000000004"/>
    <n v="5"/>
    <n v="6"/>
    <s v="1/3/2019"/>
    <n v="0"/>
    <n v="4"/>
    <s v="Normal"/>
    <s v="low Outlier"/>
    <n v="42"/>
    <n v="10"/>
    <n v="10"/>
    <s v="10+ Years"/>
    <s v="36-45"/>
    <s v="Senior (70-100K)"/>
    <n v="1"/>
    <n v="2015"/>
    <n v="3"/>
    <s v="Q1"/>
    <s v="Mar"/>
    <s v="2015-03"/>
    <s v="N/A"/>
    <s v="Production       "/>
    <n v="40"/>
    <n v="0"/>
    <s v="Medium"/>
    <n v="4.4800000000000004"/>
    <s v=""/>
    <m/>
  </r>
  <r>
    <s v="Houlihan, Debra"/>
    <n v="10272"/>
    <n v="1"/>
    <n v="1"/>
    <n v="0"/>
    <n v="1"/>
    <n v="6"/>
    <n v="3"/>
    <n v="0"/>
    <n v="180000"/>
    <n v="0"/>
    <n v="11"/>
    <s v="Director of Sales"/>
    <s v="RI"/>
    <n v="2908"/>
    <d v="1966-03-17T00:00:00"/>
    <s v="F"/>
    <s v="Married"/>
    <s v="US Citizen"/>
    <s v="No"/>
    <s v="White"/>
    <d v="2014-05-05T00:00:00"/>
    <m/>
    <x v="0"/>
    <s v="Active"/>
    <s v="Sales"/>
    <s v="Janet King"/>
    <n v="2"/>
    <s v="LinkedIn"/>
    <s v="Fully Meets"/>
    <n v="4.5"/>
    <n v="4"/>
    <n v="0"/>
    <s v="1/21/2019"/>
    <n v="0"/>
    <n v="19"/>
    <s v=" high Outlier"/>
    <s v="low Outlier"/>
    <n v="60"/>
    <n v="11"/>
    <n v="11"/>
    <s v="10+ Years"/>
    <s v="55+"/>
    <s v="Executive (100K+)"/>
    <n v="1"/>
    <n v="2014"/>
    <n v="5"/>
    <s v="Q2"/>
    <s v="May"/>
    <s v="2014-05"/>
    <s v="N/A"/>
    <s v="Production       "/>
    <n v="38.461538461538467"/>
    <n v="0"/>
    <s v="Medium"/>
    <n v="4.5"/>
    <s v=""/>
    <m/>
  </r>
  <r>
    <s v="Howard, Estelle"/>
    <n v="10182"/>
    <n v="1"/>
    <n v="1"/>
    <n v="0"/>
    <n v="1"/>
    <n v="1"/>
    <n v="3"/>
    <n v="0"/>
    <n v="49920"/>
    <n v="1"/>
    <n v="2"/>
    <s v="Administrative Assistant"/>
    <s v="MA"/>
    <n v="2170"/>
    <d v="1985-09-16T00:00:00"/>
    <s v="F"/>
    <s v="Married"/>
    <s v="US Citizen"/>
    <s v="No"/>
    <s v="Black or African American"/>
    <d v="2015-02-16T00:00:00"/>
    <d v="2015-04-15T00:00:00"/>
    <x v="13"/>
    <s v="Terminated for Cause"/>
    <s v="Admin Offices"/>
    <s v="Brandon R. LeBlanc"/>
    <n v="1"/>
    <s v="Indeed"/>
    <s v="Fully Meets"/>
    <n v="3.24"/>
    <n v="3"/>
    <n v="4"/>
    <s v="4/15/2015"/>
    <n v="0"/>
    <n v="6"/>
    <s v="Normal"/>
    <s v="low Outlier"/>
    <n v="40"/>
    <n v="11"/>
    <n v="0"/>
    <s v="10+ Years"/>
    <s v="36-45"/>
    <s v="Mid (40-70K)"/>
    <n v="0"/>
    <n v="2015"/>
    <n v="2"/>
    <s v="Q1"/>
    <s v="Feb"/>
    <s v="2015-02"/>
    <n v="2015"/>
    <s v="Production       "/>
    <n v="40"/>
    <n v="2"/>
    <s v="Medium"/>
    <s v=""/>
    <n v="3.24"/>
    <m/>
  </r>
  <r>
    <s v="Hudson, Jane"/>
    <n v="10248"/>
    <n v="0"/>
    <n v="0"/>
    <n v="0"/>
    <n v="1"/>
    <n v="5"/>
    <n v="3"/>
    <n v="0"/>
    <n v="55425"/>
    <n v="0"/>
    <n v="19"/>
    <s v="Production Technician I"/>
    <s v="MA"/>
    <n v="2176"/>
    <d v="1986-06-10T00:00:00"/>
    <s v="F"/>
    <s v="Single"/>
    <s v="US Citizen"/>
    <s v="No"/>
    <s v="White"/>
    <d v="2012-02-20T00:00:00"/>
    <m/>
    <x v="0"/>
    <s v="Active"/>
    <s v="Production       "/>
    <s v="Ketsia Liebig"/>
    <n v="19"/>
    <s v="LinkedIn"/>
    <s v="Fully Meets"/>
    <n v="4.8"/>
    <n v="4"/>
    <n v="0"/>
    <s v="1/7/2019"/>
    <n v="0"/>
    <n v="4"/>
    <s v="Normal"/>
    <s v="low Outlier"/>
    <n v="39"/>
    <n v="14"/>
    <n v="14"/>
    <s v="10+ Years"/>
    <s v="36-45"/>
    <s v="Mid (40-70K)"/>
    <n v="1"/>
    <n v="2012"/>
    <n v="2"/>
    <s v="Q1"/>
    <s v="Feb"/>
    <s v="2012-02"/>
    <s v="N/A"/>
    <s v="Production       "/>
    <n v="33.333333333333329"/>
    <n v="0"/>
    <s v="Medium"/>
    <n v="4.8"/>
    <s v=""/>
    <m/>
  </r>
  <r>
    <s v="Hunts, Julissa"/>
    <n v="10201"/>
    <n v="0"/>
    <n v="0"/>
    <n v="0"/>
    <n v="2"/>
    <n v="5"/>
    <n v="3"/>
    <n v="0"/>
    <n v="69340"/>
    <n v="0"/>
    <n v="20"/>
    <s v="Production Technician II"/>
    <s v="MA"/>
    <n v="2021"/>
    <d v="1984-03-11T00:00:00"/>
    <s v="F"/>
    <s v="Single"/>
    <s v="US Citizen"/>
    <s v="No"/>
    <s v="White"/>
    <d v="2016-06-06T00:00:00"/>
    <m/>
    <x v="0"/>
    <s v="Active"/>
    <s v="Production       "/>
    <s v="Elijiah Gray"/>
    <n v="16"/>
    <s v="LinkedIn"/>
    <s v="Fully Meets"/>
    <n v="3"/>
    <n v="5"/>
    <n v="0"/>
    <s v="1/18/2019"/>
    <n v="0"/>
    <n v="4"/>
    <s v="Normal"/>
    <s v="low Outlier"/>
    <n v="42"/>
    <n v="9"/>
    <n v="9"/>
    <s v="5-10 Years"/>
    <s v="36-45"/>
    <s v="Mid (40-70K)"/>
    <n v="1"/>
    <n v="2016"/>
    <n v="6"/>
    <s v="Q2"/>
    <s v="Jun"/>
    <s v="2016-06"/>
    <s v="N/A"/>
    <s v="Production       "/>
    <n v="35.714285714285715"/>
    <n v="0"/>
    <s v="Medium"/>
    <n v="3"/>
    <s v=""/>
    <m/>
  </r>
  <r>
    <s v="Hutter, Rosalie"/>
    <n v="10214"/>
    <n v="0"/>
    <n v="3"/>
    <n v="0"/>
    <n v="2"/>
    <n v="5"/>
    <n v="3"/>
    <n v="0"/>
    <n v="64995"/>
    <n v="0"/>
    <n v="20"/>
    <s v="Production Technician II"/>
    <s v="MA"/>
    <n v="2351"/>
    <d v="1992-05-07T00:00:00"/>
    <s v="F"/>
    <s v="Separated"/>
    <s v="US Citizen"/>
    <s v="No"/>
    <s v="White"/>
    <d v="2015-06-05T00:00:00"/>
    <m/>
    <x v="0"/>
    <s v="Active"/>
    <s v="Production       "/>
    <s v="Webster Butler"/>
    <m/>
    <s v="Indeed"/>
    <s v="Fully Meets"/>
    <n v="4.5"/>
    <n v="3"/>
    <n v="0"/>
    <s v="2/14/2019"/>
    <n v="0"/>
    <n v="6"/>
    <s v="Normal"/>
    <s v="low Outlier"/>
    <n v="33"/>
    <n v="10"/>
    <n v="10"/>
    <s v="10+ Years"/>
    <s v="26-35"/>
    <s v="Mid (40-70K)"/>
    <n v="1"/>
    <n v="2015"/>
    <n v="6"/>
    <s v="Q2"/>
    <s v="Jun"/>
    <s v="2015-06"/>
    <s v="N/A"/>
    <s v="Production       "/>
    <n v="66.666666666666657"/>
    <n v="0"/>
    <s v="Medium"/>
    <n v="4.5"/>
    <s v=""/>
    <m/>
  </r>
  <r>
    <s v="Huynh, Ming"/>
    <n v="10160"/>
    <n v="0"/>
    <n v="2"/>
    <n v="0"/>
    <n v="5"/>
    <n v="5"/>
    <n v="3"/>
    <n v="0"/>
    <n v="68182"/>
    <n v="1"/>
    <n v="20"/>
    <s v="Production Technician II"/>
    <s v="MA"/>
    <n v="1742"/>
    <d v="1976-09-22T00:00:00"/>
    <s v="F"/>
    <s v="Divorced"/>
    <s v="US Citizen"/>
    <s v="No"/>
    <s v="White"/>
    <d v="2011-02-21T00:00:00"/>
    <d v="2013-04-01T00:00:00"/>
    <x v="5"/>
    <s v="Voluntarily Terminated"/>
    <s v="Production       "/>
    <s v="Amy Dunn"/>
    <n v="11"/>
    <s v="Google Search"/>
    <s v="Fully Meets"/>
    <n v="3.72"/>
    <n v="3"/>
    <n v="0"/>
    <s v="2/1/2013"/>
    <n v="0"/>
    <n v="18"/>
    <s v="Normal"/>
    <s v="low Outlier"/>
    <n v="49"/>
    <n v="15"/>
    <n v="2"/>
    <s v="10+ Years"/>
    <s v="46-55"/>
    <s v="Mid (40-70K)"/>
    <n v="0"/>
    <n v="2011"/>
    <n v="2"/>
    <s v="Q1"/>
    <s v="Feb"/>
    <s v="2011-02"/>
    <n v="2013"/>
    <s v="Production       "/>
    <n v="91.666666666666657"/>
    <n v="11"/>
    <s v="Medium"/>
    <s v=""/>
    <n v="3.72"/>
    <m/>
  </r>
  <r>
    <s v="Immediato, Walter"/>
    <n v="10289"/>
    <n v="1"/>
    <n v="1"/>
    <n v="1"/>
    <n v="5"/>
    <n v="5"/>
    <n v="2"/>
    <n v="0"/>
    <n v="83082"/>
    <n v="1"/>
    <n v="18"/>
    <s v="Production Manager"/>
    <s v="MA"/>
    <n v="2128"/>
    <d v="1976-11-15T00:00:00"/>
    <s v="M "/>
    <s v="Married"/>
    <s v="US Citizen"/>
    <s v="No"/>
    <s v="Asian"/>
    <d v="2011-02-21T00:00:00"/>
    <d v="2012-09-24T00:00:00"/>
    <x v="5"/>
    <s v="Voluntarily Terminated"/>
    <s v="Production       "/>
    <s v="Janet King"/>
    <n v="2"/>
    <s v="Indeed"/>
    <s v="Needs Improvement"/>
    <n v="2.34"/>
    <n v="2"/>
    <n v="0"/>
    <s v="4/12/2012"/>
    <n v="3"/>
    <n v="4"/>
    <s v="Normal"/>
    <s v="low Outlier"/>
    <n v="49"/>
    <n v="15"/>
    <n v="1"/>
    <s v="10+ Years"/>
    <s v="46-55"/>
    <s v="Senior (70-100K)"/>
    <n v="0"/>
    <n v="2011"/>
    <n v="2"/>
    <s v="Q1"/>
    <s v="Feb"/>
    <s v="2011-02"/>
    <n v="2012"/>
    <s v="Production       "/>
    <n v="41.666666666666671"/>
    <n v="10"/>
    <s v="High"/>
    <s v=""/>
    <n v="2.34"/>
    <m/>
  </r>
  <r>
    <s v="Ivey, Rose "/>
    <n v="10139"/>
    <n v="0"/>
    <n v="0"/>
    <n v="0"/>
    <n v="1"/>
    <n v="5"/>
    <n v="3"/>
    <n v="0"/>
    <n v="51908"/>
    <n v="0"/>
    <n v="19"/>
    <s v="Production Technician I"/>
    <s v="MA"/>
    <n v="1775"/>
    <d v="1991-01-28T00:00:00"/>
    <s v="F"/>
    <s v="Single"/>
    <s v="US Citizen"/>
    <s v="No"/>
    <s v="White"/>
    <d v="2013-08-19T00:00:00"/>
    <m/>
    <x v="0"/>
    <s v="Active"/>
    <s v="Production       "/>
    <s v="Brannon Miller"/>
    <n v="12"/>
    <s v="Indeed"/>
    <s v="Fully Meets"/>
    <n v="3.99"/>
    <n v="3"/>
    <n v="0"/>
    <s v="1/14/2019"/>
    <n v="0"/>
    <n v="14"/>
    <s v="Normal"/>
    <s v="low Outlier"/>
    <n v="35"/>
    <n v="12"/>
    <n v="12"/>
    <s v="10+ Years"/>
    <s v="26-35"/>
    <s v="Mid (40-70K)"/>
    <n v="1"/>
    <n v="2013"/>
    <n v="8"/>
    <s v="Q3"/>
    <s v="Aug"/>
    <s v="2013-08"/>
    <s v="N/A"/>
    <s v="Production       "/>
    <n v="30.76923076923077"/>
    <n v="0"/>
    <s v="Medium"/>
    <n v="3.99"/>
    <s v=""/>
    <m/>
  </r>
  <r>
    <s v="Jackson, Maryellen"/>
    <n v="10227"/>
    <n v="0"/>
    <n v="0"/>
    <n v="0"/>
    <n v="1"/>
    <n v="5"/>
    <n v="3"/>
    <n v="0"/>
    <n v="61242"/>
    <n v="0"/>
    <n v="19"/>
    <s v="Production Technician I"/>
    <s v="MA"/>
    <n v="2081"/>
    <d v="1972-09-11T00:00:00"/>
    <s v="F"/>
    <s v="Single"/>
    <s v="US Citizen"/>
    <s v="No"/>
    <s v="Black or African American"/>
    <d v="2012-11-05T00:00:00"/>
    <m/>
    <x v="0"/>
    <s v="Active"/>
    <s v="Production       "/>
    <s v="David Stanley"/>
    <n v="14"/>
    <s v="LinkedIn"/>
    <s v="Fully Meets"/>
    <n v="4.0999999999999996"/>
    <n v="3"/>
    <n v="0"/>
    <s v="1/17/2019"/>
    <n v="0"/>
    <n v="7"/>
    <s v="Normal"/>
    <s v="low Outlier"/>
    <n v="53"/>
    <n v="13"/>
    <n v="13"/>
    <s v="10+ Years"/>
    <s v="46-55"/>
    <s v="Mid (40-70K)"/>
    <n v="1"/>
    <n v="2012"/>
    <n v="11"/>
    <s v="Q4"/>
    <s v="Nov"/>
    <s v="2012-11"/>
    <s v="N/A"/>
    <s v="Production       "/>
    <n v="23.076923076923077"/>
    <n v="0"/>
    <s v="Medium"/>
    <n v="4.0999999999999996"/>
    <s v=""/>
    <m/>
  </r>
  <r>
    <s v="Jacobi, Hannah  "/>
    <n v="10236"/>
    <n v="0"/>
    <n v="2"/>
    <n v="0"/>
    <n v="1"/>
    <n v="5"/>
    <n v="3"/>
    <n v="0"/>
    <n v="45069"/>
    <n v="0"/>
    <n v="19"/>
    <s v="Production Technician I"/>
    <s v="MA"/>
    <n v="1778"/>
    <d v="1966-03-22T00:00:00"/>
    <s v="F"/>
    <s v="Divorced"/>
    <s v="US Citizen"/>
    <s v="No"/>
    <s v="White"/>
    <d v="2013-09-30T00:00:00"/>
    <m/>
    <x v="0"/>
    <s v="Active"/>
    <s v="Production       "/>
    <s v="Kissy Sullivan"/>
    <n v="20"/>
    <s v="Employee Referral"/>
    <s v="Fully Meets"/>
    <n v="4.3"/>
    <n v="5"/>
    <n v="0"/>
    <s v="2/22/2019"/>
    <n v="0"/>
    <n v="7"/>
    <s v="Normal"/>
    <s v="low Outlier"/>
    <n v="60"/>
    <n v="12"/>
    <n v="12"/>
    <s v="10+ Years"/>
    <s v="55+"/>
    <s v="Mid (40-70K)"/>
    <n v="1"/>
    <n v="2013"/>
    <n v="9"/>
    <s v="Q3"/>
    <s v="Sep"/>
    <s v="2013-09"/>
    <s v="N/A"/>
    <s v="Production       "/>
    <n v="57.142857142857139"/>
    <n v="0"/>
    <s v="Medium"/>
    <n v="4.3"/>
    <s v=""/>
    <m/>
  </r>
  <r>
    <s v="Jeannite, Tayana"/>
    <n v="10009"/>
    <n v="0"/>
    <n v="2"/>
    <n v="0"/>
    <n v="1"/>
    <n v="5"/>
    <n v="4"/>
    <n v="0"/>
    <n v="60724"/>
    <n v="0"/>
    <n v="20"/>
    <s v="Production Technician II"/>
    <s v="MA"/>
    <n v="1821"/>
    <d v="1986-11-06T00:00:00"/>
    <s v="F"/>
    <s v="Divorced"/>
    <s v="US Citizen"/>
    <s v="No"/>
    <s v="American Indian or Alaska Native"/>
    <d v="2011-07-05T00:00:00"/>
    <m/>
    <x v="0"/>
    <s v="Active"/>
    <s v="Production       "/>
    <s v="Ketsia Liebig"/>
    <n v="19"/>
    <s v="LinkedIn"/>
    <s v="Exceeds"/>
    <n v="4.5999999999999996"/>
    <n v="4"/>
    <n v="0"/>
    <s v="2/25/2019"/>
    <n v="0"/>
    <n v="11"/>
    <s v="Normal"/>
    <s v="low Outlier"/>
    <n v="39"/>
    <n v="14"/>
    <n v="14"/>
    <s v="10+ Years"/>
    <s v="36-45"/>
    <s v="Mid (40-70K)"/>
    <n v="1"/>
    <n v="2011"/>
    <n v="7"/>
    <s v="Q3"/>
    <s v="Jul"/>
    <s v="2011-07"/>
    <s v="N/A"/>
    <s v="Production       "/>
    <n v="36.363636363636367"/>
    <n v="0"/>
    <s v="Low"/>
    <n v="4.5999999999999996"/>
    <s v=""/>
    <m/>
  </r>
  <r>
    <s v="Jhaveri, Sneha  "/>
    <n v="10060"/>
    <n v="0"/>
    <n v="3"/>
    <n v="0"/>
    <n v="1"/>
    <n v="5"/>
    <n v="3"/>
    <n v="0"/>
    <n v="60436"/>
    <n v="0"/>
    <n v="19"/>
    <s v="Production Technician I"/>
    <s v="MA"/>
    <n v="2109"/>
    <d v="1964-04-13T00:00:00"/>
    <s v="F"/>
    <s v="Separated"/>
    <s v="US Citizen"/>
    <s v="No"/>
    <s v="White"/>
    <d v="2014-01-06T00:00:00"/>
    <m/>
    <x v="0"/>
    <s v="Active"/>
    <s v="Production       "/>
    <s v="Kelley Spirea"/>
    <n v="18"/>
    <s v="LinkedIn"/>
    <s v="Fully Meets"/>
    <n v="5"/>
    <n v="5"/>
    <n v="0"/>
    <s v="1/21/2019"/>
    <n v="0"/>
    <n v="9"/>
    <s v="Normal"/>
    <s v="low Outlier"/>
    <n v="61"/>
    <n v="12"/>
    <n v="12"/>
    <s v="10+ Years"/>
    <s v="55+"/>
    <s v="Mid (40-70K)"/>
    <n v="1"/>
    <n v="2014"/>
    <n v="1"/>
    <s v="Q1"/>
    <s v="Jan"/>
    <s v="2014-01"/>
    <s v="N/A"/>
    <s v="Production       "/>
    <n v="20"/>
    <n v="0"/>
    <s v="Medium"/>
    <n v="5"/>
    <s v=""/>
    <m/>
  </r>
  <r>
    <s v="Johnson, George"/>
    <n v="10034"/>
    <n v="1"/>
    <n v="1"/>
    <n v="1"/>
    <n v="5"/>
    <n v="5"/>
    <n v="4"/>
    <n v="0"/>
    <n v="46837"/>
    <n v="1"/>
    <n v="19"/>
    <s v="Production Technician I"/>
    <s v="MA"/>
    <n v="2445"/>
    <d v="1959-08-19T00:00:00"/>
    <s v="M "/>
    <s v="Married"/>
    <s v="US Citizen"/>
    <s v="No"/>
    <s v="White"/>
    <d v="2011-11-07T00:00:00"/>
    <d v="2018-04-29T00:00:00"/>
    <x v="11"/>
    <s v="Voluntarily Terminated"/>
    <s v="Production       "/>
    <s v="Michael Albert"/>
    <n v="22"/>
    <s v="CareerBuilder"/>
    <s v="Exceeds"/>
    <n v="4.7"/>
    <n v="4"/>
    <n v="0"/>
    <s v="2/14/2018"/>
    <n v="0"/>
    <n v="9"/>
    <s v="Normal"/>
    <s v="low Outlier"/>
    <n v="66"/>
    <n v="14"/>
    <n v="6"/>
    <s v="10+ Years"/>
    <s v="55+"/>
    <s v="Mid (40-70K)"/>
    <n v="0"/>
    <n v="2011"/>
    <n v="11"/>
    <s v="Q4"/>
    <s v="Nov"/>
    <s v="2011-11"/>
    <n v="2018"/>
    <s v="Production       "/>
    <n v="50"/>
    <n v="9"/>
    <s v="Low"/>
    <s v=""/>
    <n v="4.7"/>
    <m/>
  </r>
  <r>
    <s v="Johnson, Noelle "/>
    <n v="10156"/>
    <n v="1"/>
    <n v="1"/>
    <n v="0"/>
    <n v="3"/>
    <n v="3"/>
    <n v="3"/>
    <n v="0"/>
    <n v="105700"/>
    <n v="0"/>
    <n v="8"/>
    <s v="Database Administrator"/>
    <s v="MA"/>
    <n v="2301"/>
    <d v="1986-11-07T00:00:00"/>
    <s v="F"/>
    <s v="Married"/>
    <s v="US Citizen"/>
    <s v="No"/>
    <s v="Asian"/>
    <d v="2015-01-05T00:00:00"/>
    <m/>
    <x v="0"/>
    <s v="Active"/>
    <s v="IT/IS"/>
    <s v="Simon Roup"/>
    <n v="4"/>
    <s v="Indeed"/>
    <s v="Fully Meets"/>
    <n v="3.75"/>
    <n v="3"/>
    <n v="5"/>
    <s v="2/11/2019"/>
    <n v="0"/>
    <n v="2"/>
    <s v="Normal"/>
    <s v="low Outlier"/>
    <n v="39"/>
    <n v="11"/>
    <n v="11"/>
    <s v="10+ Years"/>
    <s v="36-45"/>
    <s v="Executive (100K+)"/>
    <n v="1"/>
    <n v="2015"/>
    <n v="1"/>
    <s v="Q1"/>
    <s v="Jan"/>
    <s v="2015-01"/>
    <s v="N/A"/>
    <s v="Production       "/>
    <n v="44.444444444444443"/>
    <n v="0"/>
    <s v="Medium"/>
    <n v="3.75"/>
    <s v=""/>
    <m/>
  </r>
  <r>
    <s v="Johnston, Yen"/>
    <n v="10036"/>
    <n v="0"/>
    <n v="0"/>
    <n v="0"/>
    <n v="1"/>
    <n v="5"/>
    <n v="4"/>
    <n v="0"/>
    <n v="63322"/>
    <n v="0"/>
    <n v="20"/>
    <s v="Production Technician II"/>
    <s v="MA"/>
    <n v="2128"/>
    <d v="1969-09-08T00:00:00"/>
    <s v="F"/>
    <s v="Single"/>
    <s v="US Citizen"/>
    <s v="No"/>
    <s v="White"/>
    <d v="2014-07-07T00:00:00"/>
    <m/>
    <x v="0"/>
    <s v="Active"/>
    <s v="Production       "/>
    <s v="Brannon Miller"/>
    <n v="12"/>
    <s v="LinkedIn"/>
    <s v="Exceeds"/>
    <n v="4.3"/>
    <n v="3"/>
    <n v="0"/>
    <s v="1/11/2019"/>
    <n v="0"/>
    <n v="1"/>
    <s v="Normal"/>
    <s v="low Outlier"/>
    <n v="56"/>
    <n v="11"/>
    <n v="11"/>
    <s v="10+ Years"/>
    <s v="55+"/>
    <s v="Mid (40-70K)"/>
    <n v="1"/>
    <n v="2014"/>
    <n v="7"/>
    <s v="Q3"/>
    <s v="Jul"/>
    <s v="2014-07"/>
    <s v="N/A"/>
    <s v="Production       "/>
    <n v="33.333333333333329"/>
    <n v="0"/>
    <s v="Low"/>
    <n v="4.3"/>
    <s v=""/>
    <m/>
  </r>
  <r>
    <s v="Jung, Judy  "/>
    <n v="10138"/>
    <n v="1"/>
    <n v="1"/>
    <n v="0"/>
    <n v="5"/>
    <n v="5"/>
    <n v="3"/>
    <n v="0"/>
    <n v="61154"/>
    <n v="1"/>
    <n v="19"/>
    <s v="Production Technician I"/>
    <s v="MA"/>
    <n v="2446"/>
    <d v="1986-04-17T00:00:00"/>
    <s v="F"/>
    <s v="Married"/>
    <s v="US Citizen"/>
    <s v="No"/>
    <s v="Black or African American"/>
    <d v="2011-01-10T00:00:00"/>
    <d v="2016-04-01T00:00:00"/>
    <x v="5"/>
    <s v="Voluntarily Terminated"/>
    <s v="Production       "/>
    <s v="Elijiah Gray"/>
    <n v="16"/>
    <s v="CareerBuilder"/>
    <s v="Fully Meets"/>
    <n v="4"/>
    <n v="4"/>
    <n v="0"/>
    <s v="2/3/2016"/>
    <n v="0"/>
    <n v="4"/>
    <s v="Normal"/>
    <s v="low Outlier"/>
    <n v="39"/>
    <n v="15"/>
    <n v="5"/>
    <s v="10+ Years"/>
    <s v="36-45"/>
    <s v="Mid (40-70K)"/>
    <n v="0"/>
    <n v="2011"/>
    <n v="1"/>
    <s v="Q1"/>
    <s v="Jan"/>
    <s v="2011-01"/>
    <n v="2016"/>
    <s v="Production       "/>
    <n v="38.461538461538467"/>
    <n v="9"/>
    <s v="Medium"/>
    <s v=""/>
    <n v="4"/>
    <m/>
  </r>
  <r>
    <s v="Kampew, Donysha"/>
    <n v="10244"/>
    <n v="0"/>
    <n v="0"/>
    <n v="0"/>
    <n v="5"/>
    <n v="6"/>
    <n v="3"/>
    <n v="0"/>
    <n v="68999"/>
    <n v="1"/>
    <n v="21"/>
    <s v="Sales Manager"/>
    <s v="PA"/>
    <n v="19444"/>
    <d v="1989-11-11T00:00:00"/>
    <s v="F"/>
    <s v="Single"/>
    <s v="US Citizen"/>
    <s v="No"/>
    <s v="White"/>
    <d v="2011-11-07T00:00:00"/>
    <d v="2014-04-24T00:00:00"/>
    <x v="15"/>
    <s v="Voluntarily Terminated"/>
    <s v="Sales"/>
    <s v="Debra Houlihan"/>
    <n v="15"/>
    <s v="Google Search"/>
    <s v="Fully Meets"/>
    <n v="4.5"/>
    <n v="5"/>
    <n v="0"/>
    <s v="3/30/2013"/>
    <n v="0"/>
    <n v="2"/>
    <s v="Normal"/>
    <s v="low Outlier"/>
    <n v="36"/>
    <n v="14"/>
    <n v="2"/>
    <s v="10+ Years"/>
    <s v="36-45"/>
    <s v="Mid (40-70K)"/>
    <n v="0"/>
    <n v="2011"/>
    <n v="11"/>
    <s v="Q4"/>
    <s v="Nov"/>
    <s v="2011-11"/>
    <n v="2014"/>
    <s v="Production       "/>
    <n v="50"/>
    <n v="3"/>
    <s v="Medium"/>
    <s v=""/>
    <n v="4.5"/>
    <m/>
  </r>
  <r>
    <s v="Keatts, Kramer "/>
    <n v="10192"/>
    <n v="0"/>
    <n v="0"/>
    <n v="1"/>
    <n v="1"/>
    <n v="5"/>
    <n v="3"/>
    <n v="0"/>
    <n v="50482"/>
    <n v="0"/>
    <n v="19"/>
    <s v="Production Technician I"/>
    <s v="MA"/>
    <n v="1887"/>
    <d v="1976-01-19T00:00:00"/>
    <s v="M "/>
    <s v="Single"/>
    <s v="US Citizen"/>
    <s v="No"/>
    <s v="White"/>
    <d v="2013-09-30T00:00:00"/>
    <m/>
    <x v="0"/>
    <s v="Active"/>
    <s v="Production       "/>
    <s v="Michael Albert"/>
    <n v="22"/>
    <s v="Indeed"/>
    <s v="Fully Meets"/>
    <n v="3.07"/>
    <n v="4"/>
    <n v="0"/>
    <s v="1/23/2019"/>
    <n v="0"/>
    <n v="10"/>
    <s v="Normal"/>
    <s v="low Outlier"/>
    <n v="50"/>
    <n v="12"/>
    <n v="12"/>
    <s v="10+ Years"/>
    <s v="46-55"/>
    <s v="Mid (40-70K)"/>
    <n v="1"/>
    <n v="2013"/>
    <n v="9"/>
    <s v="Q3"/>
    <s v="Sep"/>
    <s v="2013-09"/>
    <s v="N/A"/>
    <s v="Production       "/>
    <n v="45.454545454545453"/>
    <n v="0"/>
    <s v="Medium"/>
    <n v="3.07"/>
    <s v=""/>
    <m/>
  </r>
  <r>
    <s v="Khemmich, Bartholemew"/>
    <n v="10231"/>
    <n v="0"/>
    <n v="0"/>
    <n v="1"/>
    <n v="1"/>
    <n v="6"/>
    <n v="3"/>
    <n v="0"/>
    <n v="65310"/>
    <n v="0"/>
    <n v="3"/>
    <s v="Area Sales Manager"/>
    <s v="CO"/>
    <n v="80820"/>
    <d v="1979-11-27T00:00:00"/>
    <s v="M "/>
    <s v="Single"/>
    <s v="US Citizen"/>
    <s v="No"/>
    <s v="White"/>
    <d v="2013-08-19T00:00:00"/>
    <m/>
    <x v="0"/>
    <s v="Active"/>
    <s v="Sales"/>
    <s v="Lynn Daneault"/>
    <n v="21"/>
    <s v="Indeed"/>
    <s v="Fully Meets"/>
    <n v="4.3"/>
    <n v="5"/>
    <n v="0"/>
    <s v="1/22/2019"/>
    <n v="0"/>
    <n v="13"/>
    <s v="Normal"/>
    <s v="low Outlier"/>
    <n v="46"/>
    <n v="12"/>
    <n v="12"/>
    <s v="10+ Years"/>
    <s v="46-55"/>
    <s v="Mid (40-70K)"/>
    <n v="1"/>
    <n v="2013"/>
    <n v="8"/>
    <s v="Q3"/>
    <s v="Aug"/>
    <s v="2013-08"/>
    <s v="N/A"/>
    <s v="Production       "/>
    <n v="0"/>
    <n v="0"/>
    <s v="Medium"/>
    <n v="4.3"/>
    <s v=""/>
    <m/>
  </r>
  <r>
    <s v="King, Janet"/>
    <n v="10089"/>
    <n v="1"/>
    <n v="1"/>
    <n v="0"/>
    <n v="1"/>
    <n v="2"/>
    <n v="3"/>
    <n v="0"/>
    <n v="250000"/>
    <n v="0"/>
    <n v="16"/>
    <s v="President &amp; CEO"/>
    <s v="MA"/>
    <n v="1902"/>
    <d v="1954-09-21T00:00:00"/>
    <s v="F"/>
    <s v="Married"/>
    <s v="US Citizen"/>
    <s v="Yes"/>
    <s v="White"/>
    <d v="2012-07-02T00:00:00"/>
    <m/>
    <x v="0"/>
    <s v="Active"/>
    <s v="Executive Office"/>
    <s v="Board of Directors"/>
    <n v="9"/>
    <s v="Indeed"/>
    <s v="Fully Meets"/>
    <n v="4.83"/>
    <n v="3"/>
    <n v="0"/>
    <s v="1/17/2019"/>
    <n v="0"/>
    <n v="10"/>
    <s v=" high Outlier"/>
    <s v="low Outlier"/>
    <n v="71"/>
    <n v="13"/>
    <n v="13"/>
    <s v="10+ Years"/>
    <s v="55+"/>
    <s v="Executive (100K+)"/>
    <n v="1"/>
    <n v="2012"/>
    <n v="7"/>
    <s v="Q3"/>
    <s v="Jul"/>
    <s v="2012-07"/>
    <s v="N/A"/>
    <s v="Production       "/>
    <n v="0"/>
    <n v="0"/>
    <s v="Medium"/>
    <n v="4.83"/>
    <s v=""/>
    <m/>
  </r>
  <r>
    <s v="Kinsella, Kathleen  "/>
    <n v="10166"/>
    <n v="1"/>
    <n v="1"/>
    <n v="0"/>
    <n v="5"/>
    <n v="5"/>
    <n v="3"/>
    <n v="0"/>
    <n v="54005"/>
    <n v="1"/>
    <n v="19"/>
    <s v="Production Technician I"/>
    <s v="MA"/>
    <n v="2170"/>
    <d v="1973-12-08T00:00:00"/>
    <s v="F"/>
    <s v="Married"/>
    <s v="US Citizen"/>
    <s v="No"/>
    <s v="White"/>
    <d v="2011-09-26T00:00:00"/>
    <d v="2015-06-04T00:00:00"/>
    <x v="11"/>
    <s v="Voluntarily Terminated"/>
    <s v="Production       "/>
    <s v="Webster Butler"/>
    <n v="39"/>
    <s v="Google Search"/>
    <s v="Fully Meets"/>
    <n v="3.6"/>
    <n v="5"/>
    <n v="0"/>
    <s v="3/1/2015"/>
    <n v="0"/>
    <n v="16"/>
    <s v="Normal"/>
    <s v="low Outlier"/>
    <n v="52"/>
    <n v="14"/>
    <n v="3"/>
    <s v="10+ Years"/>
    <s v="46-55"/>
    <s v="Mid (40-70K)"/>
    <n v="0"/>
    <n v="2011"/>
    <n v="9"/>
    <s v="Q3"/>
    <s v="Sep"/>
    <s v="2011-09"/>
    <n v="2015"/>
    <s v="Production       "/>
    <n v="72.727272727272734"/>
    <n v="8"/>
    <s v="Medium"/>
    <s v=""/>
    <n v="3.6"/>
    <m/>
  </r>
  <r>
    <s v="Kirill, Alexandra  "/>
    <n v="10170"/>
    <n v="1"/>
    <n v="1"/>
    <n v="0"/>
    <n v="5"/>
    <n v="5"/>
    <n v="3"/>
    <n v="0"/>
    <n v="45433"/>
    <n v="1"/>
    <n v="19"/>
    <s v="Production Technician I"/>
    <s v="MA"/>
    <n v="2127"/>
    <d v="1970-10-08T00:00:00"/>
    <s v="F"/>
    <s v="Married"/>
    <s v="US Citizen"/>
    <s v="No"/>
    <s v="White"/>
    <d v="2011-09-26T00:00:00"/>
    <d v="2014-01-09T00:00:00"/>
    <x v="11"/>
    <s v="Voluntarily Terminated"/>
    <s v="Production       "/>
    <s v="Amy Dunn"/>
    <n v="11"/>
    <s v="Google Search"/>
    <s v="Fully Meets"/>
    <n v="3.49"/>
    <n v="4"/>
    <n v="0"/>
    <s v="1/30/2013"/>
    <n v="0"/>
    <n v="6"/>
    <s v="Normal"/>
    <s v="low Outlier"/>
    <n v="55"/>
    <n v="14"/>
    <n v="2"/>
    <s v="10+ Years"/>
    <s v="46-55"/>
    <s v="Mid (40-70K)"/>
    <n v="0"/>
    <n v="2011"/>
    <n v="9"/>
    <s v="Q3"/>
    <s v="Sep"/>
    <s v="2011-09"/>
    <n v="2014"/>
    <s v="Production       "/>
    <n v="90.909090909090907"/>
    <n v="7"/>
    <s v="Medium"/>
    <s v=""/>
    <n v="3.49"/>
    <m/>
  </r>
  <r>
    <s v="Knapp, Bradley  J"/>
    <n v="10208"/>
    <n v="0"/>
    <n v="0"/>
    <n v="1"/>
    <n v="1"/>
    <n v="5"/>
    <n v="3"/>
    <n v="0"/>
    <n v="46654"/>
    <n v="0"/>
    <n v="19"/>
    <s v="Production Technician I"/>
    <s v="MA"/>
    <n v="1721"/>
    <d v="1977-11-10T00:00:00"/>
    <s v="M "/>
    <s v="Single"/>
    <s v="US Citizen"/>
    <s v="No"/>
    <s v="Black or African American"/>
    <d v="2014-02-17T00:00:00"/>
    <m/>
    <x v="0"/>
    <s v="Active"/>
    <s v="Production       "/>
    <s v="Ketsia Liebig"/>
    <n v="19"/>
    <s v="LinkedIn"/>
    <s v="Fully Meets"/>
    <n v="3.1"/>
    <n v="3"/>
    <n v="0"/>
    <s v="2/6/2019"/>
    <n v="0"/>
    <n v="3"/>
    <s v="Normal"/>
    <s v="low Outlier"/>
    <n v="48"/>
    <n v="12"/>
    <n v="12"/>
    <s v="10+ Years"/>
    <s v="46-55"/>
    <s v="Mid (40-70K)"/>
    <n v="1"/>
    <n v="2014"/>
    <n v="2"/>
    <s v="Q1"/>
    <s v="Feb"/>
    <s v="2014-02"/>
    <s v="N/A"/>
    <s v="Production       "/>
    <n v="40"/>
    <n v="0"/>
    <s v="Medium"/>
    <n v="3.1"/>
    <s v=""/>
    <m/>
  </r>
  <r>
    <s v="Kretschmer, John"/>
    <n v="10176"/>
    <n v="1"/>
    <n v="1"/>
    <n v="1"/>
    <n v="1"/>
    <n v="5"/>
    <n v="3"/>
    <n v="0"/>
    <n v="63973"/>
    <n v="0"/>
    <n v="19"/>
    <s v="Production Technician I"/>
    <s v="MA"/>
    <n v="1801"/>
    <d v="1980-02-02T00:00:00"/>
    <s v="M "/>
    <s v="Married"/>
    <s v="US Citizen"/>
    <s v="No"/>
    <s v="Asian"/>
    <d v="2011-01-10T00:00:00"/>
    <m/>
    <x v="0"/>
    <s v="Active"/>
    <s v="Production       "/>
    <s v="Brannon Miller"/>
    <n v="12"/>
    <s v="Indeed"/>
    <s v="Fully Meets"/>
    <n v="3.38"/>
    <n v="3"/>
    <n v="0"/>
    <s v="1/21/2019"/>
    <n v="0"/>
    <n v="17"/>
    <s v="Normal"/>
    <s v="low Outlier"/>
    <n v="46"/>
    <n v="15"/>
    <n v="15"/>
    <s v="10+ Years"/>
    <s v="46-55"/>
    <s v="Mid (40-70K)"/>
    <n v="1"/>
    <n v="2011"/>
    <n v="1"/>
    <s v="Q1"/>
    <s v="Jan"/>
    <s v="2011-01"/>
    <s v="N/A"/>
    <s v="Production       "/>
    <n v="36.363636363636367"/>
    <n v="0"/>
    <s v="Medium"/>
    <n v="3.38"/>
    <s v=""/>
    <m/>
  </r>
  <r>
    <s v="Kreuger, Freddy"/>
    <n v="10165"/>
    <n v="0"/>
    <n v="0"/>
    <n v="1"/>
    <n v="1"/>
    <n v="6"/>
    <n v="3"/>
    <n v="1"/>
    <n v="71339"/>
    <n v="0"/>
    <n v="3"/>
    <s v="Area Sales Manager"/>
    <s v="NY"/>
    <n v="10171"/>
    <d v="1969-02-24T00:00:00"/>
    <s v="M "/>
    <s v="Single"/>
    <s v="US Citizen"/>
    <s v="Yes"/>
    <s v="Black or African American"/>
    <d v="2011-03-07T00:00:00"/>
    <m/>
    <x v="0"/>
    <s v="Active"/>
    <s v="Sales"/>
    <s v="John Smith"/>
    <n v="17"/>
    <s v="Diversity Job Fair"/>
    <s v="Fully Meets"/>
    <n v="3.65"/>
    <n v="5"/>
    <n v="0"/>
    <s v="1/17/2019"/>
    <n v="0"/>
    <n v="20"/>
    <s v="Normal"/>
    <s v="low Outlier"/>
    <n v="57"/>
    <n v="15"/>
    <n v="15"/>
    <s v="10+ Years"/>
    <s v="55+"/>
    <s v="Senior (70-100K)"/>
    <n v="1"/>
    <n v="2011"/>
    <n v="3"/>
    <s v="Q1"/>
    <s v="Mar"/>
    <s v="2011-03"/>
    <s v="N/A"/>
    <s v="Production       "/>
    <n v="0"/>
    <n v="0"/>
    <s v="Medium"/>
    <n v="3.65"/>
    <s v=""/>
    <m/>
  </r>
  <r>
    <s v="Lajiri,  Jyoti"/>
    <n v="10113"/>
    <n v="1"/>
    <n v="1"/>
    <n v="1"/>
    <n v="3"/>
    <n v="3"/>
    <n v="3"/>
    <n v="0"/>
    <n v="93206"/>
    <n v="0"/>
    <n v="28"/>
    <s v="Sr. Network Engineer"/>
    <s v="MA"/>
    <n v="2169"/>
    <d v="1986-04-23T00:00:00"/>
    <s v="M "/>
    <s v="Married"/>
    <s v="US Citizen"/>
    <s v="No"/>
    <s v="White"/>
    <d v="2014-11-10T00:00:00"/>
    <m/>
    <x v="0"/>
    <s v="Active"/>
    <s v="IT/IS"/>
    <s v="Peter Monroe"/>
    <n v="7"/>
    <s v="Employee Referral"/>
    <s v="Fully Meets"/>
    <n v="4.46"/>
    <n v="5"/>
    <n v="6"/>
    <s v="1/7/2019"/>
    <n v="0"/>
    <n v="7"/>
    <s v="Normal"/>
    <s v="low Outlier"/>
    <n v="39"/>
    <n v="11"/>
    <n v="11"/>
    <s v="10+ Years"/>
    <s v="36-45"/>
    <s v="Senior (70-100K)"/>
    <n v="1"/>
    <n v="2014"/>
    <n v="11"/>
    <s v="Q4"/>
    <s v="Nov"/>
    <s v="2014-11"/>
    <s v="N/A"/>
    <s v="Production       "/>
    <n v="14.285714285714285"/>
    <n v="0"/>
    <s v="Medium"/>
    <n v="4.46"/>
    <s v=""/>
    <m/>
  </r>
  <r>
    <s v="Landa, Hans"/>
    <n v="10092"/>
    <n v="1"/>
    <n v="1"/>
    <n v="1"/>
    <n v="4"/>
    <n v="5"/>
    <n v="3"/>
    <n v="0"/>
    <n v="82758"/>
    <n v="1"/>
    <n v="18"/>
    <s v="Production Manager"/>
    <s v="MA"/>
    <n v="1890"/>
    <d v="1972-07-01T00:00:00"/>
    <s v="M "/>
    <s v="Married"/>
    <s v="US Citizen"/>
    <s v="No"/>
    <s v="White"/>
    <d v="2011-01-10T00:00:00"/>
    <d v="2015-12-12T00:00:00"/>
    <x v="6"/>
    <s v="Terminated for Cause"/>
    <s v="Production       "/>
    <s v="Janet King"/>
    <n v="2"/>
    <s v="Employee Referral"/>
    <s v="Fully Meets"/>
    <n v="4.78"/>
    <n v="4"/>
    <n v="0"/>
    <s v="2/15/2015"/>
    <n v="0"/>
    <n v="9"/>
    <s v="Normal"/>
    <s v="low Outlier"/>
    <n v="53"/>
    <n v="15"/>
    <n v="4"/>
    <s v="10+ Years"/>
    <s v="46-55"/>
    <s v="Senior (70-100K)"/>
    <n v="0"/>
    <n v="2011"/>
    <n v="1"/>
    <s v="Q1"/>
    <s v="Jan"/>
    <s v="2011-01"/>
    <n v="2015"/>
    <s v="Production       "/>
    <n v="36.363636363636367"/>
    <n v="3"/>
    <s v="Medium"/>
    <s v=""/>
    <n v="4.78"/>
    <m/>
  </r>
  <r>
    <s v="Langford, Lindsey"/>
    <n v="10106"/>
    <n v="0"/>
    <n v="2"/>
    <n v="0"/>
    <n v="5"/>
    <n v="5"/>
    <n v="3"/>
    <n v="0"/>
    <n v="66074"/>
    <n v="1"/>
    <n v="20"/>
    <s v="Production Technician II"/>
    <s v="MA"/>
    <n v="2090"/>
    <d v="1979-07-25T00:00:00"/>
    <s v="F"/>
    <s v="Divorced"/>
    <s v="US Citizen"/>
    <s v="No"/>
    <s v="Asian"/>
    <d v="2013-01-07T00:00:00"/>
    <d v="2014-03-31T00:00:00"/>
    <x v="4"/>
    <s v="Voluntarily Terminated"/>
    <s v="Production       "/>
    <s v="David Stanley"/>
    <n v="14"/>
    <s v="Indeed"/>
    <s v="Fully Meets"/>
    <n v="4.5199999999999996"/>
    <n v="3"/>
    <n v="0"/>
    <s v="2/20/2014"/>
    <n v="0"/>
    <n v="20"/>
    <s v="Normal"/>
    <s v="low Outlier"/>
    <n v="46"/>
    <n v="13"/>
    <n v="1"/>
    <s v="10+ Years"/>
    <s v="46-55"/>
    <s v="Mid (40-70K)"/>
    <n v="0"/>
    <n v="2013"/>
    <n v="1"/>
    <s v="Q1"/>
    <s v="Jan"/>
    <s v="2013-01"/>
    <n v="2014"/>
    <s v="Production       "/>
    <n v="25"/>
    <n v="16"/>
    <s v="Medium"/>
    <s v=""/>
    <n v="4.5199999999999996"/>
    <m/>
  </r>
  <r>
    <s v="Langton, Enrico"/>
    <n v="10052"/>
    <n v="1"/>
    <n v="1"/>
    <n v="1"/>
    <n v="1"/>
    <n v="5"/>
    <n v="3"/>
    <n v="0"/>
    <n v="46120"/>
    <n v="0"/>
    <n v="19"/>
    <s v="Production Technician I"/>
    <s v="MA"/>
    <n v="2048"/>
    <d v="1986-12-09T00:00:00"/>
    <s v="M "/>
    <s v="Married"/>
    <s v="US Citizen"/>
    <s v="No"/>
    <s v="White"/>
    <d v="2012-07-09T00:00:00"/>
    <m/>
    <x v="0"/>
    <s v="Active"/>
    <s v="Production       "/>
    <s v="David Stanley"/>
    <n v="14"/>
    <s v="LinkedIn"/>
    <s v="Fully Meets"/>
    <n v="5"/>
    <n v="5"/>
    <n v="0"/>
    <s v="2/4/2019"/>
    <n v="0"/>
    <n v="13"/>
    <s v="Normal"/>
    <s v="low Outlier"/>
    <n v="39"/>
    <n v="13"/>
    <n v="13"/>
    <s v="10+ Years"/>
    <s v="36-45"/>
    <s v="Mid (40-70K)"/>
    <n v="1"/>
    <n v="2012"/>
    <n v="7"/>
    <s v="Q3"/>
    <s v="Jul"/>
    <s v="2012-07"/>
    <s v="N/A"/>
    <s v="Production       "/>
    <n v="18.181818181818183"/>
    <n v="0"/>
    <s v="Medium"/>
    <n v="5"/>
    <s v=""/>
    <m/>
  </r>
  <r>
    <s v="LaRotonda, William  "/>
    <n v="10038"/>
    <n v="0"/>
    <n v="2"/>
    <n v="1"/>
    <n v="1"/>
    <n v="1"/>
    <n v="3"/>
    <n v="0"/>
    <n v="64520"/>
    <n v="0"/>
    <n v="1"/>
    <s v="Accountant I"/>
    <s v="MA"/>
    <n v="1460"/>
    <d v="1984-04-26T00:00:00"/>
    <s v="M "/>
    <s v="Divorced"/>
    <s v="US Citizen"/>
    <s v="No"/>
    <s v="Black or African American"/>
    <d v="2014-01-06T00:00:00"/>
    <m/>
    <x v="0"/>
    <s v="Active"/>
    <s v="Admin Offices"/>
    <s v="Brandon R. LeBlanc"/>
    <n v="1"/>
    <s v="Website"/>
    <s v="Fully Meets"/>
    <n v="5"/>
    <n v="4"/>
    <n v="4"/>
    <s v="1/17/2019"/>
    <n v="0"/>
    <n v="3"/>
    <s v="Normal"/>
    <s v="low Outlier"/>
    <n v="41"/>
    <n v="12"/>
    <n v="12"/>
    <s v="10+ Years"/>
    <s v="36-45"/>
    <s v="Mid (40-70K)"/>
    <n v="1"/>
    <n v="2014"/>
    <n v="1"/>
    <s v="Q1"/>
    <s v="Jan"/>
    <s v="2014-01"/>
    <s v="N/A"/>
    <s v="Production       "/>
    <n v="25"/>
    <n v="0"/>
    <s v="Medium"/>
    <n v="5"/>
    <s v=""/>
    <m/>
  </r>
  <r>
    <s v="Latif, Mohammed"/>
    <n v="10249"/>
    <n v="1"/>
    <n v="1"/>
    <n v="1"/>
    <n v="5"/>
    <n v="5"/>
    <n v="3"/>
    <n v="0"/>
    <n v="61962"/>
    <n v="1"/>
    <n v="20"/>
    <s v="Production Technician II"/>
    <s v="MA"/>
    <n v="2126"/>
    <d v="1984-05-09T00:00:00"/>
    <s v="M "/>
    <s v="Married"/>
    <s v="US Citizen"/>
    <s v="No"/>
    <s v="White"/>
    <d v="2012-04-02T00:00:00"/>
    <d v="2013-04-15T00:00:00"/>
    <x v="11"/>
    <s v="Voluntarily Terminated"/>
    <s v="Production       "/>
    <s v="Kissy Sullivan"/>
    <n v="20"/>
    <s v="Google Search"/>
    <s v="Fully Meets"/>
    <n v="4.9000000000000004"/>
    <n v="3"/>
    <n v="0"/>
    <s v="2/20/2013"/>
    <n v="0"/>
    <n v="20"/>
    <s v="Normal"/>
    <s v="low Outlier"/>
    <n v="41"/>
    <n v="13"/>
    <n v="1"/>
    <s v="10+ Years"/>
    <s v="36-45"/>
    <s v="Mid (40-70K)"/>
    <n v="0"/>
    <n v="2012"/>
    <n v="4"/>
    <s v="Q2"/>
    <s v="Apr"/>
    <s v="2012-04"/>
    <n v="2013"/>
    <s v="Production       "/>
    <n v="61.53846153846154"/>
    <n v="6"/>
    <s v="Medium"/>
    <s v=""/>
    <n v="4.9000000000000004"/>
    <m/>
  </r>
  <r>
    <s v="Le, Binh"/>
    <n v="10232"/>
    <n v="0"/>
    <n v="0"/>
    <n v="0"/>
    <n v="1"/>
    <n v="3"/>
    <n v="3"/>
    <n v="0"/>
    <n v="81584"/>
    <n v="0"/>
    <n v="22"/>
    <s v="Senior BI Developer"/>
    <s v="MA"/>
    <n v="1886"/>
    <d v="1987-06-14T00:00:00"/>
    <s v="F"/>
    <s v="Single"/>
    <s v="US Citizen"/>
    <s v="No"/>
    <s v="Asian"/>
    <d v="2016-10-02T00:00:00"/>
    <m/>
    <x v="0"/>
    <s v="Active"/>
    <s v="IT/IS"/>
    <s v="Brian Champaigne"/>
    <n v="13"/>
    <s v="Indeed"/>
    <s v="Fully Meets"/>
    <n v="4.0999999999999996"/>
    <n v="5"/>
    <n v="7"/>
    <s v="1/8/2019"/>
    <n v="0"/>
    <n v="2"/>
    <s v="Normal"/>
    <s v="low Outlier"/>
    <n v="38"/>
    <n v="9"/>
    <n v="9"/>
    <s v="5-10 Years"/>
    <s v="36-45"/>
    <s v="Senior (70-100K)"/>
    <n v="1"/>
    <n v="2016"/>
    <n v="10"/>
    <s v="Q4"/>
    <s v="Oct"/>
    <s v="2016-10"/>
    <s v="N/A"/>
    <s v="Production       "/>
    <n v="0"/>
    <n v="0"/>
    <s v="Medium"/>
    <n v="4.0999999999999996"/>
    <s v=""/>
    <m/>
  </r>
  <r>
    <s v="Leach, Dallas"/>
    <n v="10087"/>
    <n v="0"/>
    <n v="0"/>
    <n v="0"/>
    <n v="5"/>
    <n v="5"/>
    <n v="3"/>
    <n v="0"/>
    <n v="63676"/>
    <n v="1"/>
    <n v="19"/>
    <s v="Production Technician I"/>
    <s v="MA"/>
    <n v="1810"/>
    <d v="1979-01-17T00:00:00"/>
    <s v="F"/>
    <s v="Single"/>
    <s v="US Citizen"/>
    <s v="No"/>
    <s v="Asian"/>
    <d v="2011-09-26T00:00:00"/>
    <d v="2018-08-19T00:00:00"/>
    <x v="3"/>
    <s v="Voluntarily Terminated"/>
    <s v="Production       "/>
    <s v="Kissy Sullivan"/>
    <n v="20"/>
    <s v="CareerBuilder"/>
    <s v="Fully Meets"/>
    <n v="4.88"/>
    <n v="3"/>
    <n v="0"/>
    <s v="7/2/2017"/>
    <n v="0"/>
    <n v="17"/>
    <s v="Normal"/>
    <s v="low Outlier"/>
    <n v="47"/>
    <n v="14"/>
    <n v="6"/>
    <s v="10+ Years"/>
    <s v="46-55"/>
    <s v="Mid (40-70K)"/>
    <n v="0"/>
    <n v="2011"/>
    <n v="9"/>
    <s v="Q3"/>
    <s v="Sep"/>
    <s v="2011-09"/>
    <n v="2018"/>
    <s v="Production       "/>
    <n v="58.333333333333336"/>
    <n v="4"/>
    <s v="Medium"/>
    <s v=""/>
    <n v="4.88"/>
    <m/>
  </r>
  <r>
    <s v="LeBlanc, Brandon  R"/>
    <n v="10134"/>
    <n v="1"/>
    <n v="1"/>
    <n v="1"/>
    <n v="1"/>
    <n v="1"/>
    <n v="3"/>
    <n v="0"/>
    <n v="93046"/>
    <n v="0"/>
    <n v="23"/>
    <s v="Shared Services Manager"/>
    <s v="MA"/>
    <n v="1460"/>
    <d v="1984-06-10T00:00:00"/>
    <s v="M "/>
    <s v="Married"/>
    <s v="US Citizen"/>
    <s v="No"/>
    <s v="White"/>
    <d v="2016-01-05T00:00:00"/>
    <m/>
    <x v="0"/>
    <s v="Active"/>
    <s v="Admin Offices"/>
    <s v="Janet King"/>
    <n v="2"/>
    <s v="CareerBuilder"/>
    <s v="Fully Meets"/>
    <n v="4.0999999999999996"/>
    <n v="4"/>
    <n v="0"/>
    <s v="1/28/2019"/>
    <n v="0"/>
    <n v="20"/>
    <s v="Normal"/>
    <s v="low Outlier"/>
    <n v="41"/>
    <n v="10"/>
    <n v="10"/>
    <s v="10+ Years"/>
    <s v="36-45"/>
    <s v="Senior (70-100K)"/>
    <n v="1"/>
    <n v="2016"/>
    <n v="1"/>
    <s v="Q1"/>
    <s v="Jan"/>
    <s v="2016-01"/>
    <s v="N/A"/>
    <s v="Production       "/>
    <n v="30"/>
    <n v="0"/>
    <s v="Medium"/>
    <n v="4.0999999999999996"/>
    <s v=""/>
    <m/>
  </r>
  <r>
    <s v="Lecter, Hannibal"/>
    <n v="10251"/>
    <n v="1"/>
    <n v="1"/>
    <n v="1"/>
    <n v="1"/>
    <n v="5"/>
    <n v="3"/>
    <n v="0"/>
    <n v="64738"/>
    <n v="0"/>
    <n v="19"/>
    <s v="Production Technician I"/>
    <s v="MA"/>
    <n v="1776"/>
    <d v="1982-09-02T00:00:00"/>
    <s v="M "/>
    <s v="Married"/>
    <s v="US Citizen"/>
    <s v="No"/>
    <s v="Asian"/>
    <d v="2012-05-14T00:00:00"/>
    <m/>
    <x v="0"/>
    <s v="Active"/>
    <s v="Production       "/>
    <s v="Elijiah Gray"/>
    <n v="16"/>
    <s v="Google Search"/>
    <s v="Fully Meets"/>
    <n v="4.0999999999999996"/>
    <n v="3"/>
    <n v="0"/>
    <s v="2/22/2019"/>
    <n v="0"/>
    <n v="10"/>
    <s v="Normal"/>
    <s v="low Outlier"/>
    <n v="43"/>
    <n v="13"/>
    <n v="13"/>
    <s v="10+ Years"/>
    <s v="36-45"/>
    <s v="Mid (40-70K)"/>
    <n v="1"/>
    <n v="2012"/>
    <n v="5"/>
    <s v="Q2"/>
    <s v="May"/>
    <s v="2012-05"/>
    <s v="N/A"/>
    <s v="Production       "/>
    <n v="33.333333333333329"/>
    <n v="0"/>
    <s v="Medium"/>
    <n v="4.0999999999999996"/>
    <s v=""/>
    <m/>
  </r>
  <r>
    <s v="Leruth, Giovanni"/>
    <n v="10103"/>
    <n v="0"/>
    <n v="3"/>
    <n v="1"/>
    <n v="1"/>
    <n v="6"/>
    <n v="3"/>
    <n v="0"/>
    <n v="70468"/>
    <n v="0"/>
    <n v="3"/>
    <s v="Area Sales Manager"/>
    <s v="UT"/>
    <n v="84111"/>
    <d v="1988-12-27T00:00:00"/>
    <s v="M "/>
    <s v="Separated"/>
    <s v="US Citizen"/>
    <s v="No"/>
    <s v="Black or African American"/>
    <d v="2012-04-30T00:00:00"/>
    <m/>
    <x v="0"/>
    <s v="Active"/>
    <s v="Sales"/>
    <s v="John Smith"/>
    <n v="17"/>
    <s v="Website"/>
    <s v="Fully Meets"/>
    <n v="4.53"/>
    <n v="3"/>
    <n v="0"/>
    <s v="1/29/2019"/>
    <n v="0"/>
    <n v="16"/>
    <s v="Normal"/>
    <s v="low Outlier"/>
    <n v="37"/>
    <n v="13"/>
    <n v="13"/>
    <s v="10+ Years"/>
    <s v="36-45"/>
    <s v="Senior (70-100K)"/>
    <n v="1"/>
    <n v="2012"/>
    <n v="4"/>
    <s v="Q2"/>
    <s v="Apr"/>
    <s v="2012-04"/>
    <s v="N/A"/>
    <s v="Production       "/>
    <n v="0"/>
    <n v="0"/>
    <s v="Medium"/>
    <n v="4.53"/>
    <s v=""/>
    <m/>
  </r>
  <r>
    <s v="Liebig, Ketsia"/>
    <n v="10017"/>
    <n v="1"/>
    <n v="1"/>
    <n v="0"/>
    <n v="1"/>
    <n v="5"/>
    <n v="4"/>
    <n v="0"/>
    <n v="77915"/>
    <n v="0"/>
    <n v="18"/>
    <s v="Production Manager"/>
    <s v="MA"/>
    <n v="2110"/>
    <d v="1981-10-26T00:00:00"/>
    <s v="F"/>
    <s v="Married"/>
    <s v="US Citizen"/>
    <s v="No"/>
    <s v="White"/>
    <d v="2013-09-30T00:00:00"/>
    <m/>
    <x v="0"/>
    <s v="Active"/>
    <s v="Production       "/>
    <s v="Janet King"/>
    <n v="2"/>
    <s v="Website"/>
    <s v="Exceeds"/>
    <n v="4.0999999999999996"/>
    <n v="3"/>
    <n v="0"/>
    <s v="1/21/2019"/>
    <n v="0"/>
    <n v="11"/>
    <s v="Normal"/>
    <s v="low Outlier"/>
    <n v="44"/>
    <n v="12"/>
    <n v="12"/>
    <s v="10+ Years"/>
    <s v="36-45"/>
    <s v="Senior (70-100K)"/>
    <n v="1"/>
    <n v="2013"/>
    <n v="9"/>
    <s v="Q3"/>
    <s v="Sep"/>
    <s v="2013-09"/>
    <s v="N/A"/>
    <s v="Production       "/>
    <n v="33.333333333333329"/>
    <n v="0"/>
    <s v="Low"/>
    <n v="4.0999999999999996"/>
    <s v=""/>
    <m/>
  </r>
  <r>
    <s v="Linares, Marilyn "/>
    <n v="10186"/>
    <n v="1"/>
    <n v="1"/>
    <n v="0"/>
    <n v="5"/>
    <n v="5"/>
    <n v="3"/>
    <n v="0"/>
    <n v="52624"/>
    <n v="1"/>
    <n v="19"/>
    <s v="Production Technician I"/>
    <s v="MA"/>
    <n v="1886"/>
    <d v="1981-03-26T00:00:00"/>
    <s v="F"/>
    <s v="Married"/>
    <s v="US Citizen"/>
    <s v="No"/>
    <s v="White"/>
    <d v="2011-07-05T00:00:00"/>
    <d v="2018-09-26T00:00:00"/>
    <x v="5"/>
    <s v="Voluntarily Terminated"/>
    <s v="Production       "/>
    <s v="Michael Albert"/>
    <n v="22"/>
    <s v="Indeed"/>
    <s v="Fully Meets"/>
    <n v="3.18"/>
    <n v="4"/>
    <n v="0"/>
    <s v="3/2/2018"/>
    <n v="0"/>
    <n v="16"/>
    <s v="Normal"/>
    <s v="low Outlier"/>
    <n v="45"/>
    <n v="14"/>
    <n v="7"/>
    <s v="10+ Years"/>
    <s v="36-45"/>
    <s v="Mid (40-70K)"/>
    <n v="0"/>
    <n v="2011"/>
    <n v="7"/>
    <s v="Q3"/>
    <s v="Jul"/>
    <s v="2011-07"/>
    <n v="2018"/>
    <s v="Production       "/>
    <n v="50"/>
    <n v="8"/>
    <s v="Medium"/>
    <s v=""/>
    <n v="3.18"/>
    <m/>
  </r>
  <r>
    <s v="Linden, Mathew"/>
    <n v="10137"/>
    <n v="1"/>
    <n v="1"/>
    <n v="1"/>
    <n v="3"/>
    <n v="5"/>
    <n v="3"/>
    <n v="0"/>
    <n v="63450"/>
    <n v="0"/>
    <n v="20"/>
    <s v="Production Technician II"/>
    <s v="MA"/>
    <n v="1770"/>
    <d v="1979-03-19T00:00:00"/>
    <s v="M "/>
    <s v="Married"/>
    <s v="US Citizen"/>
    <s v="No"/>
    <s v="White"/>
    <d v="2013-07-08T00:00:00"/>
    <m/>
    <x v="0"/>
    <s v="Active"/>
    <s v="Production       "/>
    <s v="Kelley Spirea"/>
    <n v="18"/>
    <s v="LinkedIn"/>
    <s v="Fully Meets"/>
    <n v="4"/>
    <n v="3"/>
    <n v="0"/>
    <s v="2/18/2019"/>
    <n v="0"/>
    <n v="7"/>
    <s v="Normal"/>
    <s v="low Outlier"/>
    <n v="47"/>
    <n v="12"/>
    <n v="12"/>
    <s v="10+ Years"/>
    <s v="46-55"/>
    <s v="Mid (40-70K)"/>
    <n v="1"/>
    <n v="2013"/>
    <n v="7"/>
    <s v="Q3"/>
    <s v="Jul"/>
    <s v="2013-07"/>
    <s v="N/A"/>
    <s v="Production       "/>
    <n v="22.222222222222221"/>
    <n v="0"/>
    <s v="Medium"/>
    <n v="4"/>
    <s v=""/>
    <m/>
  </r>
  <r>
    <s v="Lindsay, Leonara "/>
    <n v="10008"/>
    <n v="0"/>
    <n v="0"/>
    <n v="0"/>
    <n v="1"/>
    <n v="3"/>
    <n v="4"/>
    <n v="1"/>
    <n v="51777"/>
    <n v="0"/>
    <n v="14"/>
    <s v="IT Support"/>
    <s v="CT"/>
    <n v="6070"/>
    <d v="1988-10-05T00:00:00"/>
    <s v="F"/>
    <s v="Single"/>
    <s v="US Citizen"/>
    <s v="Yes"/>
    <s v="Black or African American"/>
    <d v="2011-01-21T00:00:00"/>
    <m/>
    <x v="0"/>
    <s v="Active"/>
    <s v="IT/IS"/>
    <s v="Eric Dougall"/>
    <n v="6"/>
    <s v="Diversity Job Fair"/>
    <s v="Exceeds"/>
    <n v="4.6399999999999997"/>
    <n v="4"/>
    <n v="5"/>
    <s v="1/25/2019"/>
    <n v="0"/>
    <n v="14"/>
    <s v="Normal"/>
    <s v="low Outlier"/>
    <n v="37"/>
    <n v="15"/>
    <n v="15"/>
    <s v="10+ Years"/>
    <s v="36-45"/>
    <s v="Mid (40-70K)"/>
    <n v="1"/>
    <n v="2011"/>
    <n v="1"/>
    <s v="Q1"/>
    <s v="Jan"/>
    <s v="2011-01"/>
    <s v="N/A"/>
    <s v="Production       "/>
    <n v="0"/>
    <n v="0"/>
    <s v="Low"/>
    <n v="4.6399999999999997"/>
    <s v=""/>
    <m/>
  </r>
  <r>
    <s v="Lundy, Susan"/>
    <n v="10096"/>
    <n v="0"/>
    <n v="4"/>
    <n v="0"/>
    <n v="5"/>
    <n v="5"/>
    <n v="3"/>
    <n v="0"/>
    <n v="67237"/>
    <n v="1"/>
    <n v="20"/>
    <s v="Production Technician II"/>
    <s v="MA"/>
    <n v="2122"/>
    <d v="1976-12-26T00:00:00"/>
    <s v="F"/>
    <s v="Widowed"/>
    <s v="US Citizen"/>
    <s v="No"/>
    <s v="White"/>
    <d v="2013-07-08T00:00:00"/>
    <d v="2016-09-15T00:00:00"/>
    <x v="11"/>
    <s v="Voluntarily Terminated"/>
    <s v="Production       "/>
    <s v="Michael Albert"/>
    <n v="22"/>
    <s v="LinkedIn"/>
    <s v="Fully Meets"/>
    <n v="4.6500000000000004"/>
    <n v="4"/>
    <n v="0"/>
    <s v="6/10/2016"/>
    <n v="0"/>
    <n v="15"/>
    <s v="Normal"/>
    <s v="low Outlier"/>
    <n v="49"/>
    <n v="12"/>
    <n v="3"/>
    <s v="10+ Years"/>
    <s v="46-55"/>
    <s v="Mid (40-70K)"/>
    <n v="0"/>
    <n v="2013"/>
    <n v="7"/>
    <s v="Q3"/>
    <s v="Jul"/>
    <s v="2013-07"/>
    <n v="2016"/>
    <s v="Production       "/>
    <n v="44.444444444444443"/>
    <n v="5"/>
    <s v="Medium"/>
    <s v=""/>
    <n v="4.6500000000000004"/>
    <m/>
  </r>
  <r>
    <s v="Lunquist, Lisa"/>
    <n v="10035"/>
    <n v="0"/>
    <n v="0"/>
    <n v="0"/>
    <n v="1"/>
    <n v="5"/>
    <n v="4"/>
    <n v="0"/>
    <n v="73330"/>
    <n v="0"/>
    <n v="20"/>
    <s v="Production Technician II"/>
    <s v="MA"/>
    <n v="2324"/>
    <d v="1982-03-28T00:00:00"/>
    <s v="F"/>
    <s v="Single"/>
    <s v="US Citizen"/>
    <s v="No"/>
    <s v="Black or African American"/>
    <d v="2013-08-19T00:00:00"/>
    <m/>
    <x v="0"/>
    <s v="Active"/>
    <s v="Production       "/>
    <s v="Elijiah Gray"/>
    <n v="16"/>
    <s v="Indeed"/>
    <s v="Exceeds"/>
    <n v="4.2"/>
    <n v="4"/>
    <n v="0"/>
    <s v="2/12/2019"/>
    <n v="0"/>
    <n v="19"/>
    <s v="Normal"/>
    <s v="low Outlier"/>
    <n v="44"/>
    <n v="12"/>
    <n v="12"/>
    <s v="10+ Years"/>
    <s v="36-45"/>
    <s v="Senior (70-100K)"/>
    <n v="1"/>
    <n v="2013"/>
    <n v="8"/>
    <s v="Q3"/>
    <s v="Aug"/>
    <s v="2013-08"/>
    <s v="N/A"/>
    <s v="Production       "/>
    <n v="36.363636363636367"/>
    <n v="0"/>
    <s v="Low"/>
    <n v="4.2"/>
    <s v=""/>
    <m/>
  </r>
  <r>
    <s v="Lydon, Allison"/>
    <n v="10057"/>
    <n v="1"/>
    <n v="1"/>
    <n v="0"/>
    <n v="3"/>
    <n v="5"/>
    <n v="3"/>
    <n v="0"/>
    <n v="52057"/>
    <n v="0"/>
    <n v="19"/>
    <s v="Production Technician I"/>
    <s v="MA"/>
    <n v="2122"/>
    <d v="1975-10-22T00:00:00"/>
    <s v="F"/>
    <s v="Married"/>
    <s v="US Citizen"/>
    <s v="No"/>
    <s v="Black or African American"/>
    <d v="2015-02-16T00:00:00"/>
    <m/>
    <x v="0"/>
    <s v="Active"/>
    <s v="Production       "/>
    <s v="Elijiah Gray"/>
    <n v="16"/>
    <s v="Website"/>
    <s v="Fully Meets"/>
    <n v="5"/>
    <n v="3"/>
    <n v="0"/>
    <s v="1/23/2019"/>
    <n v="0"/>
    <n v="6"/>
    <s v="Normal"/>
    <s v="low Outlier"/>
    <n v="50"/>
    <n v="11"/>
    <n v="11"/>
    <s v="10+ Years"/>
    <s v="46-55"/>
    <s v="Mid (40-70K)"/>
    <n v="1"/>
    <n v="2015"/>
    <n v="2"/>
    <s v="Q1"/>
    <s v="Feb"/>
    <s v="2015-02"/>
    <s v="N/A"/>
    <s v="Production       "/>
    <n v="40"/>
    <n v="0"/>
    <s v="Medium"/>
    <n v="5"/>
    <s v=""/>
    <m/>
  </r>
  <r>
    <s v="Lynch, Lindsay"/>
    <n v="10004"/>
    <n v="0"/>
    <n v="0"/>
    <n v="0"/>
    <n v="5"/>
    <n v="5"/>
    <n v="4"/>
    <n v="1"/>
    <n v="47434"/>
    <n v="1"/>
    <n v="19"/>
    <s v="Production Technician I"/>
    <s v="MA"/>
    <n v="1844"/>
    <d v="1973-02-14T00:00:00"/>
    <s v="F"/>
    <s v="Single"/>
    <s v="US Citizen"/>
    <s v="Yes"/>
    <s v="Black or African American"/>
    <d v="2011-11-07T00:00:00"/>
    <d v="2015-11-14T00:00:00"/>
    <x v="4"/>
    <s v="Voluntarily Terminated"/>
    <s v="Production       "/>
    <s v="Webster Butler"/>
    <n v="39"/>
    <s v="Diversity Job Fair"/>
    <s v="Exceeds"/>
    <n v="5"/>
    <n v="4"/>
    <n v="0"/>
    <s v="2/2/2015"/>
    <n v="0"/>
    <n v="17"/>
    <s v="Normal"/>
    <s v="low Outlier"/>
    <n v="53"/>
    <n v="14"/>
    <n v="4"/>
    <s v="10+ Years"/>
    <s v="46-55"/>
    <s v="Mid (40-70K)"/>
    <n v="0"/>
    <n v="2011"/>
    <n v="11"/>
    <s v="Q4"/>
    <s v="Nov"/>
    <s v="2011-11"/>
    <n v="2015"/>
    <s v="Production       "/>
    <n v="70"/>
    <n v="15"/>
    <s v="Low"/>
    <s v=""/>
    <n v="5"/>
    <m/>
  </r>
  <r>
    <s v="MacLennan, Samuel"/>
    <n v="10191"/>
    <n v="0"/>
    <n v="4"/>
    <n v="1"/>
    <n v="5"/>
    <n v="5"/>
    <n v="3"/>
    <n v="0"/>
    <n v="52788"/>
    <n v="1"/>
    <n v="19"/>
    <s v="Production Technician I"/>
    <s v="MA"/>
    <n v="1938"/>
    <d v="1972-11-09T00:00:00"/>
    <s v="M "/>
    <s v="Widowed"/>
    <s v="US Citizen"/>
    <s v="No"/>
    <s v="White"/>
    <d v="2012-09-24T00:00:00"/>
    <d v="2017-09-26T00:00:00"/>
    <x v="2"/>
    <s v="Voluntarily Terminated"/>
    <s v="Production       "/>
    <s v="Amy Dunn"/>
    <n v="11"/>
    <s v="Indeed"/>
    <s v="Fully Meets"/>
    <n v="3.08"/>
    <n v="4"/>
    <n v="0"/>
    <s v="4/1/2017"/>
    <n v="0"/>
    <n v="18"/>
    <s v="Normal"/>
    <s v="low Outlier"/>
    <n v="53"/>
    <n v="13"/>
    <n v="5"/>
    <s v="10+ Years"/>
    <s v="46-55"/>
    <s v="Mid (40-70K)"/>
    <n v="0"/>
    <n v="2012"/>
    <n v="9"/>
    <s v="Q3"/>
    <s v="Sep"/>
    <s v="2012-09"/>
    <n v="2017"/>
    <s v="Production       "/>
    <n v="90"/>
    <n v="4"/>
    <s v="Medium"/>
    <s v=""/>
    <n v="3.08"/>
    <m/>
  </r>
  <r>
    <s v="Mahoney, Lauren  "/>
    <n v="10219"/>
    <n v="0"/>
    <n v="0"/>
    <n v="0"/>
    <n v="1"/>
    <n v="5"/>
    <n v="3"/>
    <n v="0"/>
    <n v="45395"/>
    <n v="0"/>
    <n v="19"/>
    <s v="Production Technician I"/>
    <s v="MA"/>
    <n v="2189"/>
    <d v="1986-07-07T00:00:00"/>
    <s v="F"/>
    <s v="Single"/>
    <s v="US Citizen"/>
    <s v="No"/>
    <s v="White"/>
    <d v="2014-01-06T00:00:00"/>
    <m/>
    <x v="0"/>
    <s v="Active"/>
    <s v="Production       "/>
    <s v="Ketsia Liebig"/>
    <n v="19"/>
    <s v="LinkedIn"/>
    <s v="Fully Meets"/>
    <n v="4.5999999999999996"/>
    <n v="4"/>
    <n v="0"/>
    <s v="2/26/2019"/>
    <n v="0"/>
    <n v="14"/>
    <s v="Normal"/>
    <s v="low Outlier"/>
    <n v="39"/>
    <n v="12"/>
    <n v="12"/>
    <s v="10+ Years"/>
    <s v="36-45"/>
    <s v="Mid (40-70K)"/>
    <n v="1"/>
    <n v="2014"/>
    <n v="1"/>
    <s v="Q1"/>
    <s v="Jan"/>
    <s v="2014-01"/>
    <s v="N/A"/>
    <s v="Production       "/>
    <n v="44.444444444444443"/>
    <n v="0"/>
    <s v="Medium"/>
    <n v="4.5999999999999996"/>
    <s v=""/>
    <m/>
  </r>
  <r>
    <s v="Manchester, Robyn"/>
    <n v="10077"/>
    <n v="1"/>
    <n v="1"/>
    <n v="0"/>
    <n v="2"/>
    <n v="5"/>
    <n v="3"/>
    <n v="0"/>
    <n v="62385"/>
    <n v="0"/>
    <n v="20"/>
    <s v="Production Technician II"/>
    <s v="MA"/>
    <n v="2324"/>
    <d v="1976-08-25T00:00:00"/>
    <s v="F"/>
    <s v="Married"/>
    <s v="US Citizen"/>
    <s v="No"/>
    <s v="White"/>
    <d v="2016-05-11T00:00:00"/>
    <m/>
    <x v="0"/>
    <s v="Active"/>
    <s v="Production       "/>
    <s v="Webster Butler"/>
    <m/>
    <s v="LinkedIn"/>
    <s v="Fully Meets"/>
    <n v="5"/>
    <n v="3"/>
    <n v="0"/>
    <s v="1/21/2019"/>
    <n v="0"/>
    <n v="4"/>
    <s v="Normal"/>
    <s v="low Outlier"/>
    <n v="49"/>
    <n v="9"/>
    <n v="9"/>
    <s v="5-10 Years"/>
    <s v="46-55"/>
    <s v="Mid (40-70K)"/>
    <n v="1"/>
    <n v="2016"/>
    <n v="5"/>
    <s v="Q2"/>
    <s v="May"/>
    <s v="2016-05"/>
    <s v="N/A"/>
    <s v="Production       "/>
    <n v="66.666666666666657"/>
    <n v="0"/>
    <s v="Medium"/>
    <n v="5"/>
    <s v=""/>
    <m/>
  </r>
  <r>
    <s v="Mancuso, Karen"/>
    <n v="10073"/>
    <n v="1"/>
    <n v="1"/>
    <n v="0"/>
    <n v="5"/>
    <n v="5"/>
    <n v="3"/>
    <n v="0"/>
    <n v="68407"/>
    <n v="1"/>
    <n v="20"/>
    <s v="Production Technician II"/>
    <s v="MA"/>
    <n v="2176"/>
    <d v="1986-12-10T00:00:00"/>
    <s v="F"/>
    <s v="Married"/>
    <s v="US Citizen"/>
    <s v="No"/>
    <s v="Two or more races"/>
    <d v="2011-07-05T00:00:00"/>
    <d v="2012-08-19T00:00:00"/>
    <x v="4"/>
    <s v="Voluntarily Terminated"/>
    <s v="Production       "/>
    <s v="Amy Dunn"/>
    <n v="11"/>
    <s v="LinkedIn"/>
    <s v="Fully Meets"/>
    <n v="5"/>
    <n v="4"/>
    <n v="0"/>
    <s v="7/2/2012"/>
    <n v="0"/>
    <n v="16"/>
    <s v="Normal"/>
    <s v="low Outlier"/>
    <n v="39"/>
    <n v="14"/>
    <n v="1"/>
    <s v="10+ Years"/>
    <s v="36-45"/>
    <s v="Mid (40-70K)"/>
    <n v="0"/>
    <n v="2011"/>
    <n v="7"/>
    <s v="Q3"/>
    <s v="Jul"/>
    <s v="2011-07"/>
    <n v="2012"/>
    <s v="Production       "/>
    <n v="88.888888888888886"/>
    <n v="14"/>
    <s v="Medium"/>
    <s v=""/>
    <n v="5"/>
    <m/>
  </r>
  <r>
    <s v="Mangal, Debbie"/>
    <n v="10279"/>
    <n v="1"/>
    <n v="1"/>
    <n v="0"/>
    <n v="1"/>
    <n v="5"/>
    <n v="3"/>
    <n v="0"/>
    <n v="61349"/>
    <n v="0"/>
    <n v="19"/>
    <s v="Production Technician I"/>
    <s v="MA"/>
    <n v="2451"/>
    <d v="1974-11-07T00:00:00"/>
    <s v="F"/>
    <s v="Married"/>
    <s v="US Citizen"/>
    <s v="No"/>
    <s v="White"/>
    <d v="2013-11-11T00:00:00"/>
    <m/>
    <x v="0"/>
    <s v="Active"/>
    <s v="Production       "/>
    <s v="Brannon Miller"/>
    <n v="12"/>
    <s v="LinkedIn"/>
    <s v="Fully Meets"/>
    <n v="4.0999999999999996"/>
    <n v="3"/>
    <n v="0"/>
    <s v="1/22/2019"/>
    <n v="0"/>
    <n v="11"/>
    <s v="Normal"/>
    <s v="low Outlier"/>
    <n v="51"/>
    <n v="12"/>
    <n v="12"/>
    <s v="10+ Years"/>
    <s v="46-55"/>
    <s v="Mid (40-70K)"/>
    <n v="1"/>
    <n v="2013"/>
    <n v="11"/>
    <s v="Q4"/>
    <s v="Nov"/>
    <s v="2013-11"/>
    <s v="N/A"/>
    <s v="Production       "/>
    <n v="40"/>
    <n v="0"/>
    <s v="Medium"/>
    <n v="4.0999999999999996"/>
    <s v=""/>
    <m/>
  </r>
  <r>
    <s v="Martin, Sandra"/>
    <n v="10110"/>
    <n v="0"/>
    <n v="0"/>
    <n v="0"/>
    <n v="1"/>
    <n v="4"/>
    <n v="3"/>
    <n v="0"/>
    <n v="105688"/>
    <n v="0"/>
    <n v="24"/>
    <s v="Software Engineer"/>
    <s v="MA"/>
    <n v="2135"/>
    <d v="1987-11-07T00:00:00"/>
    <s v="F"/>
    <s v="Single"/>
    <s v="US Citizen"/>
    <s v="No"/>
    <s v="Asian"/>
    <d v="2013-11-11T00:00:00"/>
    <m/>
    <x v="0"/>
    <s v="Active"/>
    <s v="Software Engineering"/>
    <s v="Alex Sweetwater"/>
    <n v="10"/>
    <s v="Google Search"/>
    <s v="Fully Meets"/>
    <n v="4.5"/>
    <n v="5"/>
    <n v="4"/>
    <s v="1/14/2019"/>
    <n v="0"/>
    <n v="14"/>
    <s v="Normal"/>
    <s v="low Outlier"/>
    <n v="38"/>
    <n v="12"/>
    <n v="12"/>
    <s v="10+ Years"/>
    <s v="36-45"/>
    <s v="Executive (100K+)"/>
    <n v="1"/>
    <n v="2013"/>
    <n v="11"/>
    <s v="Q4"/>
    <s v="Nov"/>
    <s v="2013-11"/>
    <s v="N/A"/>
    <s v="Production       "/>
    <n v="40"/>
    <n v="0"/>
    <s v="Medium"/>
    <n v="4.5"/>
    <s v=""/>
    <m/>
  </r>
  <r>
    <s v="Maurice, Shana"/>
    <n v="10053"/>
    <n v="1"/>
    <n v="1"/>
    <n v="0"/>
    <n v="1"/>
    <n v="5"/>
    <n v="3"/>
    <n v="0"/>
    <n v="54132"/>
    <n v="0"/>
    <n v="19"/>
    <s v="Production Technician I"/>
    <s v="MA"/>
    <n v="2330"/>
    <d v="1977-11-22T00:00:00"/>
    <s v="F"/>
    <s v="Married"/>
    <s v="US Citizen"/>
    <s v="No"/>
    <s v="White"/>
    <d v="2011-05-31T00:00:00"/>
    <m/>
    <x v="0"/>
    <s v="Active"/>
    <s v="Production       "/>
    <s v="David Stanley"/>
    <n v="14"/>
    <s v="Indeed"/>
    <s v="Fully Meets"/>
    <n v="5"/>
    <n v="4"/>
    <n v="0"/>
    <s v="1/10/2019"/>
    <n v="0"/>
    <n v="8"/>
    <s v="Normal"/>
    <s v="low Outlier"/>
    <n v="48"/>
    <n v="14"/>
    <n v="14"/>
    <s v="10+ Years"/>
    <s v="46-55"/>
    <s v="Mid (40-70K)"/>
    <n v="1"/>
    <n v="2011"/>
    <n v="5"/>
    <s v="Q2"/>
    <s v="May"/>
    <s v="2011-05"/>
    <s v="N/A"/>
    <s v="Production       "/>
    <n v="20"/>
    <n v="0"/>
    <s v="Medium"/>
    <n v="5"/>
    <s v=""/>
    <m/>
  </r>
  <r>
    <s v="Carthy, B'rigit"/>
    <n v="10076"/>
    <n v="0"/>
    <n v="0"/>
    <n v="0"/>
    <n v="1"/>
    <n v="5"/>
    <n v="3"/>
    <n v="0"/>
    <n v="55315"/>
    <n v="0"/>
    <n v="20"/>
    <s v="Production Technician II"/>
    <s v="MA"/>
    <n v="2149"/>
    <d v="1987-05-21T00:00:00"/>
    <s v="F"/>
    <s v="Single"/>
    <s v="US Citizen"/>
    <s v="No"/>
    <s v="Black or African American"/>
    <d v="2015-03-30T00:00:00"/>
    <m/>
    <x v="0"/>
    <s v="Active"/>
    <s v="Production       "/>
    <s v="Ketsia Liebig"/>
    <n v="19"/>
    <s v="LinkedIn"/>
    <s v="Fully Meets"/>
    <n v="5"/>
    <n v="5"/>
    <n v="0"/>
    <s v="2/7/2019"/>
    <n v="0"/>
    <n v="16"/>
    <s v="Normal"/>
    <s v="low Outlier"/>
    <n v="38"/>
    <n v="10"/>
    <n v="10"/>
    <s v="10+ Years"/>
    <s v="36-45"/>
    <s v="Mid (40-70K)"/>
    <n v="1"/>
    <n v="2015"/>
    <n v="3"/>
    <s v="Q1"/>
    <s v="Mar"/>
    <s v="2015-03"/>
    <s v="N/A"/>
    <s v="Production       "/>
    <n v="50"/>
    <n v="0"/>
    <s v="Medium"/>
    <n v="5"/>
    <s v=""/>
    <m/>
  </r>
  <r>
    <s v="Mckenna, Sandy"/>
    <n v="10145"/>
    <n v="1"/>
    <n v="1"/>
    <n v="0"/>
    <n v="1"/>
    <n v="5"/>
    <n v="3"/>
    <n v="0"/>
    <n v="62810"/>
    <n v="0"/>
    <n v="19"/>
    <s v="Production Technician I"/>
    <s v="MA"/>
    <n v="2184"/>
    <d v="1987-01-07T00:00:00"/>
    <s v="F"/>
    <s v="Married"/>
    <s v="US Citizen"/>
    <s v="No"/>
    <s v="Black or African American"/>
    <d v="2013-01-07T00:00:00"/>
    <m/>
    <x v="0"/>
    <s v="Active"/>
    <s v="Production       "/>
    <s v="Kissy Sullivan"/>
    <n v="20"/>
    <s v="CareerBuilder"/>
    <s v="Fully Meets"/>
    <n v="3.93"/>
    <n v="3"/>
    <n v="0"/>
    <s v="1/30/2019"/>
    <n v="0"/>
    <n v="20"/>
    <s v="Normal"/>
    <s v="low Outlier"/>
    <n v="39"/>
    <n v="13"/>
    <n v="13"/>
    <s v="10+ Years"/>
    <s v="36-45"/>
    <s v="Mid (40-70K)"/>
    <n v="1"/>
    <n v="2013"/>
    <n v="1"/>
    <s v="Q1"/>
    <s v="Jan"/>
    <s v="2013-01"/>
    <s v="N/A"/>
    <s v="Production       "/>
    <n v="54.54545454545454"/>
    <n v="0"/>
    <s v="Medium"/>
    <n v="3.93"/>
    <s v=""/>
    <m/>
  </r>
  <r>
    <s v="McKinzie, Jac"/>
    <n v="10202"/>
    <n v="1"/>
    <n v="1"/>
    <n v="1"/>
    <n v="2"/>
    <n v="6"/>
    <n v="3"/>
    <n v="0"/>
    <n v="63291"/>
    <n v="0"/>
    <n v="3"/>
    <s v="Area Sales Manager"/>
    <s v="TX"/>
    <n v="78789"/>
    <d v="1984-07-01T00:00:00"/>
    <s v="M "/>
    <s v="Married"/>
    <s v="US Citizen"/>
    <s v="No"/>
    <s v="Two or more races"/>
    <d v="2016-07-06T00:00:00"/>
    <m/>
    <x v="0"/>
    <s v="Active"/>
    <s v="Sales"/>
    <s v="Lynn Daneault"/>
    <n v="21"/>
    <s v="Website"/>
    <s v="Fully Meets"/>
    <n v="3.4"/>
    <n v="4"/>
    <n v="0"/>
    <s v="1/29/2019"/>
    <n v="0"/>
    <n v="7"/>
    <s v="Normal"/>
    <s v="low Outlier"/>
    <n v="41"/>
    <n v="9"/>
    <n v="9"/>
    <s v="5-10 Years"/>
    <s v="36-45"/>
    <s v="Mid (40-70K)"/>
    <n v="1"/>
    <n v="2016"/>
    <n v="7"/>
    <s v="Q3"/>
    <s v="Jul"/>
    <s v="2016-07"/>
    <s v="N/A"/>
    <s v="Production       "/>
    <n v="0"/>
    <n v="0"/>
    <s v="Medium"/>
    <n v="3.4"/>
    <s v=""/>
    <m/>
  </r>
  <r>
    <s v="Meads, Elizabeth"/>
    <n v="10128"/>
    <n v="0"/>
    <n v="0"/>
    <n v="0"/>
    <n v="5"/>
    <n v="5"/>
    <n v="3"/>
    <n v="1"/>
    <n v="62659"/>
    <n v="1"/>
    <n v="19"/>
    <s v="Production Technician I"/>
    <s v="MA"/>
    <n v="1760"/>
    <d v="1968-05-30T00:00:00"/>
    <s v="F"/>
    <s v="Single"/>
    <s v="US Citizen"/>
    <s v="No"/>
    <s v="Black or African American"/>
    <d v="2012-04-02T00:00:00"/>
    <d v="2016-11-11T00:00:00"/>
    <x v="4"/>
    <s v="Voluntarily Terminated"/>
    <s v="Production       "/>
    <s v="Kelley Spirea"/>
    <n v="18"/>
    <s v="Diversity Job Fair"/>
    <s v="Fully Meets"/>
    <n v="4.18"/>
    <n v="4"/>
    <n v="0"/>
    <s v="2/5/2016"/>
    <n v="0"/>
    <n v="17"/>
    <s v="Normal"/>
    <s v="low Outlier"/>
    <n v="57"/>
    <n v="13"/>
    <n v="4"/>
    <s v="10+ Years"/>
    <s v="55+"/>
    <s v="Mid (40-70K)"/>
    <n v="0"/>
    <n v="2012"/>
    <n v="4"/>
    <s v="Q2"/>
    <s v="Apr"/>
    <s v="2012-04"/>
    <n v="2016"/>
    <s v="Production       "/>
    <n v="25"/>
    <n v="13"/>
    <s v="Medium"/>
    <s v=""/>
    <n v="4.18"/>
    <m/>
  </r>
  <r>
    <s v="Medeiros, Jennifer"/>
    <n v="10068"/>
    <n v="0"/>
    <n v="0"/>
    <n v="0"/>
    <n v="1"/>
    <n v="5"/>
    <n v="3"/>
    <n v="0"/>
    <n v="55688"/>
    <n v="0"/>
    <n v="19"/>
    <s v="Production Technician I"/>
    <s v="MA"/>
    <n v="2346"/>
    <d v="1976-09-22T00:00:00"/>
    <s v="F"/>
    <s v="Single"/>
    <s v="US Citizen"/>
    <s v="No"/>
    <s v="White"/>
    <d v="2015-03-30T00:00:00"/>
    <m/>
    <x v="0"/>
    <s v="Active"/>
    <s v="Production       "/>
    <s v="Michael Albert"/>
    <n v="22"/>
    <s v="CareerBuilder"/>
    <s v="Fully Meets"/>
    <n v="5"/>
    <n v="4"/>
    <n v="0"/>
    <s v="1/21/2019"/>
    <n v="0"/>
    <n v="10"/>
    <s v="Normal"/>
    <s v="low Outlier"/>
    <n v="49"/>
    <n v="10"/>
    <n v="10"/>
    <s v="10+ Years"/>
    <s v="46-55"/>
    <s v="Mid (40-70K)"/>
    <n v="1"/>
    <n v="2015"/>
    <n v="3"/>
    <s v="Q1"/>
    <s v="Mar"/>
    <s v="2015-03"/>
    <s v="N/A"/>
    <s v="Production       "/>
    <n v="37.5"/>
    <n v="0"/>
    <s v="Medium"/>
    <n v="5"/>
    <s v=""/>
    <m/>
  </r>
  <r>
    <s v="Miller, Brannon"/>
    <n v="10116"/>
    <n v="0"/>
    <n v="0"/>
    <n v="1"/>
    <n v="1"/>
    <n v="5"/>
    <n v="3"/>
    <n v="0"/>
    <n v="83667"/>
    <n v="0"/>
    <n v="18"/>
    <s v="Production Manager"/>
    <s v="MA"/>
    <n v="2045"/>
    <d v="1981-08-10T00:00:00"/>
    <s v="M "/>
    <s v="Single"/>
    <s v="US Citizen"/>
    <s v="Yes"/>
    <s v="Hispanic"/>
    <d v="2012-08-16T00:00:00"/>
    <m/>
    <x v="0"/>
    <s v="Active"/>
    <s v="Production       "/>
    <s v="Janet King"/>
    <n v="2"/>
    <s v="Indeed"/>
    <s v="Fully Meets"/>
    <n v="4.37"/>
    <n v="3"/>
    <n v="0"/>
    <s v="1/14/2019"/>
    <n v="0"/>
    <n v="2"/>
    <s v="Normal"/>
    <s v="low Outlier"/>
    <n v="44"/>
    <n v="13"/>
    <n v="13"/>
    <s v="10+ Years"/>
    <s v="36-45"/>
    <s v="Senior (70-100K)"/>
    <n v="1"/>
    <n v="2012"/>
    <n v="8"/>
    <s v="Q3"/>
    <s v="Aug"/>
    <s v="2012-08"/>
    <s v="N/A"/>
    <s v="Production       "/>
    <n v="37.5"/>
    <n v="0"/>
    <s v="Medium"/>
    <n v="4.37"/>
    <s v=""/>
    <m/>
  </r>
  <r>
    <s v="Miller, Ned"/>
    <n v="10298"/>
    <n v="0"/>
    <n v="0"/>
    <n v="1"/>
    <n v="5"/>
    <n v="5"/>
    <n v="1"/>
    <n v="0"/>
    <n v="55800"/>
    <n v="1"/>
    <n v="20"/>
    <s v="Production Technician II"/>
    <s v="MA"/>
    <n v="2472"/>
    <d v="1985-06-29T00:00:00"/>
    <s v="M "/>
    <s v="Single"/>
    <s v="US Citizen"/>
    <s v="No"/>
    <s v="White"/>
    <d v="2011-08-15T00:00:00"/>
    <d v="2014-09-04T00:00:00"/>
    <x v="5"/>
    <s v="Voluntarily Terminated"/>
    <s v="Production       "/>
    <s v="Brannon Miller"/>
    <n v="12"/>
    <s v="LinkedIn"/>
    <s v="PIP"/>
    <n v="3"/>
    <n v="2"/>
    <n v="0"/>
    <s v="1/14/2013"/>
    <n v="6"/>
    <n v="6"/>
    <s v="Normal"/>
    <s v="low Outlier"/>
    <n v="40"/>
    <n v="14"/>
    <n v="3"/>
    <s v="10+ Years"/>
    <s v="36-45"/>
    <s v="Mid (40-70K)"/>
    <n v="0"/>
    <n v="2011"/>
    <n v="8"/>
    <s v="Q3"/>
    <s v="Aug"/>
    <s v="2011-08"/>
    <n v="2014"/>
    <s v="Production       "/>
    <n v="44.444444444444443"/>
    <n v="7"/>
    <s v="High"/>
    <s v=""/>
    <n v="3"/>
    <m/>
  </r>
  <r>
    <s v="Monkfish, Erasumus"/>
    <n v="10213"/>
    <n v="1"/>
    <n v="1"/>
    <n v="1"/>
    <n v="1"/>
    <n v="5"/>
    <n v="3"/>
    <n v="0"/>
    <n v="58207"/>
    <n v="0"/>
    <n v="20"/>
    <s v="Production Technician II"/>
    <s v="MA"/>
    <n v="1450"/>
    <d v="1992-08-17T00:00:00"/>
    <s v="M "/>
    <s v="Married"/>
    <s v="US Citizen"/>
    <s v="No"/>
    <s v="White"/>
    <d v="2011-11-07T00:00:00"/>
    <m/>
    <x v="0"/>
    <s v="Active"/>
    <s v="Production       "/>
    <s v="David Stanley"/>
    <n v="14"/>
    <s v="LinkedIn"/>
    <s v="Fully Meets"/>
    <n v="3.7"/>
    <n v="3"/>
    <n v="0"/>
    <s v="1/8/2019"/>
    <n v="0"/>
    <n v="14"/>
    <s v="Normal"/>
    <s v="low Outlier"/>
    <n v="33"/>
    <n v="14"/>
    <n v="14"/>
    <s v="10+ Years"/>
    <s v="26-35"/>
    <s v="Mid (40-70K)"/>
    <n v="1"/>
    <n v="2011"/>
    <n v="11"/>
    <s v="Q4"/>
    <s v="Nov"/>
    <s v="2011-11"/>
    <s v="N/A"/>
    <s v="Production       "/>
    <n v="22.222222222222221"/>
    <n v="0"/>
    <s v="Medium"/>
    <n v="3.7"/>
    <s v=""/>
    <m/>
  </r>
  <r>
    <s v="Monroe, Peter"/>
    <n v="10288"/>
    <n v="1"/>
    <n v="1"/>
    <n v="1"/>
    <n v="1"/>
    <n v="3"/>
    <n v="2"/>
    <n v="1"/>
    <n v="157000"/>
    <n v="0"/>
    <n v="13"/>
    <s v="IT Manager - Infra"/>
    <s v="MA"/>
    <n v="2134"/>
    <d v="1986-10-05T00:00:00"/>
    <s v="M "/>
    <s v="Married"/>
    <s v="Eligible NonCitizen"/>
    <s v="Yes"/>
    <s v="Black or African American"/>
    <d v="2012-02-15T00:00:00"/>
    <m/>
    <x v="0"/>
    <s v="Active"/>
    <s v="IT/IS"/>
    <s v="Jennifer Zamora"/>
    <n v="5"/>
    <s v="Diversity Job Fair"/>
    <s v="Needs Improvement"/>
    <n v="2.39"/>
    <n v="3"/>
    <n v="6"/>
    <s v="2/22/2019"/>
    <n v="4"/>
    <n v="13"/>
    <s v=" high Outlier"/>
    <s v="low Outlier"/>
    <n v="39"/>
    <n v="14"/>
    <n v="14"/>
    <s v="10+ Years"/>
    <s v="36-45"/>
    <s v="Executive (100K+)"/>
    <n v="1"/>
    <n v="2012"/>
    <n v="2"/>
    <s v="Q1"/>
    <s v="Feb"/>
    <s v="2012-02"/>
    <s v="N/A"/>
    <s v="Production       "/>
    <n v="33.333333333333329"/>
    <n v="0"/>
    <s v="High"/>
    <n v="2.39"/>
    <s v=""/>
    <m/>
  </r>
  <r>
    <s v="Monterro, Luisa"/>
    <n v="10025"/>
    <n v="0"/>
    <n v="0"/>
    <n v="0"/>
    <n v="1"/>
    <n v="5"/>
    <n v="4"/>
    <n v="0"/>
    <n v="72460"/>
    <n v="0"/>
    <n v="20"/>
    <s v="Production Technician II"/>
    <s v="MA"/>
    <n v="2126"/>
    <d v="1970-04-24T00:00:00"/>
    <s v="F"/>
    <s v="Single"/>
    <s v="US Citizen"/>
    <s v="No"/>
    <s v="Black or African American"/>
    <d v="2013-05-13T00:00:00"/>
    <m/>
    <x v="0"/>
    <s v="Active"/>
    <s v="Production       "/>
    <s v="Kissy Sullivan"/>
    <n v="20"/>
    <s v="Indeed"/>
    <s v="Exceeds"/>
    <n v="4.7"/>
    <n v="3"/>
    <n v="0"/>
    <s v="1/14/2019"/>
    <n v="0"/>
    <n v="1"/>
    <s v="Normal"/>
    <s v="low Outlier"/>
    <n v="55"/>
    <n v="12"/>
    <n v="12"/>
    <s v="10+ Years"/>
    <s v="46-55"/>
    <s v="Senior (70-100K)"/>
    <n v="1"/>
    <n v="2013"/>
    <n v="5"/>
    <s v="Q2"/>
    <s v="May"/>
    <s v="2013-05"/>
    <s v="N/A"/>
    <s v="Production       "/>
    <n v="60"/>
    <n v="0"/>
    <s v="Low"/>
    <n v="4.7"/>
    <s v=""/>
    <m/>
  </r>
  <r>
    <s v="Moran, Patrick"/>
    <n v="10223"/>
    <n v="0"/>
    <n v="0"/>
    <n v="1"/>
    <n v="3"/>
    <n v="5"/>
    <n v="3"/>
    <n v="1"/>
    <n v="72106"/>
    <n v="0"/>
    <n v="20"/>
    <s v="Production Technician II"/>
    <s v="MA"/>
    <n v="2127"/>
    <d v="1976-12-03T00:00:00"/>
    <s v="M "/>
    <s v="Single"/>
    <s v="US Citizen"/>
    <s v="No"/>
    <s v="Black or African American"/>
    <d v="2012-01-09T00:00:00"/>
    <m/>
    <x v="0"/>
    <s v="Active"/>
    <s v="Production       "/>
    <s v="Kelley Spirea"/>
    <n v="18"/>
    <s v="Diversity Job Fair"/>
    <s v="Fully Meets"/>
    <n v="4.0999999999999996"/>
    <n v="4"/>
    <n v="0"/>
    <s v="1/31/2019"/>
    <n v="0"/>
    <n v="12"/>
    <s v="Normal"/>
    <s v="low Outlier"/>
    <n v="49"/>
    <n v="14"/>
    <n v="14"/>
    <s v="10+ Years"/>
    <s v="46-55"/>
    <s v="Senior (70-100K)"/>
    <n v="1"/>
    <n v="2012"/>
    <n v="1"/>
    <s v="Q1"/>
    <s v="Jan"/>
    <s v="2012-01"/>
    <s v="N/A"/>
    <s v="Production       "/>
    <n v="14.285714285714285"/>
    <n v="0"/>
    <s v="Medium"/>
    <n v="4.0999999999999996"/>
    <s v=""/>
    <m/>
  </r>
  <r>
    <s v="Morway, Tanya"/>
    <n v="10151"/>
    <n v="1"/>
    <n v="1"/>
    <n v="0"/>
    <n v="1"/>
    <n v="3"/>
    <n v="3"/>
    <n v="0"/>
    <n v="52599"/>
    <n v="0"/>
    <n v="15"/>
    <s v="Network Engineer"/>
    <s v="MA"/>
    <n v="2048"/>
    <d v="1979-04-04T00:00:00"/>
    <s v="F"/>
    <s v="Married"/>
    <s v="US Citizen"/>
    <s v="No"/>
    <s v="White"/>
    <d v="2015-02-16T00:00:00"/>
    <m/>
    <x v="0"/>
    <s v="Active"/>
    <s v="IT/IS"/>
    <s v="Peter Monroe"/>
    <n v="7"/>
    <s v="CareerBuilder"/>
    <s v="Fully Meets"/>
    <n v="3.81"/>
    <n v="3"/>
    <n v="6"/>
    <s v="2/11/2019"/>
    <n v="0"/>
    <n v="6"/>
    <s v="Normal"/>
    <s v="low Outlier"/>
    <n v="46"/>
    <n v="11"/>
    <n v="11"/>
    <s v="10+ Years"/>
    <s v="46-55"/>
    <s v="Mid (40-70K)"/>
    <n v="1"/>
    <n v="2015"/>
    <n v="2"/>
    <s v="Q1"/>
    <s v="Feb"/>
    <s v="2015-02"/>
    <s v="N/A"/>
    <s v="Production       "/>
    <n v="16.666666666666664"/>
    <n v="0"/>
    <s v="Medium"/>
    <n v="3.81"/>
    <s v=""/>
    <m/>
  </r>
  <r>
    <s v="Motlagh,  Dawn"/>
    <n v="10254"/>
    <n v="0"/>
    <n v="2"/>
    <n v="0"/>
    <n v="1"/>
    <n v="5"/>
    <n v="3"/>
    <n v="0"/>
    <n v="63430"/>
    <n v="0"/>
    <n v="19"/>
    <s v="Production Technician I"/>
    <s v="MA"/>
    <n v="2453"/>
    <d v="1984-07-07T00:00:00"/>
    <s v="F"/>
    <s v="Divorced"/>
    <s v="US Citizen"/>
    <s v="No"/>
    <s v="White"/>
    <d v="2013-04-01T00:00:00"/>
    <m/>
    <x v="0"/>
    <s v="Active"/>
    <s v="Production       "/>
    <s v="Elijiah Gray"/>
    <n v="16"/>
    <s v="LinkedIn"/>
    <s v="Fully Meets"/>
    <n v="4.4000000000000004"/>
    <n v="4"/>
    <n v="0"/>
    <s v="1/17/2019"/>
    <n v="0"/>
    <n v="18"/>
    <s v="Normal"/>
    <s v="low Outlier"/>
    <n v="41"/>
    <n v="12"/>
    <n v="12"/>
    <s v="10+ Years"/>
    <s v="36-45"/>
    <s v="Mid (40-70K)"/>
    <n v="1"/>
    <n v="2013"/>
    <n v="4"/>
    <s v="Q2"/>
    <s v="Apr"/>
    <s v="2013-04"/>
    <s v="N/A"/>
    <s v="Production       "/>
    <n v="44.444444444444443"/>
    <n v="0"/>
    <s v="Medium"/>
    <n v="4.4000000000000004"/>
    <s v=""/>
    <m/>
  </r>
  <r>
    <s v="Moumanil, Maliki "/>
    <n v="10120"/>
    <n v="0"/>
    <n v="3"/>
    <n v="1"/>
    <n v="1"/>
    <n v="5"/>
    <n v="3"/>
    <n v="0"/>
    <n v="74417"/>
    <n v="0"/>
    <n v="20"/>
    <s v="Production Technician II"/>
    <s v="MA"/>
    <n v="1460"/>
    <d v="1974-12-01T00:00:00"/>
    <s v="M "/>
    <s v="Separated"/>
    <s v="US Citizen"/>
    <s v="No"/>
    <s v="Black or African American"/>
    <d v="2013-05-13T00:00:00"/>
    <m/>
    <x v="0"/>
    <s v="Active"/>
    <s v="Production       "/>
    <s v="Michael Albert"/>
    <n v="22"/>
    <s v="LinkedIn"/>
    <s v="Fully Meets"/>
    <n v="4.29"/>
    <n v="5"/>
    <n v="0"/>
    <s v="1/28/2019"/>
    <n v="0"/>
    <n v="11"/>
    <s v="Normal"/>
    <s v="low Outlier"/>
    <n v="51"/>
    <n v="12"/>
    <n v="12"/>
    <s v="10+ Years"/>
    <s v="46-55"/>
    <s v="Senior (70-100K)"/>
    <n v="1"/>
    <n v="2013"/>
    <n v="5"/>
    <s v="Q2"/>
    <s v="May"/>
    <s v="2013-05"/>
    <s v="N/A"/>
    <s v="Production       "/>
    <n v="42.857142857142854"/>
    <n v="0"/>
    <s v="Medium"/>
    <n v="4.29"/>
    <s v=""/>
    <m/>
  </r>
  <r>
    <s v="Myers, Michael"/>
    <n v="10216"/>
    <n v="0"/>
    <n v="0"/>
    <n v="1"/>
    <n v="1"/>
    <n v="5"/>
    <n v="3"/>
    <n v="0"/>
    <n v="57575"/>
    <n v="0"/>
    <n v="19"/>
    <s v="Production Technician I"/>
    <s v="MA"/>
    <n v="1550"/>
    <d v="1980-04-18T00:00:00"/>
    <s v="M "/>
    <s v="Single"/>
    <s v="US Citizen"/>
    <s v="No"/>
    <s v="Asian"/>
    <d v="2013-07-08T00:00:00"/>
    <m/>
    <x v="0"/>
    <s v="Active"/>
    <s v="Production       "/>
    <s v="Kissy Sullivan"/>
    <n v="20"/>
    <s v="LinkedIn"/>
    <s v="Fully Meets"/>
    <n v="4.0999999999999996"/>
    <n v="4"/>
    <n v="0"/>
    <s v="1/22/2019"/>
    <n v="0"/>
    <n v="13"/>
    <s v="Normal"/>
    <s v="low Outlier"/>
    <n v="45"/>
    <n v="12"/>
    <n v="12"/>
    <s v="10+ Years"/>
    <s v="36-45"/>
    <s v="Mid (40-70K)"/>
    <n v="1"/>
    <n v="2013"/>
    <n v="7"/>
    <s v="Q3"/>
    <s v="Jul"/>
    <s v="2013-07"/>
    <s v="N/A"/>
    <s v="Production       "/>
    <n v="66.666666666666657"/>
    <n v="0"/>
    <s v="Medium"/>
    <n v="4.0999999999999996"/>
    <s v=""/>
    <m/>
  </r>
  <r>
    <s v="Navathe, Kurt"/>
    <n v="10079"/>
    <n v="0"/>
    <n v="0"/>
    <n v="1"/>
    <n v="1"/>
    <n v="3"/>
    <n v="3"/>
    <n v="0"/>
    <n v="87921"/>
    <n v="0"/>
    <n v="22"/>
    <s v="Senior BI Developer"/>
    <s v="MA"/>
    <n v="2056"/>
    <d v="1970-04-25T00:00:00"/>
    <s v="M "/>
    <s v="Single"/>
    <s v="US Citizen"/>
    <s v="No"/>
    <s v="Asian"/>
    <d v="2017-02-10T00:00:00"/>
    <m/>
    <x v="0"/>
    <s v="Active"/>
    <s v="IT/IS"/>
    <s v="Brian Champaigne"/>
    <n v="13"/>
    <s v="Indeed"/>
    <s v="Fully Meets"/>
    <n v="5"/>
    <n v="3"/>
    <n v="6"/>
    <s v="2/25/2019"/>
    <n v="0"/>
    <n v="17"/>
    <s v="Normal"/>
    <s v="low Outlier"/>
    <n v="55"/>
    <n v="9"/>
    <n v="9"/>
    <s v="5-10 Years"/>
    <s v="46-55"/>
    <s v="Senior (70-100K)"/>
    <n v="1"/>
    <n v="2017"/>
    <n v="2"/>
    <s v="Q1"/>
    <s v="Feb"/>
    <s v="2017-02"/>
    <s v="N/A"/>
    <s v="Production       "/>
    <n v="0"/>
    <n v="0"/>
    <s v="Medium"/>
    <n v="5"/>
    <s v=""/>
    <m/>
  </r>
  <r>
    <s v="Ndzi, Colombui"/>
    <n v="10215"/>
    <n v="0"/>
    <n v="0"/>
    <n v="1"/>
    <n v="5"/>
    <n v="5"/>
    <n v="3"/>
    <n v="1"/>
    <n v="50470"/>
    <n v="1"/>
    <n v="19"/>
    <s v="Production Technician I"/>
    <s v="MA"/>
    <n v="2110"/>
    <d v="1989-05-02T00:00:00"/>
    <s v="M "/>
    <s v="Single"/>
    <s v="US Citizen"/>
    <s v="No"/>
    <s v="Black or African American"/>
    <d v="2011-09-26T00:00:00"/>
    <d v="2014-04-04T00:00:00"/>
    <x v="3"/>
    <s v="Voluntarily Terminated"/>
    <s v="Production       "/>
    <s v="Webster Butler"/>
    <n v="39"/>
    <s v="Diversity Job Fair"/>
    <s v="Fully Meets"/>
    <n v="4.3"/>
    <n v="3"/>
    <n v="0"/>
    <s v="3/2/2013"/>
    <n v="0"/>
    <n v="19"/>
    <s v="Normal"/>
    <s v="low Outlier"/>
    <n v="36"/>
    <n v="14"/>
    <n v="2"/>
    <s v="10+ Years"/>
    <s v="36-45"/>
    <s v="Mid (40-70K)"/>
    <n v="0"/>
    <n v="2011"/>
    <n v="9"/>
    <s v="Q3"/>
    <s v="Sep"/>
    <s v="2011-09"/>
    <n v="2014"/>
    <s v="Production       "/>
    <n v="75"/>
    <n v="3"/>
    <s v="Medium"/>
    <s v=""/>
    <n v="4.3"/>
    <m/>
  </r>
  <r>
    <s v="Ndzi, Horia"/>
    <n v="10185"/>
    <n v="1"/>
    <n v="1"/>
    <n v="1"/>
    <n v="5"/>
    <n v="5"/>
    <n v="3"/>
    <n v="0"/>
    <n v="46664"/>
    <n v="1"/>
    <n v="19"/>
    <s v="Production Technician I"/>
    <s v="MA"/>
    <n v="2421"/>
    <d v="1983-03-28T00:00:00"/>
    <s v="M "/>
    <s v="Married"/>
    <s v="US Citizen"/>
    <s v="No"/>
    <s v="White"/>
    <d v="2013-04-01T00:00:00"/>
    <d v="2016-05-25T00:00:00"/>
    <x v="11"/>
    <s v="Voluntarily Terminated"/>
    <s v="Production       "/>
    <s v="Amy Dunn"/>
    <n v="11"/>
    <s v="Employee Referral"/>
    <s v="Fully Meets"/>
    <n v="3.18"/>
    <n v="3"/>
    <n v="0"/>
    <s v="3/6/2016"/>
    <n v="0"/>
    <n v="10"/>
    <s v="Normal"/>
    <s v="low Outlier"/>
    <n v="43"/>
    <n v="12"/>
    <n v="3"/>
    <s v="10+ Years"/>
    <s v="36-45"/>
    <s v="Mid (40-70K)"/>
    <n v="0"/>
    <n v="2013"/>
    <n v="4"/>
    <s v="Q2"/>
    <s v="Apr"/>
    <s v="2013-04"/>
    <n v="2016"/>
    <s v="Production       "/>
    <n v="87.5"/>
    <n v="4"/>
    <s v="Medium"/>
    <s v=""/>
    <n v="3.18"/>
    <m/>
  </r>
  <r>
    <s v="Newman, Richard "/>
    <n v="10063"/>
    <n v="1"/>
    <n v="1"/>
    <n v="1"/>
    <n v="3"/>
    <n v="5"/>
    <n v="3"/>
    <n v="0"/>
    <n v="48495"/>
    <n v="0"/>
    <n v="19"/>
    <s v="Production Technician I"/>
    <s v="MA"/>
    <n v="2136"/>
    <d v="1977-04-08T00:00:00"/>
    <s v="M "/>
    <s v="Married"/>
    <s v="US Citizen"/>
    <s v="No"/>
    <s v="White"/>
    <d v="2014-05-12T00:00:00"/>
    <m/>
    <x v="0"/>
    <s v="Active"/>
    <s v="Production       "/>
    <s v="Ketsia Liebig"/>
    <n v="19"/>
    <s v="LinkedIn"/>
    <s v="Fully Meets"/>
    <n v="5"/>
    <n v="5"/>
    <n v="0"/>
    <s v="2/18/2019"/>
    <n v="0"/>
    <n v="11"/>
    <s v="Normal"/>
    <s v="low Outlier"/>
    <n v="48"/>
    <n v="11"/>
    <n v="11"/>
    <s v="10+ Years"/>
    <s v="46-55"/>
    <s v="Mid (40-70K)"/>
    <n v="1"/>
    <n v="2014"/>
    <n v="5"/>
    <s v="Q2"/>
    <s v="May"/>
    <s v="2014-05"/>
    <s v="N/A"/>
    <s v="Production       "/>
    <n v="57.142857142857139"/>
    <n v="0"/>
    <s v="Medium"/>
    <n v="5"/>
    <s v=""/>
    <m/>
  </r>
  <r>
    <s v="Ngodup, Shari "/>
    <n v="10037"/>
    <n v="0"/>
    <n v="3"/>
    <n v="0"/>
    <n v="1"/>
    <n v="5"/>
    <n v="4"/>
    <n v="1"/>
    <n v="52984"/>
    <n v="0"/>
    <n v="19"/>
    <s v="Production Technician I"/>
    <s v="MA"/>
    <n v="1810"/>
    <d v="1967-06-03T00:00:00"/>
    <s v="F"/>
    <s v="Separated"/>
    <s v="US Citizen"/>
    <s v="No"/>
    <s v="Black or African American"/>
    <d v="2013-04-01T00:00:00"/>
    <m/>
    <x v="0"/>
    <s v="Active"/>
    <s v="Production       "/>
    <s v="Brannon Miller"/>
    <n v="12"/>
    <s v="Diversity Job Fair"/>
    <s v="Exceeds"/>
    <n v="4"/>
    <n v="3"/>
    <n v="0"/>
    <s v="2/13/2019"/>
    <n v="0"/>
    <n v="12"/>
    <s v="Normal"/>
    <s v="low Outlier"/>
    <n v="58"/>
    <n v="12"/>
    <n v="12"/>
    <s v="10+ Years"/>
    <s v="55+"/>
    <s v="Mid (40-70K)"/>
    <n v="1"/>
    <n v="2013"/>
    <n v="4"/>
    <s v="Q2"/>
    <s v="Apr"/>
    <s v="2013-04"/>
    <s v="N/A"/>
    <s v="Production       "/>
    <n v="37.5"/>
    <n v="0"/>
    <s v="Low"/>
    <n v="4"/>
    <s v=""/>
    <m/>
  </r>
  <r>
    <s v="Nguyen, Dheepa"/>
    <n v="10042"/>
    <n v="0"/>
    <n v="0"/>
    <n v="0"/>
    <n v="1"/>
    <n v="6"/>
    <n v="3"/>
    <n v="0"/>
    <n v="63695"/>
    <n v="0"/>
    <n v="3"/>
    <s v="Area Sales Manager"/>
    <s v="GA"/>
    <n v="30428"/>
    <d v="1989-03-31T00:00:00"/>
    <s v="F"/>
    <s v="Single"/>
    <s v="US Citizen"/>
    <s v="No"/>
    <s v="Two or more races"/>
    <d v="2013-07-08T00:00:00"/>
    <m/>
    <x v="0"/>
    <s v="Active"/>
    <s v="Sales"/>
    <s v="Lynn Daneault"/>
    <n v="21"/>
    <s v="Indeed"/>
    <s v="Fully Meets"/>
    <n v="5"/>
    <n v="5"/>
    <n v="0"/>
    <s v="1/25/2019"/>
    <n v="0"/>
    <n v="2"/>
    <s v="Normal"/>
    <s v="low Outlier"/>
    <n v="36"/>
    <n v="12"/>
    <n v="12"/>
    <s v="10+ Years"/>
    <s v="36-45"/>
    <s v="Mid (40-70K)"/>
    <n v="1"/>
    <n v="2013"/>
    <n v="7"/>
    <s v="Q3"/>
    <s v="Jul"/>
    <s v="2013-07"/>
    <s v="N/A"/>
    <s v="Production       "/>
    <n v="0"/>
    <n v="0"/>
    <s v="Medium"/>
    <n v="5"/>
    <s v=""/>
    <m/>
  </r>
  <r>
    <s v="Nguyen, Lei-Ming"/>
    <n v="10206"/>
    <n v="0"/>
    <n v="0"/>
    <n v="0"/>
    <n v="1"/>
    <n v="5"/>
    <n v="3"/>
    <n v="0"/>
    <n v="62061"/>
    <n v="0"/>
    <n v="19"/>
    <s v="Production Technician I"/>
    <s v="MA"/>
    <n v="2132"/>
    <d v="1984-07-07T00:00:00"/>
    <s v="F"/>
    <s v="Single"/>
    <s v="US Citizen"/>
    <s v="No"/>
    <s v="White"/>
    <d v="2013-07-08T00:00:00"/>
    <m/>
    <x v="0"/>
    <s v="Active"/>
    <s v="Production       "/>
    <s v="David Stanley"/>
    <n v="14"/>
    <s v="LinkedIn"/>
    <s v="Fully Meets"/>
    <n v="3.6"/>
    <n v="5"/>
    <n v="0"/>
    <s v="1/2/2019"/>
    <n v="0"/>
    <n v="4"/>
    <s v="Normal"/>
    <s v="low Outlier"/>
    <n v="41"/>
    <n v="12"/>
    <n v="12"/>
    <s v="10+ Years"/>
    <s v="36-45"/>
    <s v="Mid (40-70K)"/>
    <n v="1"/>
    <n v="2013"/>
    <n v="7"/>
    <s v="Q3"/>
    <s v="Jul"/>
    <s v="2013-07"/>
    <s v="N/A"/>
    <s v="Production       "/>
    <n v="25"/>
    <n v="0"/>
    <s v="Medium"/>
    <n v="3.6"/>
    <s v=""/>
    <m/>
  </r>
  <r>
    <s v="Nowlan, Kristie"/>
    <n v="10104"/>
    <n v="0"/>
    <n v="0"/>
    <n v="0"/>
    <n v="1"/>
    <n v="5"/>
    <n v="3"/>
    <n v="0"/>
    <n v="66738"/>
    <n v="0"/>
    <n v="20"/>
    <s v="Production Technician II"/>
    <s v="MA"/>
    <n v="1040"/>
    <d v="1985-11-23T00:00:00"/>
    <s v="F"/>
    <s v="Single"/>
    <s v="US Citizen"/>
    <s v="No"/>
    <s v="White"/>
    <d v="2014-11-10T00:00:00"/>
    <m/>
    <x v="0"/>
    <s v="Active"/>
    <s v="Production       "/>
    <s v="Elijiah Gray"/>
    <n v="16"/>
    <s v="Indeed"/>
    <s v="Fully Meets"/>
    <n v="4.53"/>
    <n v="5"/>
    <n v="0"/>
    <s v="1/16/2019"/>
    <n v="0"/>
    <n v="5"/>
    <s v="Normal"/>
    <s v="low Outlier"/>
    <n v="40"/>
    <n v="11"/>
    <n v="11"/>
    <s v="10+ Years"/>
    <s v="36-45"/>
    <s v="Mid (40-70K)"/>
    <n v="1"/>
    <n v="2014"/>
    <n v="11"/>
    <s v="Q4"/>
    <s v="Nov"/>
    <s v="2014-11"/>
    <s v="N/A"/>
    <s v="Production       "/>
    <n v="50"/>
    <n v="0"/>
    <s v="Medium"/>
    <n v="4.53"/>
    <s v=""/>
    <m/>
  </r>
  <r>
    <s v="O'hare, Lynn"/>
    <n v="10303"/>
    <n v="0"/>
    <n v="0"/>
    <n v="0"/>
    <n v="4"/>
    <n v="5"/>
    <n v="1"/>
    <n v="0"/>
    <n v="52674"/>
    <n v="1"/>
    <n v="19"/>
    <s v="Production Technician I"/>
    <s v="MA"/>
    <n v="2152"/>
    <d v="1980-09-30T00:00:00"/>
    <s v="F"/>
    <s v="Single"/>
    <s v="US Citizen"/>
    <s v="No"/>
    <s v="Two or more races"/>
    <d v="2014-03-31T00:00:00"/>
    <d v="2018-05-01T00:00:00"/>
    <x v="7"/>
    <s v="Terminated for Cause"/>
    <s v="Production       "/>
    <s v="Kissy Sullivan"/>
    <n v="20"/>
    <s v="LinkedIn"/>
    <s v="PIP"/>
    <n v="2.33"/>
    <n v="2"/>
    <n v="0"/>
    <s v="3/9/2018"/>
    <n v="6"/>
    <n v="3"/>
    <s v="Normal"/>
    <s v="low Outlier"/>
    <n v="45"/>
    <n v="11"/>
    <n v="4"/>
    <s v="10+ Years"/>
    <s v="36-45"/>
    <s v="Mid (40-70K)"/>
    <n v="0"/>
    <n v="2014"/>
    <n v="3"/>
    <s v="Q1"/>
    <s v="Mar"/>
    <s v="2014-03"/>
    <n v="2018"/>
    <s v="Production       "/>
    <n v="75"/>
    <n v="2"/>
    <s v="High"/>
    <s v=""/>
    <n v="2.33"/>
    <m/>
  </r>
  <r>
    <s v="Oliver, Brooke "/>
    <n v="10078"/>
    <n v="1"/>
    <n v="1"/>
    <n v="0"/>
    <n v="5"/>
    <n v="5"/>
    <n v="3"/>
    <n v="0"/>
    <n v="71966"/>
    <n v="1"/>
    <n v="20"/>
    <s v="Production Technician II"/>
    <s v="MA"/>
    <n v="2492"/>
    <d v="1952-02-11T00:00:00"/>
    <s v="F"/>
    <s v="Married"/>
    <s v="US Citizen"/>
    <s v="No"/>
    <s v="Asian"/>
    <d v="2012-05-14T00:00:00"/>
    <d v="2013-08-19T00:00:00"/>
    <x v="5"/>
    <s v="Voluntarily Terminated"/>
    <s v="Production       "/>
    <s v="Webster Butler"/>
    <n v="39"/>
    <s v="LinkedIn"/>
    <s v="Fully Meets"/>
    <n v="5"/>
    <n v="3"/>
    <n v="0"/>
    <s v="7/2/2013"/>
    <n v="0"/>
    <n v="17"/>
    <s v="Normal"/>
    <s v="low Outlier"/>
    <n v="74"/>
    <n v="13"/>
    <n v="1"/>
    <s v="10+ Years"/>
    <s v="55+"/>
    <s v="Senior (70-100K)"/>
    <n v="0"/>
    <n v="2012"/>
    <n v="5"/>
    <s v="Q2"/>
    <s v="May"/>
    <s v="2012-05"/>
    <n v="2013"/>
    <s v="Production       "/>
    <n v="71.428571428571431"/>
    <n v="6"/>
    <s v="Medium"/>
    <s v=""/>
    <n v="5"/>
    <m/>
  </r>
  <r>
    <s v="Onque, Jasmine"/>
    <n v="10121"/>
    <n v="0"/>
    <n v="0"/>
    <n v="0"/>
    <n v="1"/>
    <n v="6"/>
    <n v="3"/>
    <n v="0"/>
    <n v="63051"/>
    <n v="0"/>
    <n v="3"/>
    <s v="Area Sales Manager"/>
    <s v="FL"/>
    <n v="33174"/>
    <d v="1990-05-11T00:00:00"/>
    <s v="F"/>
    <s v="Single"/>
    <s v="US Citizen"/>
    <s v="Yes"/>
    <s v="White"/>
    <d v="2013-09-30T00:00:00"/>
    <m/>
    <x v="0"/>
    <s v="Active"/>
    <s v="Sales"/>
    <s v="Lynn Daneault"/>
    <n v="21"/>
    <s v="Indeed"/>
    <s v="Fully Meets"/>
    <n v="4.28"/>
    <n v="3"/>
    <n v="0"/>
    <s v="1/25/2019"/>
    <n v="0"/>
    <n v="1"/>
    <s v="Normal"/>
    <s v="low Outlier"/>
    <n v="35"/>
    <n v="12"/>
    <n v="12"/>
    <s v="10+ Years"/>
    <s v="26-35"/>
    <s v="Mid (40-70K)"/>
    <n v="1"/>
    <n v="2013"/>
    <n v="9"/>
    <s v="Q3"/>
    <s v="Sep"/>
    <s v="2013-09"/>
    <s v="N/A"/>
    <s v="Production       "/>
    <n v="0"/>
    <n v="0"/>
    <s v="Medium"/>
    <n v="4.28"/>
    <s v=""/>
    <m/>
  </r>
  <r>
    <s v="Osturnka, Adeel"/>
    <n v="10021"/>
    <n v="1"/>
    <n v="1"/>
    <n v="1"/>
    <n v="1"/>
    <n v="5"/>
    <n v="4"/>
    <n v="0"/>
    <n v="47414"/>
    <n v="0"/>
    <n v="19"/>
    <s v="Production Technician I"/>
    <s v="MA"/>
    <n v="2478"/>
    <d v="1976-12-11T00:00:00"/>
    <s v="M "/>
    <s v="Married"/>
    <s v="US Citizen"/>
    <s v="No"/>
    <s v="White"/>
    <d v="2013-09-30T00:00:00"/>
    <m/>
    <x v="0"/>
    <s v="Active"/>
    <s v="Production       "/>
    <s v="Kelley Spirea"/>
    <n v="18"/>
    <s v="LinkedIn"/>
    <s v="Exceeds"/>
    <n v="5"/>
    <n v="3"/>
    <n v="0"/>
    <s v="2/7/2019"/>
    <n v="0"/>
    <n v="13"/>
    <s v="Normal"/>
    <s v="low Outlier"/>
    <n v="49"/>
    <n v="12"/>
    <n v="12"/>
    <s v="10+ Years"/>
    <s v="46-55"/>
    <s v="Mid (40-70K)"/>
    <n v="1"/>
    <n v="2013"/>
    <n v="9"/>
    <s v="Q3"/>
    <s v="Sep"/>
    <s v="2013-09"/>
    <s v="N/A"/>
    <s v="Production       "/>
    <n v="16.666666666666664"/>
    <n v="0"/>
    <s v="Low"/>
    <n v="5"/>
    <s v=""/>
    <m/>
  </r>
  <r>
    <s v="Owad, Clinton"/>
    <n v="10281"/>
    <n v="0"/>
    <n v="0"/>
    <n v="1"/>
    <n v="1"/>
    <n v="5"/>
    <n v="2"/>
    <n v="0"/>
    <n v="53060"/>
    <n v="0"/>
    <n v="19"/>
    <s v="Production Technician I"/>
    <s v="MA"/>
    <n v="1760"/>
    <d v="1979-11-24T00:00:00"/>
    <s v="M "/>
    <s v="Single"/>
    <s v="US Citizen"/>
    <s v="No"/>
    <s v="Black or African American"/>
    <d v="2014-02-17T00:00:00"/>
    <m/>
    <x v="0"/>
    <s v="Active"/>
    <s v="Production       "/>
    <s v="Michael Albert"/>
    <n v="22"/>
    <s v="LinkedIn"/>
    <s v="Needs Improvement"/>
    <n v="4.25"/>
    <n v="3"/>
    <n v="0"/>
    <s v="2/4/2019"/>
    <n v="4"/>
    <n v="6"/>
    <s v="Normal"/>
    <s v="low Outlier"/>
    <n v="46"/>
    <n v="12"/>
    <n v="12"/>
    <s v="10+ Years"/>
    <s v="46-55"/>
    <s v="Mid (40-70K)"/>
    <n v="1"/>
    <n v="2014"/>
    <n v="2"/>
    <s v="Q1"/>
    <s v="Feb"/>
    <s v="2014-02"/>
    <s v="N/A"/>
    <s v="Production       "/>
    <n v="50"/>
    <n v="0"/>
    <s v="High"/>
    <n v="4.25"/>
    <s v=""/>
    <m/>
  </r>
  <r>
    <s v="Ozark, Travis"/>
    <n v="10041"/>
    <n v="0"/>
    <n v="0"/>
    <n v="1"/>
    <n v="1"/>
    <n v="6"/>
    <n v="3"/>
    <n v="0"/>
    <n v="68829"/>
    <n v="0"/>
    <n v="3"/>
    <s v="Area Sales Manager"/>
    <s v="NC"/>
    <n v="27229"/>
    <d v="1982-05-19T00:00:00"/>
    <s v="M "/>
    <s v="Single"/>
    <s v="US Citizen"/>
    <s v="No"/>
    <s v="White"/>
    <d v="2015-01-05T00:00:00"/>
    <m/>
    <x v="0"/>
    <s v="Active"/>
    <s v="Sales"/>
    <s v="John Smith"/>
    <n v="17"/>
    <s v="Website"/>
    <s v="Fully Meets"/>
    <n v="5"/>
    <n v="5"/>
    <n v="0"/>
    <s v="1/14/2019"/>
    <n v="0"/>
    <n v="18"/>
    <s v="Normal"/>
    <s v="low Outlier"/>
    <n v="43"/>
    <n v="11"/>
    <n v="11"/>
    <s v="10+ Years"/>
    <s v="36-45"/>
    <s v="Mid (40-70K)"/>
    <n v="1"/>
    <n v="2015"/>
    <n v="1"/>
    <s v="Q1"/>
    <s v="Jan"/>
    <s v="2015-01"/>
    <s v="N/A"/>
    <s v="Production       "/>
    <n v="0"/>
    <n v="0"/>
    <s v="Medium"/>
    <n v="5"/>
    <s v=""/>
    <m/>
  </r>
  <r>
    <s v="Panjwani, Nina"/>
    <n v="10148"/>
    <n v="1"/>
    <n v="1"/>
    <n v="0"/>
    <n v="5"/>
    <n v="5"/>
    <n v="3"/>
    <n v="0"/>
    <n v="63515"/>
    <n v="1"/>
    <n v="19"/>
    <s v="Production Technician I"/>
    <s v="MA"/>
    <n v="2351"/>
    <d v="1979-05-01T00:00:00"/>
    <s v="F"/>
    <s v="Married"/>
    <s v="US Citizen"/>
    <s v="No"/>
    <s v="White"/>
    <d v="2011-02-07T00:00:00"/>
    <d v="2014-01-12T00:00:00"/>
    <x v="4"/>
    <s v="Voluntarily Terminated"/>
    <s v="Production       "/>
    <s v="Elijiah Gray"/>
    <n v="16"/>
    <s v="Google Search"/>
    <s v="Fully Meets"/>
    <n v="3.89"/>
    <n v="4"/>
    <n v="0"/>
    <s v="3/4/2013"/>
    <n v="0"/>
    <n v="7"/>
    <s v="Normal"/>
    <s v="low Outlier"/>
    <n v="46"/>
    <n v="15"/>
    <n v="2"/>
    <s v="10+ Years"/>
    <s v="46-55"/>
    <s v="Mid (40-70K)"/>
    <n v="0"/>
    <n v="2011"/>
    <n v="2"/>
    <s v="Q1"/>
    <s v="Feb"/>
    <s v="2011-02"/>
    <n v="2014"/>
    <s v="Production       "/>
    <n v="57.142857142857139"/>
    <n v="12"/>
    <s v="Medium"/>
    <s v=""/>
    <n v="3.89"/>
    <m/>
  </r>
  <r>
    <s v="Patronick, Lucas"/>
    <n v="10005"/>
    <n v="0"/>
    <n v="0"/>
    <n v="1"/>
    <n v="5"/>
    <n v="4"/>
    <n v="4"/>
    <n v="1"/>
    <n v="108987"/>
    <n v="1"/>
    <n v="24"/>
    <s v="Software Engineer"/>
    <s v="MA"/>
    <n v="1844"/>
    <d v="1979-02-20T00:00:00"/>
    <s v="M "/>
    <s v="Single"/>
    <s v="US Citizen"/>
    <s v="No"/>
    <s v="Black or African American"/>
    <d v="2011-11-07T00:00:00"/>
    <d v="2015-09-07T00:00:00"/>
    <x v="4"/>
    <s v="Voluntarily Terminated"/>
    <s v="Software Engineering"/>
    <s v="Alex Sweetwater"/>
    <n v="10"/>
    <s v="Diversity Job Fair"/>
    <s v="Exceeds"/>
    <n v="5"/>
    <n v="5"/>
    <n v="3"/>
    <s v="8/16/2015"/>
    <n v="0"/>
    <n v="13"/>
    <s v="Normal"/>
    <s v="low Outlier"/>
    <n v="47"/>
    <n v="14"/>
    <n v="3"/>
    <s v="10+ Years"/>
    <s v="46-55"/>
    <s v="Executive (100K+)"/>
    <n v="0"/>
    <n v="2011"/>
    <n v="11"/>
    <s v="Q4"/>
    <s v="Nov"/>
    <s v="2011-11"/>
    <n v="2015"/>
    <s v="Production       "/>
    <n v="50"/>
    <n v="11"/>
    <s v="Low"/>
    <s v=""/>
    <n v="5"/>
    <m/>
  </r>
  <r>
    <s v="Pearson, Randall"/>
    <n v="10259"/>
    <n v="1"/>
    <n v="1"/>
    <n v="1"/>
    <n v="5"/>
    <n v="3"/>
    <n v="3"/>
    <n v="0"/>
    <n v="93093"/>
    <n v="1"/>
    <n v="9"/>
    <s v="Data Analyst"/>
    <s v="MA"/>
    <n v="2747"/>
    <d v="1984-09-05T00:00:00"/>
    <s v="M "/>
    <s v="Married"/>
    <s v="US Citizen"/>
    <s v="No"/>
    <s v="White"/>
    <d v="2014-12-01T00:00:00"/>
    <d v="2016-05-01T00:00:00"/>
    <x v="7"/>
    <s v="Voluntarily Terminated"/>
    <s v="IT/IS"/>
    <s v="Simon Roup"/>
    <n v="4"/>
    <s v="Employee Referral"/>
    <s v="Fully Meets"/>
    <n v="4.7"/>
    <n v="4"/>
    <n v="5"/>
    <s v="1/16/2016"/>
    <n v="0"/>
    <n v="19"/>
    <s v="Normal"/>
    <s v="low Outlier"/>
    <n v="41"/>
    <n v="11"/>
    <n v="1"/>
    <s v="10+ Years"/>
    <s v="36-45"/>
    <s v="Senior (70-100K)"/>
    <n v="0"/>
    <n v="2014"/>
    <n v="12"/>
    <s v="Q4"/>
    <s v="Dec"/>
    <s v="2014-12"/>
    <n v="2016"/>
    <s v="Production       "/>
    <n v="50"/>
    <n v="1"/>
    <s v="Medium"/>
    <s v=""/>
    <n v="4.7"/>
    <m/>
  </r>
  <r>
    <s v="Smith, Martin"/>
    <n v="10286"/>
    <n v="0"/>
    <n v="0"/>
    <n v="1"/>
    <n v="5"/>
    <n v="5"/>
    <n v="2"/>
    <n v="0"/>
    <n v="53564"/>
    <n v="1"/>
    <n v="19"/>
    <s v="Production Technician I"/>
    <s v="MA"/>
    <n v="2458"/>
    <d v="1988-03-17T00:00:00"/>
    <s v="M "/>
    <s v="Single"/>
    <s v="US Citizen"/>
    <s v="No"/>
    <s v="Black or African American"/>
    <d v="2011-01-10T00:00:00"/>
    <d v="2017-12-28T00:00:00"/>
    <x v="1"/>
    <s v="Voluntarily Terminated"/>
    <s v="Production       "/>
    <s v="Webster Butler"/>
    <n v="39"/>
    <s v="Google Search"/>
    <s v="Needs Improvement"/>
    <n v="3.54"/>
    <n v="5"/>
    <n v="0"/>
    <s v="4/6/2017"/>
    <n v="4"/>
    <n v="15"/>
    <s v="Normal"/>
    <s v="low Outlier"/>
    <n v="38"/>
    <n v="15"/>
    <n v="6"/>
    <s v="10+ Years"/>
    <s v="36-45"/>
    <s v="Mid (40-70K)"/>
    <n v="0"/>
    <n v="2011"/>
    <n v="1"/>
    <s v="Q1"/>
    <s v="Jan"/>
    <s v="2011-01"/>
    <n v="2017"/>
    <s v="Production       "/>
    <n v="66.666666666666657"/>
    <n v="4"/>
    <s v="High"/>
    <s v=""/>
    <n v="3.54"/>
    <m/>
  </r>
  <r>
    <s v="Pelletier, Ermine"/>
    <n v="10297"/>
    <n v="1"/>
    <n v="1"/>
    <n v="0"/>
    <n v="5"/>
    <n v="5"/>
    <n v="2"/>
    <n v="0"/>
    <n v="60270"/>
    <n v="1"/>
    <n v="20"/>
    <s v="Production Technician II"/>
    <s v="MA"/>
    <n v="2472"/>
    <d v="1989-07-18T00:00:00"/>
    <s v="F"/>
    <s v="Married"/>
    <s v="US Citizen"/>
    <s v="No"/>
    <s v="Asian"/>
    <d v="2011-07-05T00:00:00"/>
    <d v="2015-09-15T00:00:00"/>
    <x v="5"/>
    <s v="Voluntarily Terminated"/>
    <s v="Production       "/>
    <s v="Amy Dunn"/>
    <n v="11"/>
    <s v="CareerBuilder"/>
    <s v="Needs Improvement"/>
    <n v="2.4"/>
    <n v="5"/>
    <n v="0"/>
    <s v="2/6/2015"/>
    <n v="5"/>
    <n v="2"/>
    <s v="Normal"/>
    <s v="low Outlier"/>
    <n v="36"/>
    <n v="14"/>
    <n v="4"/>
    <s v="10+ Years"/>
    <s v="36-45"/>
    <s v="Mid (40-70K)"/>
    <n v="0"/>
    <n v="2011"/>
    <n v="7"/>
    <s v="Q3"/>
    <s v="Jul"/>
    <s v="2011-07"/>
    <n v="2015"/>
    <s v="Production       "/>
    <n v="85.714285714285708"/>
    <n v="5"/>
    <s v="High"/>
    <s v=""/>
    <n v="2.4"/>
    <m/>
  </r>
  <r>
    <s v="Perry, Shakira"/>
    <n v="10171"/>
    <n v="0"/>
    <n v="0"/>
    <n v="0"/>
    <n v="5"/>
    <n v="5"/>
    <n v="3"/>
    <n v="0"/>
    <n v="45998"/>
    <n v="1"/>
    <n v="19"/>
    <s v="Production Technician I"/>
    <s v="MA"/>
    <n v="2176"/>
    <d v="1986-07-20T00:00:00"/>
    <s v="F"/>
    <s v="Single"/>
    <s v="US Citizen"/>
    <s v="No"/>
    <s v="White"/>
    <d v="2011-05-16T00:00:00"/>
    <d v="2015-10-25T00:00:00"/>
    <x v="16"/>
    <s v="Voluntarily Terminated"/>
    <s v="Production       "/>
    <s v="Amy Dunn"/>
    <n v="11"/>
    <s v="LinkedIn"/>
    <s v="Fully Meets"/>
    <n v="3.45"/>
    <n v="4"/>
    <n v="0"/>
    <s v="5/13/2014"/>
    <n v="0"/>
    <n v="5"/>
    <s v="Normal"/>
    <s v="low Outlier"/>
    <n v="39"/>
    <n v="14"/>
    <n v="4"/>
    <s v="10+ Years"/>
    <s v="36-45"/>
    <s v="Mid (40-70K)"/>
    <n v="0"/>
    <n v="2011"/>
    <n v="5"/>
    <s v="Q2"/>
    <s v="May"/>
    <s v="2011-05"/>
    <n v="2015"/>
    <s v="Production       "/>
    <n v="83.333333333333343"/>
    <n v="3"/>
    <s v="Medium"/>
    <s v=""/>
    <n v="3.45"/>
    <m/>
  </r>
  <r>
    <s v="Peters, Lauren"/>
    <n v="10032"/>
    <n v="1"/>
    <n v="1"/>
    <n v="0"/>
    <n v="5"/>
    <n v="5"/>
    <n v="4"/>
    <n v="0"/>
    <n v="57954"/>
    <n v="1"/>
    <n v="20"/>
    <s v="Production Technician II"/>
    <s v="MA"/>
    <n v="1886"/>
    <d v="1986-08-17T00:00:00"/>
    <s v="F"/>
    <s v="Married"/>
    <s v="US Citizen"/>
    <s v="No"/>
    <s v="White"/>
    <d v="2011-05-16T00:00:00"/>
    <d v="2013-02-04T00:00:00"/>
    <x v="11"/>
    <s v="Voluntarily Terminated"/>
    <s v="Production       "/>
    <s v="Ketsia Liebig"/>
    <n v="19"/>
    <s v="Indeed"/>
    <s v="Exceeds"/>
    <n v="4.2"/>
    <n v="5"/>
    <n v="0"/>
    <s v="1/10/2013"/>
    <n v="0"/>
    <n v="12"/>
    <s v="Normal"/>
    <s v="low Outlier"/>
    <n v="39"/>
    <n v="14"/>
    <n v="1"/>
    <s v="10+ Years"/>
    <s v="36-45"/>
    <s v="Mid (40-70K)"/>
    <n v="0"/>
    <n v="2011"/>
    <n v="5"/>
    <s v="Q2"/>
    <s v="May"/>
    <s v="2011-05"/>
    <n v="2013"/>
    <s v="Production       "/>
    <n v="66.666666666666657"/>
    <n v="3"/>
    <s v="Low"/>
    <s v=""/>
    <n v="4.2"/>
    <m/>
  </r>
  <r>
    <s v="Peterson, Ebonee  "/>
    <n v="10130"/>
    <n v="1"/>
    <n v="1"/>
    <n v="0"/>
    <n v="5"/>
    <n v="5"/>
    <n v="3"/>
    <n v="0"/>
    <n v="74669"/>
    <n v="1"/>
    <n v="18"/>
    <s v="Production Manager"/>
    <s v="MA"/>
    <n v="2030"/>
    <d v="1977-05-09T00:00:00"/>
    <s v="F"/>
    <s v="Married"/>
    <s v="US Citizen"/>
    <s v="No"/>
    <s v="White"/>
    <d v="2010-10-25T00:00:00"/>
    <d v="2016-05-18T00:00:00"/>
    <x v="4"/>
    <s v="Voluntarily Terminated"/>
    <s v="Production       "/>
    <s v="Janet King"/>
    <n v="2"/>
    <s v="Indeed"/>
    <s v="Fully Meets"/>
    <n v="4.16"/>
    <n v="5"/>
    <n v="0"/>
    <s v="3/5/2015"/>
    <n v="0"/>
    <n v="6"/>
    <s v="Normal"/>
    <s v="low Outlier"/>
    <n v="48"/>
    <n v="15"/>
    <n v="5"/>
    <s v="10+ Years"/>
    <s v="46-55"/>
    <s v="Senior (70-100K)"/>
    <n v="0"/>
    <n v="2010"/>
    <n v="10"/>
    <s v="Q4"/>
    <s v="Oct"/>
    <s v="2010-10"/>
    <n v="2016"/>
    <s v="Production       "/>
    <n v="42.857142857142854"/>
    <n v="10"/>
    <s v="Medium"/>
    <s v=""/>
    <n v="4.16"/>
    <m/>
  </r>
  <r>
    <s v="Petingill, Shana  "/>
    <n v="10217"/>
    <n v="1"/>
    <n v="1"/>
    <n v="0"/>
    <n v="1"/>
    <n v="5"/>
    <n v="3"/>
    <n v="0"/>
    <n v="74226"/>
    <n v="0"/>
    <n v="20"/>
    <s v="Production Technician II"/>
    <s v="MA"/>
    <n v="2050"/>
    <d v="1979-03-10T00:00:00"/>
    <s v="F"/>
    <s v="Married"/>
    <s v="Eligible NonCitizen"/>
    <s v="No"/>
    <s v="Asian"/>
    <d v="2012-04-02T00:00:00"/>
    <m/>
    <x v="0"/>
    <s v="Active"/>
    <s v="Production       "/>
    <s v="Brannon Miller"/>
    <n v="12"/>
    <s v="LinkedIn"/>
    <s v="Fully Meets"/>
    <n v="4.3"/>
    <n v="3"/>
    <n v="0"/>
    <s v="1/14/2019"/>
    <n v="0"/>
    <n v="14"/>
    <s v="Normal"/>
    <s v="low Outlier"/>
    <n v="47"/>
    <n v="13"/>
    <n v="13"/>
    <s v="10+ Years"/>
    <s v="46-55"/>
    <s v="Senior (70-100K)"/>
    <n v="1"/>
    <n v="2012"/>
    <n v="4"/>
    <s v="Q2"/>
    <s v="Apr"/>
    <s v="2012-04"/>
    <s v="N/A"/>
    <s v="Production       "/>
    <n v="42.857142857142854"/>
    <n v="0"/>
    <s v="Medium"/>
    <n v="4.3"/>
    <s v=""/>
    <m/>
  </r>
  <r>
    <s v="Petrowsky, Thelma"/>
    <n v="10016"/>
    <n v="1"/>
    <n v="1"/>
    <n v="0"/>
    <n v="1"/>
    <n v="3"/>
    <n v="4"/>
    <n v="0"/>
    <n v="93554"/>
    <n v="0"/>
    <n v="9"/>
    <s v="Data Analyst"/>
    <s v="MA"/>
    <n v="1886"/>
    <d v="1984-09-16T00:00:00"/>
    <s v="F"/>
    <s v="Married"/>
    <s v="US Citizen"/>
    <s v="No"/>
    <s v="Black or African American"/>
    <d v="2014-11-10T00:00:00"/>
    <m/>
    <x v="0"/>
    <s v="Active"/>
    <s v="IT/IS"/>
    <s v="Simon Roup"/>
    <n v="4"/>
    <s v="Employee Referral"/>
    <s v="Exceeds"/>
    <n v="4.5999999999999996"/>
    <n v="5"/>
    <n v="7"/>
    <s v="1/4/2019"/>
    <n v="0"/>
    <n v="16"/>
    <s v="Normal"/>
    <s v="low Outlier"/>
    <n v="41"/>
    <n v="11"/>
    <n v="11"/>
    <s v="10+ Years"/>
    <s v="36-45"/>
    <s v="Senior (70-100K)"/>
    <n v="1"/>
    <n v="2014"/>
    <n v="11"/>
    <s v="Q4"/>
    <s v="Nov"/>
    <s v="2014-11"/>
    <s v="N/A"/>
    <s v="Production       "/>
    <n v="42.857142857142854"/>
    <n v="0"/>
    <s v="Low"/>
    <n v="4.5999999999999996"/>
    <s v=""/>
    <m/>
  </r>
  <r>
    <s v="Pham, Hong"/>
    <n v="10050"/>
    <n v="1"/>
    <n v="1"/>
    <n v="1"/>
    <n v="5"/>
    <n v="5"/>
    <n v="3"/>
    <n v="0"/>
    <n v="64724"/>
    <n v="1"/>
    <n v="19"/>
    <s v="Production Technician I"/>
    <s v="MA"/>
    <n v="2451"/>
    <d v="1988-03-06T00:00:00"/>
    <s v="M "/>
    <s v="Married"/>
    <s v="US Citizen"/>
    <s v="No"/>
    <s v="Asian"/>
    <d v="2011-07-05T00:00:00"/>
    <d v="2012-11-30T00:00:00"/>
    <x v="11"/>
    <s v="Voluntarily Terminated"/>
    <s v="Production       "/>
    <s v="Brannon Miller"/>
    <n v="12"/>
    <s v="Google Search"/>
    <s v="Fully Meets"/>
    <n v="5"/>
    <n v="3"/>
    <n v="0"/>
    <s v="2/20/2012"/>
    <n v="0"/>
    <n v="13"/>
    <s v="Normal"/>
    <s v="low Outlier"/>
    <n v="38"/>
    <n v="14"/>
    <n v="1"/>
    <s v="10+ Years"/>
    <s v="36-45"/>
    <s v="Mid (40-70K)"/>
    <n v="0"/>
    <n v="2011"/>
    <n v="7"/>
    <s v="Q3"/>
    <s v="Jul"/>
    <s v="2011-07"/>
    <n v="2012"/>
    <s v="Production       "/>
    <n v="50"/>
    <n v="2"/>
    <s v="Medium"/>
    <s v=""/>
    <n v="5"/>
    <m/>
  </r>
  <r>
    <s v="Pitt, Brad "/>
    <n v="10164"/>
    <n v="0"/>
    <n v="0"/>
    <n v="1"/>
    <n v="1"/>
    <n v="5"/>
    <n v="3"/>
    <n v="0"/>
    <n v="47001"/>
    <n v="0"/>
    <n v="19"/>
    <s v="Production Technician I"/>
    <s v="MA"/>
    <n v="2451"/>
    <d v="1981-11-23T00:00:00"/>
    <s v="M "/>
    <s v="Single"/>
    <s v="US Citizen"/>
    <s v="No"/>
    <s v="White"/>
    <d v="2007-11-05T00:00:00"/>
    <m/>
    <x v="0"/>
    <s v="Active"/>
    <s v="Production       "/>
    <s v="David Stanley"/>
    <n v="14"/>
    <s v="Google Search"/>
    <s v="Fully Meets"/>
    <n v="3.66"/>
    <n v="3"/>
    <n v="0"/>
    <s v="2/25/2019"/>
    <n v="0"/>
    <n v="15"/>
    <s v="Normal"/>
    <s v="low Outlier"/>
    <n v="44"/>
    <n v="18"/>
    <n v="18"/>
    <s v="10+ Years"/>
    <s v="36-45"/>
    <s v="Mid (40-70K)"/>
    <n v="1"/>
    <n v="2007"/>
    <n v="11"/>
    <s v="Q4"/>
    <s v="Nov"/>
    <s v="2007-11"/>
    <s v="N/A"/>
    <s v="Production       "/>
    <n v="28.571428571428569"/>
    <n v="0"/>
    <s v="Medium"/>
    <n v="3.66"/>
    <s v=""/>
    <m/>
  </r>
  <r>
    <s v="Potts, Xana"/>
    <n v="10124"/>
    <n v="1"/>
    <n v="1"/>
    <n v="0"/>
    <n v="1"/>
    <n v="6"/>
    <n v="3"/>
    <n v="0"/>
    <n v="61844"/>
    <n v="0"/>
    <n v="3"/>
    <s v="Area Sales Manager"/>
    <s v="KY"/>
    <n v="40220"/>
    <d v="1988-08-29T00:00:00"/>
    <s v="F"/>
    <s v="Married"/>
    <s v="US Citizen"/>
    <s v="No"/>
    <s v="Black or African American"/>
    <d v="2012-01-09T00:00:00"/>
    <m/>
    <x v="0"/>
    <s v="Active"/>
    <s v="Sales"/>
    <s v="Lynn Daneault"/>
    <n v="21"/>
    <s v="Website"/>
    <s v="Fully Meets"/>
    <n v="4.2"/>
    <n v="5"/>
    <n v="0"/>
    <s v="2/1/2019"/>
    <n v="0"/>
    <n v="9"/>
    <s v="Normal"/>
    <s v="low Outlier"/>
    <n v="37"/>
    <n v="14"/>
    <n v="14"/>
    <s v="10+ Years"/>
    <s v="36-45"/>
    <s v="Mid (40-70K)"/>
    <n v="1"/>
    <n v="2012"/>
    <n v="1"/>
    <s v="Q1"/>
    <s v="Jan"/>
    <s v="2012-01"/>
    <s v="N/A"/>
    <s v="Production       "/>
    <n v="0"/>
    <n v="0"/>
    <s v="Medium"/>
    <n v="4.2"/>
    <s v=""/>
    <m/>
  </r>
  <r>
    <s v="Power, Morissa"/>
    <n v="10187"/>
    <n v="0"/>
    <n v="2"/>
    <n v="0"/>
    <n v="5"/>
    <n v="5"/>
    <n v="3"/>
    <n v="0"/>
    <n v="46799"/>
    <n v="1"/>
    <n v="19"/>
    <s v="Production Technician I"/>
    <s v="MA"/>
    <n v="1742"/>
    <d v="1984-10-15T00:00:00"/>
    <s v="F"/>
    <s v="Divorced"/>
    <s v="Eligible NonCitizen"/>
    <s v="No"/>
    <s v="Asian"/>
    <d v="2011-05-16T00:00:00"/>
    <d v="2018-06-04T00:00:00"/>
    <x v="4"/>
    <s v="Voluntarily Terminated"/>
    <s v="Production       "/>
    <s v="Kissy Sullivan"/>
    <n v="20"/>
    <s v="Google Search"/>
    <s v="Fully Meets"/>
    <n v="3.17"/>
    <n v="4"/>
    <n v="0"/>
    <s v="4/2/2018"/>
    <n v="0"/>
    <n v="14"/>
    <s v="Normal"/>
    <s v="low Outlier"/>
    <n v="41"/>
    <n v="14"/>
    <n v="7"/>
    <s v="10+ Years"/>
    <s v="36-45"/>
    <s v="Mid (40-70K)"/>
    <n v="0"/>
    <n v="2011"/>
    <n v="5"/>
    <s v="Q2"/>
    <s v="May"/>
    <s v="2011-05"/>
    <n v="2018"/>
    <s v="Production       "/>
    <n v="71.428571428571431"/>
    <n v="9"/>
    <s v="Medium"/>
    <s v=""/>
    <n v="3.17"/>
    <m/>
  </r>
  <r>
    <s v="Punjabhi, Louis  "/>
    <n v="10225"/>
    <n v="0"/>
    <n v="0"/>
    <n v="1"/>
    <n v="1"/>
    <n v="5"/>
    <n v="3"/>
    <n v="0"/>
    <n v="59472"/>
    <n v="0"/>
    <n v="19"/>
    <s v="Production Technician I"/>
    <s v="MA"/>
    <n v="2109"/>
    <d v="1961-06-19T00:00:00"/>
    <s v="M "/>
    <s v="Single"/>
    <s v="US Citizen"/>
    <s v="No"/>
    <s v="White"/>
    <d v="2014-01-06T00:00:00"/>
    <m/>
    <x v="0"/>
    <s v="Active"/>
    <s v="Production       "/>
    <s v="Kelley Spirea"/>
    <n v="18"/>
    <s v="Employee Referral"/>
    <s v="Fully Meets"/>
    <n v="4.8"/>
    <n v="3"/>
    <n v="0"/>
    <s v="1/7/2019"/>
    <n v="0"/>
    <n v="14"/>
    <s v="Normal"/>
    <s v="low Outlier"/>
    <n v="64"/>
    <n v="12"/>
    <n v="12"/>
    <s v="10+ Years"/>
    <s v="55+"/>
    <s v="Mid (40-70K)"/>
    <n v="1"/>
    <n v="2014"/>
    <n v="1"/>
    <s v="Q1"/>
    <s v="Jan"/>
    <s v="2014-01"/>
    <s v="N/A"/>
    <s v="Production       "/>
    <n v="20"/>
    <n v="0"/>
    <s v="Medium"/>
    <n v="4.8"/>
    <s v=""/>
    <m/>
  </r>
  <r>
    <s v="Purinton, Janine"/>
    <n v="10262"/>
    <n v="0"/>
    <n v="2"/>
    <n v="0"/>
    <n v="5"/>
    <n v="5"/>
    <n v="3"/>
    <n v="0"/>
    <n v="46430"/>
    <n v="1"/>
    <n v="19"/>
    <s v="Production Technician I"/>
    <s v="MA"/>
    <n v="2474"/>
    <d v="1970-09-22T00:00:00"/>
    <s v="F"/>
    <s v="Divorced"/>
    <s v="US Citizen"/>
    <s v="No"/>
    <s v="White"/>
    <d v="2012-09-24T00:00:00"/>
    <d v="2013-06-18T00:00:00"/>
    <x v="5"/>
    <s v="Voluntarily Terminated"/>
    <s v="Production       "/>
    <s v="Kissy Sullivan"/>
    <n v="20"/>
    <s v="Indeed"/>
    <s v="Fully Meets"/>
    <n v="4.5"/>
    <n v="5"/>
    <n v="0"/>
    <s v="4/2/2013"/>
    <n v="0"/>
    <n v="16"/>
    <s v="Normal"/>
    <s v="low Outlier"/>
    <n v="55"/>
    <n v="13"/>
    <n v="0"/>
    <s v="10+ Years"/>
    <s v="46-55"/>
    <s v="Mid (40-70K)"/>
    <n v="0"/>
    <n v="2012"/>
    <n v="9"/>
    <s v="Q3"/>
    <s v="Sep"/>
    <s v="2012-09"/>
    <n v="2013"/>
    <s v="Production       "/>
    <n v="66.666666666666657"/>
    <n v="4"/>
    <s v="Medium"/>
    <s v=""/>
    <n v="4.5"/>
    <m/>
  </r>
  <r>
    <s v="Quinn, Sean"/>
    <n v="10131"/>
    <n v="1"/>
    <n v="1"/>
    <n v="1"/>
    <n v="5"/>
    <n v="1"/>
    <n v="3"/>
    <n v="1"/>
    <n v="83363"/>
    <n v="1"/>
    <n v="23"/>
    <s v="Software Engineer"/>
    <s v="MA"/>
    <n v="2045"/>
    <d v="1984-11-06T00:00:00"/>
    <s v="M "/>
    <s v="Married"/>
    <s v="Eligible NonCitizen"/>
    <s v="No"/>
    <s v="Black or African American"/>
    <d v="2011-02-21T00:00:00"/>
    <d v="2015-08-15T00:00:00"/>
    <x v="1"/>
    <s v="Voluntarily Terminated"/>
    <s v="Software Engineering"/>
    <s v="Janet King"/>
    <n v="2"/>
    <s v="Diversity Job Fair"/>
    <s v="Fully Meets"/>
    <n v="4.1500000000000004"/>
    <n v="4"/>
    <n v="0"/>
    <s v="4/19/2014"/>
    <n v="0"/>
    <n v="4"/>
    <s v="Normal"/>
    <s v="low Outlier"/>
    <n v="41"/>
    <n v="15"/>
    <n v="4"/>
    <s v="10+ Years"/>
    <s v="36-45"/>
    <s v="Senior (70-100K)"/>
    <n v="0"/>
    <n v="2011"/>
    <n v="2"/>
    <s v="Q1"/>
    <s v="Feb"/>
    <s v="2011-02"/>
    <n v="2015"/>
    <s v="Production       "/>
    <n v="33.333333333333329"/>
    <n v="3"/>
    <s v="Medium"/>
    <s v=""/>
    <n v="4.1500000000000004"/>
    <m/>
  </r>
  <r>
    <s v="Rachael, Maggie"/>
    <n v="10239"/>
    <n v="1"/>
    <n v="1"/>
    <n v="0"/>
    <n v="1"/>
    <n v="3"/>
    <n v="3"/>
    <n v="0"/>
    <n v="95920"/>
    <n v="0"/>
    <n v="4"/>
    <s v="BI Developer"/>
    <s v="MA"/>
    <n v="2110"/>
    <d v="1980-05-12T00:00:00"/>
    <s v="F"/>
    <s v="Married"/>
    <s v="US Citizen"/>
    <s v="No"/>
    <s v="Black or African American"/>
    <d v="2016-10-02T00:00:00"/>
    <m/>
    <x v="0"/>
    <s v="Active"/>
    <s v="IT/IS"/>
    <s v="Brian Champaigne"/>
    <n v="13"/>
    <s v="Indeed"/>
    <s v="Fully Meets"/>
    <n v="4.4000000000000004"/>
    <n v="4"/>
    <n v="6"/>
    <s v="2/6/2019"/>
    <n v="0"/>
    <n v="10"/>
    <s v="Normal"/>
    <s v="low Outlier"/>
    <n v="45"/>
    <n v="9"/>
    <n v="9"/>
    <s v="5-10 Years"/>
    <s v="36-45"/>
    <s v="Senior (70-100K)"/>
    <n v="1"/>
    <n v="2016"/>
    <n v="10"/>
    <s v="Q4"/>
    <s v="Oct"/>
    <s v="2016-10"/>
    <s v="N/A"/>
    <s v="Production       "/>
    <n v="0"/>
    <n v="0"/>
    <s v="Medium"/>
    <n v="4.4000000000000004"/>
    <s v=""/>
    <m/>
  </r>
  <r>
    <s v="Rarrick, Quinn"/>
    <n v="10152"/>
    <n v="0"/>
    <n v="2"/>
    <n v="1"/>
    <n v="5"/>
    <n v="5"/>
    <n v="3"/>
    <n v="0"/>
    <n v="61729"/>
    <n v="1"/>
    <n v="19"/>
    <s v="Production Technician I"/>
    <s v="MA"/>
    <n v="2478"/>
    <d v="1984-12-31T00:00:00"/>
    <s v="M "/>
    <s v="Divorced"/>
    <s v="US Citizen"/>
    <s v="No"/>
    <s v="White"/>
    <d v="2011-09-26T00:00:00"/>
    <d v="2018-04-07T00:00:00"/>
    <x v="11"/>
    <s v="Voluntarily Terminated"/>
    <s v="Production       "/>
    <s v="Michael Albert"/>
    <n v="22"/>
    <s v="Indeed"/>
    <s v="Fully Meets"/>
    <n v="3.8"/>
    <n v="5"/>
    <n v="0"/>
    <s v="2/4/2018"/>
    <n v="0"/>
    <n v="19"/>
    <s v="Normal"/>
    <s v="low Outlier"/>
    <n v="41"/>
    <n v="14"/>
    <n v="6"/>
    <s v="10+ Years"/>
    <s v="36-45"/>
    <s v="Mid (40-70K)"/>
    <n v="0"/>
    <n v="2011"/>
    <n v="9"/>
    <s v="Q3"/>
    <s v="Sep"/>
    <s v="2011-09"/>
    <n v="2018"/>
    <s v="Production       "/>
    <n v="60"/>
    <n v="1"/>
    <s v="Medium"/>
    <s v=""/>
    <n v="3.8"/>
    <m/>
  </r>
  <r>
    <s v="Ren, Kylo"/>
    <n v="10140"/>
    <n v="1"/>
    <n v="1"/>
    <n v="1"/>
    <n v="1"/>
    <n v="6"/>
    <n v="3"/>
    <n v="0"/>
    <n v="61809"/>
    <n v="0"/>
    <n v="3"/>
    <s v="Area Sales Manager"/>
    <s v="ID"/>
    <n v="83706"/>
    <d v="1954-10-12T00:00:00"/>
    <s v="M "/>
    <s v="Married"/>
    <s v="US Citizen"/>
    <s v="No"/>
    <s v="White"/>
    <d v="2014-05-12T00:00:00"/>
    <m/>
    <x v="0"/>
    <s v="Active"/>
    <s v="Sales"/>
    <s v="John Smith"/>
    <n v="17"/>
    <s v="CareerBuilder"/>
    <s v="Fully Meets"/>
    <n v="3.98"/>
    <n v="3"/>
    <n v="0"/>
    <s v="1/28/2019"/>
    <n v="0"/>
    <n v="4"/>
    <s v="Normal"/>
    <s v="low Outlier"/>
    <n v="71"/>
    <n v="11"/>
    <n v="11"/>
    <s v="10+ Years"/>
    <s v="55+"/>
    <s v="Mid (40-70K)"/>
    <n v="1"/>
    <n v="2014"/>
    <n v="5"/>
    <s v="Q2"/>
    <s v="May"/>
    <s v="2014-05"/>
    <s v="N/A"/>
    <s v="Production       "/>
    <n v="0"/>
    <n v="0"/>
    <s v="Medium"/>
    <n v="3.98"/>
    <s v=""/>
    <m/>
  </r>
  <r>
    <s v="Rhoads, Thomas"/>
    <n v="10058"/>
    <n v="0"/>
    <n v="2"/>
    <n v="1"/>
    <n v="5"/>
    <n v="5"/>
    <n v="3"/>
    <n v="0"/>
    <n v="45115"/>
    <n v="1"/>
    <n v="19"/>
    <s v="Production Technician I"/>
    <s v="MA"/>
    <n v="2176"/>
    <d v="1982-07-22T00:00:00"/>
    <s v="M "/>
    <s v="Divorced"/>
    <s v="US Citizen"/>
    <s v="Yes"/>
    <s v="White"/>
    <d v="2011-05-16T00:00:00"/>
    <d v="2016-01-15T00:00:00"/>
    <x v="9"/>
    <s v="Voluntarily Terminated"/>
    <s v="Production       "/>
    <s v="Elijiah Gray"/>
    <n v="16"/>
    <s v="LinkedIn"/>
    <s v="Fully Meets"/>
    <n v="5"/>
    <n v="4"/>
    <n v="0"/>
    <s v="3/30/2015"/>
    <n v="0"/>
    <n v="11"/>
    <s v="Normal"/>
    <s v="low Outlier"/>
    <n v="43"/>
    <n v="14"/>
    <n v="4"/>
    <s v="10+ Years"/>
    <s v="36-45"/>
    <s v="Mid (40-70K)"/>
    <n v="0"/>
    <n v="2011"/>
    <n v="5"/>
    <s v="Q2"/>
    <s v="May"/>
    <s v="2011-05"/>
    <n v="2016"/>
    <s v="Production       "/>
    <n v="50"/>
    <n v="2"/>
    <s v="Medium"/>
    <s v=""/>
    <n v="5"/>
    <m/>
  </r>
  <r>
    <s v="Rivera, Haley  "/>
    <n v="10011"/>
    <n v="1"/>
    <n v="1"/>
    <n v="0"/>
    <n v="1"/>
    <n v="5"/>
    <n v="4"/>
    <n v="0"/>
    <n v="46738"/>
    <n v="0"/>
    <n v="19"/>
    <s v="Production Technician I"/>
    <s v="MA"/>
    <n v="2171"/>
    <d v="1973-01-12T00:00:00"/>
    <s v="F"/>
    <s v="Married"/>
    <s v="US Citizen"/>
    <s v="No"/>
    <s v="Asian"/>
    <d v="2011-11-28T00:00:00"/>
    <m/>
    <x v="0"/>
    <s v="Active"/>
    <s v="Production       "/>
    <s v="Webster Butler"/>
    <m/>
    <s v="Google Search"/>
    <s v="Exceeds"/>
    <n v="4.3600000000000003"/>
    <n v="5"/>
    <n v="0"/>
    <s v="2/11/2019"/>
    <n v="0"/>
    <n v="16"/>
    <s v="Normal"/>
    <s v="low Outlier"/>
    <n v="53"/>
    <n v="14"/>
    <n v="14"/>
    <s v="10+ Years"/>
    <s v="46-55"/>
    <s v="Mid (40-70K)"/>
    <n v="1"/>
    <n v="2011"/>
    <n v="11"/>
    <s v="Q4"/>
    <s v="Nov"/>
    <s v="2011-11"/>
    <s v="N/A"/>
    <s v="Production       "/>
    <n v="60"/>
    <n v="0"/>
    <s v="Low"/>
    <n v="4.3600000000000003"/>
    <s v=""/>
    <m/>
  </r>
  <r>
    <s v="Roberson, May"/>
    <n v="10230"/>
    <n v="0"/>
    <n v="2"/>
    <n v="0"/>
    <n v="5"/>
    <n v="5"/>
    <n v="3"/>
    <n v="0"/>
    <n v="64971"/>
    <n v="1"/>
    <n v="20"/>
    <s v="Production Technician II"/>
    <s v="MA"/>
    <n v="1902"/>
    <d v="1981-09-05T00:00:00"/>
    <s v="F"/>
    <s v="Divorced"/>
    <s v="Eligible NonCitizen"/>
    <s v="No"/>
    <s v="Black or African American"/>
    <d v="2011-09-26T00:00:00"/>
    <d v="2011-10-22T00:00:00"/>
    <x v="3"/>
    <s v="Voluntarily Terminated"/>
    <s v="Production       "/>
    <s v="David Stanley"/>
    <n v="14"/>
    <s v="Google Search"/>
    <s v="Fully Meets"/>
    <n v="4.5"/>
    <n v="4"/>
    <n v="0"/>
    <s v="10/22/2011"/>
    <n v="0"/>
    <n v="10"/>
    <s v="Normal"/>
    <s v="low Outlier"/>
    <n v="44"/>
    <n v="14"/>
    <n v="0"/>
    <s v="10+ Years"/>
    <s v="36-45"/>
    <s v="Mid (40-70K)"/>
    <n v="0"/>
    <n v="2011"/>
    <n v="9"/>
    <s v="Q3"/>
    <s v="Sep"/>
    <s v="2011-09"/>
    <n v="2011"/>
    <s v="Production       "/>
    <n v="33.333333333333329"/>
    <n v="2"/>
    <s v="Medium"/>
    <s v=""/>
    <n v="4.5"/>
    <m/>
  </r>
  <r>
    <s v="Robertson, Peter"/>
    <n v="10224"/>
    <n v="1"/>
    <n v="1"/>
    <n v="1"/>
    <n v="5"/>
    <n v="5"/>
    <n v="3"/>
    <n v="0"/>
    <n v="55578"/>
    <n v="1"/>
    <n v="20"/>
    <s v="Production Technician II"/>
    <s v="MA"/>
    <n v="2138"/>
    <d v="1972-07-03T00:00:00"/>
    <s v="M "/>
    <s v="Married"/>
    <s v="US Citizen"/>
    <s v="No"/>
    <s v="White"/>
    <d v="2011-07-05T00:00:00"/>
    <d v="2012-02-08T00:00:00"/>
    <x v="4"/>
    <s v="Voluntarily Terminated"/>
    <s v="Production       "/>
    <s v="Kissy Sullivan"/>
    <n v="20"/>
    <s v="Indeed"/>
    <s v="Fully Meets"/>
    <n v="4.2"/>
    <n v="5"/>
    <n v="0"/>
    <s v="1/6/2012"/>
    <n v="0"/>
    <n v="13"/>
    <s v="Normal"/>
    <s v="low Outlier"/>
    <n v="53"/>
    <n v="14"/>
    <n v="0"/>
    <s v="10+ Years"/>
    <s v="46-55"/>
    <s v="Mid (40-70K)"/>
    <n v="0"/>
    <n v="2011"/>
    <n v="7"/>
    <s v="Q3"/>
    <s v="Jul"/>
    <s v="2011-07"/>
    <n v="2012"/>
    <s v="Production       "/>
    <n v="60"/>
    <n v="8"/>
    <s v="Medium"/>
    <s v=""/>
    <n v="4.2"/>
    <m/>
  </r>
  <r>
    <s v="Robinson, Alain  "/>
    <n v="10047"/>
    <n v="1"/>
    <n v="1"/>
    <n v="1"/>
    <n v="5"/>
    <n v="5"/>
    <n v="3"/>
    <n v="0"/>
    <n v="50428"/>
    <n v="1"/>
    <n v="19"/>
    <s v="Production Technician I"/>
    <s v="MA"/>
    <n v="1420"/>
    <d v="1974-01-07T00:00:00"/>
    <s v="M "/>
    <s v="Married"/>
    <s v="US Citizen"/>
    <s v="No"/>
    <s v="Black or African American"/>
    <d v="2011-01-10T00:00:00"/>
    <d v="2016-01-26T00:00:00"/>
    <x v="6"/>
    <s v="Voluntarily Terminated"/>
    <s v="Production       "/>
    <s v="Amy Dunn"/>
    <n v="11"/>
    <s v="Indeed"/>
    <s v="Fully Meets"/>
    <n v="5"/>
    <n v="3"/>
    <n v="0"/>
    <s v="1/10/2015"/>
    <n v="0"/>
    <n v="11"/>
    <s v="Normal"/>
    <s v="low Outlier"/>
    <n v="52"/>
    <n v="15"/>
    <n v="5"/>
    <s v="10+ Years"/>
    <s v="46-55"/>
    <s v="Mid (40-70K)"/>
    <n v="0"/>
    <n v="2011"/>
    <n v="1"/>
    <s v="Q1"/>
    <s v="Jan"/>
    <s v="2011-01"/>
    <n v="2016"/>
    <s v="Production       "/>
    <n v="80"/>
    <n v="2"/>
    <s v="Medium"/>
    <s v=""/>
    <n v="5"/>
    <m/>
  </r>
  <r>
    <s v="Robinson, Cherly"/>
    <n v="10285"/>
    <n v="1"/>
    <n v="1"/>
    <n v="0"/>
    <n v="4"/>
    <n v="5"/>
    <n v="2"/>
    <n v="0"/>
    <n v="61422"/>
    <n v="1"/>
    <n v="19"/>
    <s v="Production Technician I"/>
    <s v="MA"/>
    <n v="1460"/>
    <d v="1985-01-07T00:00:00"/>
    <s v="F"/>
    <s v="Married"/>
    <s v="US Citizen"/>
    <s v="No"/>
    <s v="White"/>
    <d v="2011-01-10T00:00:00"/>
    <d v="2016-05-17T00:00:00"/>
    <x v="6"/>
    <s v="Terminated for Cause"/>
    <s v="Production       "/>
    <s v="Ketsia Liebig"/>
    <n v="19"/>
    <s v="Indeed"/>
    <s v="Needs Improvement"/>
    <n v="3.6"/>
    <n v="3"/>
    <n v="0"/>
    <s v="4/5/2016"/>
    <n v="4"/>
    <n v="16"/>
    <s v="Normal"/>
    <s v="low Outlier"/>
    <n v="41"/>
    <n v="15"/>
    <n v="5"/>
    <s v="10+ Years"/>
    <s v="36-45"/>
    <s v="Mid (40-70K)"/>
    <n v="0"/>
    <n v="2011"/>
    <n v="1"/>
    <s v="Q1"/>
    <s v="Jan"/>
    <s v="2011-01"/>
    <n v="2016"/>
    <s v="Production       "/>
    <n v="60"/>
    <n v="1"/>
    <s v="High"/>
    <s v=""/>
    <n v="3.6"/>
    <m/>
  </r>
  <r>
    <s v="Robinson, Elias"/>
    <n v="10020"/>
    <n v="0"/>
    <n v="4"/>
    <n v="1"/>
    <n v="1"/>
    <n v="5"/>
    <n v="4"/>
    <n v="0"/>
    <n v="63353"/>
    <n v="0"/>
    <n v="19"/>
    <s v="Production Technician I"/>
    <s v="MA"/>
    <n v="1730"/>
    <d v="1985-01-28T00:00:00"/>
    <s v="M "/>
    <s v="Widowed"/>
    <s v="US Citizen"/>
    <s v="No"/>
    <s v="White"/>
    <d v="2013-07-08T00:00:00"/>
    <m/>
    <x v="0"/>
    <s v="Active"/>
    <s v="Production       "/>
    <s v="Brannon Miller"/>
    <n v="12"/>
    <s v="Employee Referral"/>
    <s v="Exceeds"/>
    <n v="3.6"/>
    <n v="5"/>
    <n v="0"/>
    <s v="2/11/2019"/>
    <n v="0"/>
    <n v="4"/>
    <s v="Normal"/>
    <s v="low Outlier"/>
    <n v="41"/>
    <n v="12"/>
    <n v="12"/>
    <s v="10+ Years"/>
    <s v="36-45"/>
    <s v="Mid (40-70K)"/>
    <n v="1"/>
    <n v="2013"/>
    <n v="7"/>
    <s v="Q3"/>
    <s v="Jul"/>
    <s v="2013-07"/>
    <s v="N/A"/>
    <s v="Production       "/>
    <n v="40"/>
    <n v="0"/>
    <s v="Medium"/>
    <n v="3.6"/>
    <s v=""/>
    <m/>
  </r>
  <r>
    <s v="Roby, Lori "/>
    <n v="10162"/>
    <n v="1"/>
    <n v="1"/>
    <n v="0"/>
    <n v="1"/>
    <n v="3"/>
    <n v="3"/>
    <n v="0"/>
    <n v="89883"/>
    <n v="0"/>
    <n v="9"/>
    <s v="Data Analyst"/>
    <s v="MA"/>
    <n v="1886"/>
    <d v="1981-10-11T00:00:00"/>
    <s v="F"/>
    <s v="Married"/>
    <s v="US Citizen"/>
    <s v="No"/>
    <s v="White"/>
    <d v="2015-02-16T00:00:00"/>
    <m/>
    <x v="0"/>
    <s v="Active"/>
    <s v="IT/IS"/>
    <s v="Simon Roup"/>
    <n v="4"/>
    <s v="Employee Referral"/>
    <s v="Fully Meets"/>
    <n v="3.69"/>
    <n v="5"/>
    <n v="6"/>
    <s v="2/14/2019"/>
    <n v="0"/>
    <n v="15"/>
    <s v="Normal"/>
    <s v="low Outlier"/>
    <n v="44"/>
    <n v="11"/>
    <n v="11"/>
    <s v="10+ Years"/>
    <s v="36-45"/>
    <s v="Senior (70-100K)"/>
    <n v="1"/>
    <n v="2015"/>
    <n v="2"/>
    <s v="Q1"/>
    <s v="Feb"/>
    <s v="2015-02"/>
    <s v="N/A"/>
    <s v="Production       "/>
    <n v="50"/>
    <n v="0"/>
    <s v="Medium"/>
    <n v="3.69"/>
    <s v=""/>
    <m/>
  </r>
  <r>
    <s v="Roehrich, Bianca"/>
    <n v="10149"/>
    <n v="0"/>
    <n v="0"/>
    <n v="0"/>
    <n v="5"/>
    <n v="3"/>
    <n v="3"/>
    <n v="0"/>
    <n v="120000"/>
    <n v="1"/>
    <n v="29"/>
    <s v="Principal Data Architect"/>
    <s v="MA"/>
    <n v="2703"/>
    <d v="1973-05-27T00:00:00"/>
    <s v="F"/>
    <s v="Single"/>
    <s v="US Citizen"/>
    <s v="Yes"/>
    <s v="White"/>
    <d v="2015-01-05T00:00:00"/>
    <d v="2018-11-10T00:00:00"/>
    <x v="4"/>
    <s v="Voluntarily Terminated"/>
    <s v="IT/IS"/>
    <s v="Simon Roup"/>
    <n v="4"/>
    <s v="LinkedIn"/>
    <s v="Fully Meets"/>
    <n v="3.88"/>
    <n v="3"/>
    <n v="7"/>
    <s v="2/13/2018"/>
    <n v="0"/>
    <n v="12"/>
    <s v="Normal"/>
    <s v="low Outlier"/>
    <n v="52"/>
    <n v="11"/>
    <n v="3"/>
    <s v="10+ Years"/>
    <s v="46-55"/>
    <s v="Executive (100K+)"/>
    <n v="0"/>
    <n v="2015"/>
    <n v="1"/>
    <s v="Q1"/>
    <s v="Jan"/>
    <s v="2015-01"/>
    <n v="2018"/>
    <s v="Production       "/>
    <n v="60"/>
    <n v="7"/>
    <s v="Medium"/>
    <s v=""/>
    <n v="3.88"/>
    <m/>
  </r>
  <r>
    <s v="Roper, Katie"/>
    <n v="10086"/>
    <n v="0"/>
    <n v="0"/>
    <n v="0"/>
    <n v="1"/>
    <n v="3"/>
    <n v="3"/>
    <n v="0"/>
    <n v="150290"/>
    <n v="0"/>
    <n v="7"/>
    <s v="Data Architect"/>
    <s v="MA"/>
    <n v="2056"/>
    <d v="1972-11-21T00:00:00"/>
    <s v="F"/>
    <s v="Single"/>
    <s v="US Citizen"/>
    <s v="No"/>
    <s v="Black or African American"/>
    <d v="2017-01-07T00:00:00"/>
    <m/>
    <x v="0"/>
    <s v="Active"/>
    <s v="IT/IS"/>
    <s v="Brian Champaigne"/>
    <n v="13"/>
    <s v="Indeed"/>
    <s v="Fully Meets"/>
    <n v="4.9400000000000004"/>
    <n v="3"/>
    <n v="5"/>
    <s v="2/6/2019"/>
    <n v="0"/>
    <n v="17"/>
    <s v=" high Outlier"/>
    <s v="low Outlier"/>
    <n v="53"/>
    <n v="9"/>
    <n v="9"/>
    <s v="5-10 Years"/>
    <s v="46-55"/>
    <s v="Executive (100K+)"/>
    <n v="1"/>
    <n v="2017"/>
    <n v="1"/>
    <s v="Q1"/>
    <s v="Jan"/>
    <s v="2017-01"/>
    <s v="N/A"/>
    <s v="Production       "/>
    <n v="0"/>
    <n v="0"/>
    <s v="Medium"/>
    <n v="4.9400000000000004"/>
    <s v=""/>
    <m/>
  </r>
  <r>
    <s v="Rose, Ashley  "/>
    <n v="10054"/>
    <n v="0"/>
    <n v="3"/>
    <n v="0"/>
    <n v="1"/>
    <n v="5"/>
    <n v="3"/>
    <n v="0"/>
    <n v="60627"/>
    <n v="0"/>
    <n v="19"/>
    <s v="Production Technician I"/>
    <s v="MA"/>
    <n v="1886"/>
    <d v="1974-12-05T00:00:00"/>
    <s v="F"/>
    <s v="Separated"/>
    <s v="US Citizen"/>
    <s v="No"/>
    <s v="White"/>
    <d v="2014-01-06T00:00:00"/>
    <m/>
    <x v="0"/>
    <s v="Active"/>
    <s v="Production       "/>
    <s v="David Stanley"/>
    <n v="14"/>
    <s v="Website"/>
    <s v="Fully Meets"/>
    <n v="5"/>
    <n v="4"/>
    <n v="0"/>
    <s v="1/31/2019"/>
    <n v="0"/>
    <n v="8"/>
    <s v="Normal"/>
    <s v="low Outlier"/>
    <n v="51"/>
    <n v="12"/>
    <n v="12"/>
    <s v="10+ Years"/>
    <s v="46-55"/>
    <s v="Mid (40-70K)"/>
    <n v="1"/>
    <n v="2014"/>
    <n v="1"/>
    <s v="Q1"/>
    <s v="Jan"/>
    <s v="2014-01"/>
    <s v="N/A"/>
    <s v="Production       "/>
    <n v="20"/>
    <n v="0"/>
    <s v="Medium"/>
    <n v="5"/>
    <s v=""/>
    <m/>
  </r>
  <r>
    <s v="Rossetti, Bruno"/>
    <n v="10065"/>
    <n v="0"/>
    <n v="0"/>
    <n v="1"/>
    <n v="5"/>
    <n v="5"/>
    <n v="3"/>
    <n v="0"/>
    <n v="53180"/>
    <n v="1"/>
    <n v="19"/>
    <s v="Production Technician I"/>
    <s v="MA"/>
    <n v="2155"/>
    <d v="1987-03-18T00:00:00"/>
    <s v="M "/>
    <s v="Single"/>
    <s v="US Citizen"/>
    <s v="No"/>
    <s v="White"/>
    <d v="2011-04-04T00:00:00"/>
    <d v="2018-08-13T00:00:00"/>
    <x v="4"/>
    <s v="Voluntarily Terminated"/>
    <s v="Production       "/>
    <s v="Kissy Sullivan"/>
    <n v="20"/>
    <s v="Google Search"/>
    <s v="Fully Meets"/>
    <n v="5"/>
    <n v="5"/>
    <n v="0"/>
    <s v="7/2/2018"/>
    <n v="0"/>
    <n v="4"/>
    <s v="Normal"/>
    <s v="low Outlier"/>
    <n v="39"/>
    <n v="14"/>
    <n v="7"/>
    <s v="10+ Years"/>
    <s v="36-45"/>
    <s v="Mid (40-70K)"/>
    <n v="0"/>
    <n v="2011"/>
    <n v="4"/>
    <s v="Q2"/>
    <s v="Apr"/>
    <s v="2011-04"/>
    <n v="2018"/>
    <s v="Production       "/>
    <n v="50"/>
    <n v="6"/>
    <s v="Medium"/>
    <s v=""/>
    <n v="5"/>
    <m/>
  </r>
  <r>
    <s v="Roup,Simon"/>
    <n v="10198"/>
    <n v="0"/>
    <n v="0"/>
    <n v="1"/>
    <n v="1"/>
    <n v="3"/>
    <n v="3"/>
    <n v="0"/>
    <n v="140920"/>
    <n v="0"/>
    <n v="13"/>
    <s v="IT Manager - DB"/>
    <s v="MA"/>
    <n v="2481"/>
    <d v="1973-04-05T00:00:00"/>
    <s v="M "/>
    <s v="Single"/>
    <s v="US Citizen"/>
    <s v="No"/>
    <s v="White"/>
    <d v="2013-01-20T00:00:00"/>
    <m/>
    <x v="0"/>
    <s v="Active"/>
    <s v="IT/IS"/>
    <s v="Jennifer Zamora"/>
    <n v="5"/>
    <s v="Indeed"/>
    <s v="Fully Meets"/>
    <n v="3.6"/>
    <n v="5"/>
    <n v="7"/>
    <s v="2/18/2019"/>
    <n v="0"/>
    <n v="13"/>
    <s v=" high Outlier"/>
    <s v="low Outlier"/>
    <n v="52"/>
    <n v="13"/>
    <n v="13"/>
    <s v="10+ Years"/>
    <s v="46-55"/>
    <s v="Executive (100K+)"/>
    <n v="1"/>
    <n v="2013"/>
    <n v="1"/>
    <s v="Q1"/>
    <s v="Jan"/>
    <s v="2013-01"/>
    <s v="N/A"/>
    <s v="Production       "/>
    <n v="50"/>
    <n v="0"/>
    <s v="Medium"/>
    <n v="3.6"/>
    <s v=""/>
    <m/>
  </r>
  <r>
    <s v="Ruiz, Ricardo"/>
    <n v="10222"/>
    <n v="0"/>
    <n v="2"/>
    <n v="1"/>
    <n v="5"/>
    <n v="3"/>
    <n v="3"/>
    <n v="1"/>
    <n v="148999"/>
    <n v="1"/>
    <n v="13"/>
    <s v="IT Manager - DB"/>
    <s v="MA"/>
    <n v="1915"/>
    <d v="1964-01-04T00:00:00"/>
    <s v="M "/>
    <s v="Divorced"/>
    <s v="US Citizen"/>
    <s v="No"/>
    <s v="Black or African American"/>
    <d v="2012-01-09T00:00:00"/>
    <d v="2015-11-04T00:00:00"/>
    <x v="2"/>
    <s v="Voluntarily Terminated"/>
    <s v="IT/IS"/>
    <s v="Jennifer Zamora"/>
    <n v="5"/>
    <s v="Diversity Job Fair"/>
    <s v="Fully Meets"/>
    <n v="4.3"/>
    <n v="4"/>
    <n v="6"/>
    <s v="1/4/2015"/>
    <n v="0"/>
    <n v="8"/>
    <s v=" high Outlier"/>
    <s v="low Outlier"/>
    <n v="62"/>
    <n v="14"/>
    <n v="3"/>
    <s v="10+ Years"/>
    <s v="55+"/>
    <s v="Executive (100K+)"/>
    <n v="0"/>
    <n v="2012"/>
    <n v="1"/>
    <s v="Q1"/>
    <s v="Jan"/>
    <s v="2012-01"/>
    <n v="2015"/>
    <s v="Production       "/>
    <n v="100"/>
    <n v="3"/>
    <s v="Medium"/>
    <s v=""/>
    <n v="4.3"/>
    <m/>
  </r>
  <r>
    <s v="Saada, Adell"/>
    <n v="10126"/>
    <n v="1"/>
    <n v="1"/>
    <n v="0"/>
    <n v="1"/>
    <n v="4"/>
    <n v="3"/>
    <n v="0"/>
    <n v="86214"/>
    <n v="0"/>
    <n v="24"/>
    <s v="Software Engineer"/>
    <s v="MA"/>
    <n v="2132"/>
    <d v="1986-07-24T00:00:00"/>
    <s v="F"/>
    <s v="Married"/>
    <s v="US Citizen"/>
    <s v="No"/>
    <s v="White"/>
    <d v="2012-11-05T00:00:00"/>
    <m/>
    <x v="0"/>
    <s v="Active"/>
    <s v="Software Engineering"/>
    <s v="Alex Sweetwater"/>
    <n v="10"/>
    <s v="Indeed"/>
    <s v="Fully Meets"/>
    <n v="4.2"/>
    <n v="3"/>
    <n v="6"/>
    <s v="2/13/2019"/>
    <n v="0"/>
    <n v="2"/>
    <s v="Normal"/>
    <s v="low Outlier"/>
    <n v="39"/>
    <n v="13"/>
    <n v="13"/>
    <s v="10+ Years"/>
    <s v="36-45"/>
    <s v="Senior (70-100K)"/>
    <n v="1"/>
    <n v="2012"/>
    <n v="11"/>
    <s v="Q4"/>
    <s v="Nov"/>
    <s v="2012-11"/>
    <s v="N/A"/>
    <s v="Production       "/>
    <n v="33.333333333333329"/>
    <n v="0"/>
    <s v="Medium"/>
    <n v="4.2"/>
    <s v=""/>
    <m/>
  </r>
  <r>
    <s v="Saar-Beckles, Melinda"/>
    <n v="10295"/>
    <n v="0"/>
    <n v="0"/>
    <n v="0"/>
    <n v="2"/>
    <n v="5"/>
    <n v="2"/>
    <n v="1"/>
    <n v="47750"/>
    <n v="0"/>
    <n v="19"/>
    <s v="Production Technician I"/>
    <s v="MA"/>
    <n v="1801"/>
    <d v="1968-06-06T00:00:00"/>
    <s v="F"/>
    <s v="Single"/>
    <s v="US Citizen"/>
    <s v="No"/>
    <s v="Black or African American"/>
    <d v="2016-07-04T00:00:00"/>
    <m/>
    <x v="0"/>
    <s v="Active"/>
    <s v="Production       "/>
    <s v="Kelley Spirea"/>
    <n v="18"/>
    <s v="Diversity Job Fair"/>
    <s v="Needs Improvement"/>
    <n v="2.6"/>
    <n v="4"/>
    <n v="0"/>
    <s v="2/18/2019"/>
    <n v="5"/>
    <n v="4"/>
    <s v="Normal"/>
    <s v="low Outlier"/>
    <n v="57"/>
    <n v="9"/>
    <n v="9"/>
    <s v="5-10 Years"/>
    <s v="55+"/>
    <s v="Mid (40-70K)"/>
    <n v="1"/>
    <n v="2016"/>
    <n v="7"/>
    <s v="Q3"/>
    <s v="Jul"/>
    <s v="2016-07"/>
    <s v="N/A"/>
    <s v="Production       "/>
    <n v="25"/>
    <n v="0"/>
    <s v="High"/>
    <n v="2.6"/>
    <s v=""/>
    <m/>
  </r>
  <r>
    <s v="Sadki, Nore  "/>
    <n v="10260"/>
    <n v="0"/>
    <n v="0"/>
    <n v="1"/>
    <n v="5"/>
    <n v="5"/>
    <n v="3"/>
    <n v="0"/>
    <n v="46428"/>
    <n v="1"/>
    <n v="19"/>
    <s v="Production Technician I"/>
    <s v="MA"/>
    <n v="2148"/>
    <d v="1974-12-21T00:00:00"/>
    <s v="M "/>
    <s v="Single"/>
    <s v="US Citizen"/>
    <s v="No"/>
    <s v="White"/>
    <d v="2009-01-05T00:00:00"/>
    <d v="2018-07-30T00:00:00"/>
    <x v="10"/>
    <s v="Voluntarily Terminated"/>
    <s v="Production       "/>
    <s v="Michael Albert"/>
    <n v="22"/>
    <s v="Google Search"/>
    <s v="Fully Meets"/>
    <n v="4.5999999999999996"/>
    <n v="5"/>
    <n v="0"/>
    <s v="2/5/2018"/>
    <n v="0"/>
    <n v="7"/>
    <s v="Normal"/>
    <s v="low Outlier"/>
    <n v="51"/>
    <n v="17"/>
    <n v="9"/>
    <s v="10+ Years"/>
    <s v="46-55"/>
    <s v="Mid (40-70K)"/>
    <n v="0"/>
    <n v="2009"/>
    <n v="1"/>
    <s v="Q1"/>
    <s v="Jan"/>
    <s v="2009-01"/>
    <n v="2018"/>
    <s v="Production       "/>
    <n v="50"/>
    <n v="2"/>
    <s v="Medium"/>
    <s v=""/>
    <n v="4.5999999999999996"/>
    <m/>
  </r>
  <r>
    <s v="Sahoo, Adil"/>
    <n v="10233"/>
    <n v="1"/>
    <n v="1"/>
    <n v="1"/>
    <n v="1"/>
    <n v="5"/>
    <n v="3"/>
    <n v="0"/>
    <n v="57975"/>
    <n v="0"/>
    <n v="20"/>
    <s v="Production Technician II"/>
    <s v="MA"/>
    <n v="2062"/>
    <d v="1986-04-26T00:00:00"/>
    <s v="M "/>
    <s v="Married"/>
    <s v="US Citizen"/>
    <s v="No"/>
    <s v="White"/>
    <d v="2010-08-30T00:00:00"/>
    <m/>
    <x v="0"/>
    <s v="Active"/>
    <s v="Production       "/>
    <s v="Kelley Spirea"/>
    <n v="18"/>
    <s v="CareerBuilder"/>
    <s v="Fully Meets"/>
    <n v="4.0999999999999996"/>
    <n v="3"/>
    <n v="0"/>
    <s v="1/10/2019"/>
    <n v="0"/>
    <n v="13"/>
    <s v="Normal"/>
    <s v="low Outlier"/>
    <n v="39"/>
    <n v="15"/>
    <n v="15"/>
    <s v="10+ Years"/>
    <s v="36-45"/>
    <s v="Mid (40-70K)"/>
    <n v="1"/>
    <n v="2010"/>
    <n v="8"/>
    <s v="Q3"/>
    <s v="Aug"/>
    <s v="2010-08"/>
    <s v="N/A"/>
    <s v="Production       "/>
    <n v="33.333333333333329"/>
    <n v="0"/>
    <s v="Medium"/>
    <n v="4.0999999999999996"/>
    <s v=""/>
    <m/>
  </r>
  <r>
    <s v="Salter, Jason"/>
    <n v="10229"/>
    <n v="0"/>
    <n v="2"/>
    <n v="1"/>
    <n v="5"/>
    <n v="3"/>
    <n v="3"/>
    <n v="0"/>
    <n v="88527"/>
    <n v="1"/>
    <n v="9"/>
    <s v="Data Analyst "/>
    <s v="MA"/>
    <n v="2452"/>
    <d v="1987-12-17T00:00:00"/>
    <s v="M "/>
    <s v="Divorced"/>
    <s v="US Citizen"/>
    <s v="No"/>
    <s v="Black or African American"/>
    <d v="2015-01-05T00:00:00"/>
    <d v="2015-10-31T00:00:00"/>
    <x v="2"/>
    <s v="Voluntarily Terminated"/>
    <s v="IT/IS"/>
    <s v="Simon Roup"/>
    <n v="4"/>
    <s v="LinkedIn"/>
    <s v="Fully Meets"/>
    <n v="4.2"/>
    <n v="3"/>
    <n v="5"/>
    <s v="4/20/2015"/>
    <n v="0"/>
    <n v="2"/>
    <s v="Normal"/>
    <s v="low Outlier"/>
    <n v="38"/>
    <n v="11"/>
    <n v="0"/>
    <s v="10+ Years"/>
    <s v="36-45"/>
    <s v="Senior (70-100K)"/>
    <n v="0"/>
    <n v="2015"/>
    <n v="1"/>
    <s v="Q1"/>
    <s v="Jan"/>
    <s v="2015-01"/>
    <n v="2015"/>
    <s v="Production       "/>
    <n v="50"/>
    <n v="2"/>
    <s v="Medium"/>
    <s v=""/>
    <n v="4.2"/>
    <m/>
  </r>
  <r>
    <s v="Sander, Kamrin"/>
    <n v="10169"/>
    <n v="1"/>
    <n v="1"/>
    <n v="0"/>
    <n v="1"/>
    <n v="5"/>
    <n v="3"/>
    <n v="0"/>
    <n v="56147"/>
    <n v="0"/>
    <n v="19"/>
    <s v="Production Technician I"/>
    <s v="MA"/>
    <n v="2154"/>
    <d v="1988-07-10T00:00:00"/>
    <s v="F"/>
    <s v="Married"/>
    <s v="US Citizen"/>
    <s v="No"/>
    <s v="Black or African American"/>
    <d v="2014-09-29T00:00:00"/>
    <m/>
    <x v="0"/>
    <s v="Active"/>
    <s v="Production       "/>
    <s v="Elijiah Gray"/>
    <n v="16"/>
    <s v="LinkedIn"/>
    <s v="Fully Meets"/>
    <n v="3.51"/>
    <n v="3"/>
    <n v="0"/>
    <s v="2/18/2019"/>
    <n v="0"/>
    <n v="2"/>
    <s v="Normal"/>
    <s v="low Outlier"/>
    <n v="37"/>
    <n v="11"/>
    <n v="11"/>
    <s v="10+ Years"/>
    <s v="36-45"/>
    <s v="Mid (40-70K)"/>
    <n v="1"/>
    <n v="2014"/>
    <n v="9"/>
    <s v="Q3"/>
    <s v="Sep"/>
    <s v="2014-09"/>
    <s v="N/A"/>
    <s v="Production       "/>
    <n v="40"/>
    <n v="0"/>
    <s v="Medium"/>
    <n v="3.51"/>
    <s v=""/>
    <m/>
  </r>
  <r>
    <s v="Sewkumar, Nori"/>
    <n v="10071"/>
    <n v="0"/>
    <n v="0"/>
    <n v="0"/>
    <n v="3"/>
    <n v="5"/>
    <n v="3"/>
    <n v="0"/>
    <n v="50923"/>
    <n v="0"/>
    <n v="19"/>
    <s v="Production Technician I"/>
    <s v="MA"/>
    <n v="2191"/>
    <d v="1975-03-10T00:00:00"/>
    <s v="F"/>
    <s v="Single"/>
    <s v="US Citizen"/>
    <s v="No"/>
    <s v="Asian"/>
    <d v="2013-09-30T00:00:00"/>
    <m/>
    <x v="0"/>
    <s v="Active"/>
    <s v="Production       "/>
    <s v="Webster Butler"/>
    <m/>
    <s v="Google Search"/>
    <s v="Fully Meets"/>
    <n v="5"/>
    <n v="5"/>
    <n v="0"/>
    <s v="2/6/2019"/>
    <n v="0"/>
    <n v="14"/>
    <s v="Normal"/>
    <s v="low Outlier"/>
    <n v="51"/>
    <n v="12"/>
    <n v="12"/>
    <s v="10+ Years"/>
    <s v="46-55"/>
    <s v="Mid (40-70K)"/>
    <n v="1"/>
    <n v="2013"/>
    <n v="9"/>
    <s v="Q3"/>
    <s v="Sep"/>
    <s v="2013-09"/>
    <s v="N/A"/>
    <s v="Production       "/>
    <n v="75"/>
    <n v="0"/>
    <s v="Medium"/>
    <n v="5"/>
    <s v=""/>
    <m/>
  </r>
  <r>
    <s v="Shepard, Anita "/>
    <n v="10179"/>
    <n v="1"/>
    <n v="1"/>
    <n v="0"/>
    <n v="1"/>
    <n v="3"/>
    <n v="3"/>
    <n v="0"/>
    <n v="50750"/>
    <n v="0"/>
    <n v="15"/>
    <s v="Network Engineer"/>
    <s v="MA"/>
    <n v="1773"/>
    <d v="1981-04-14T00:00:00"/>
    <s v="F"/>
    <s v="Married"/>
    <s v="US Citizen"/>
    <s v="No"/>
    <s v="White"/>
    <d v="2014-09-30T00:00:00"/>
    <m/>
    <x v="0"/>
    <s v="Active"/>
    <s v="IT/IS"/>
    <s v="Peter Monroe"/>
    <n v="7"/>
    <s v="LinkedIn"/>
    <s v="Fully Meets"/>
    <n v="3.31"/>
    <n v="3"/>
    <n v="6"/>
    <s v="1/7/2019"/>
    <n v="0"/>
    <n v="7"/>
    <s v="Normal"/>
    <s v="low Outlier"/>
    <n v="44"/>
    <n v="11"/>
    <n v="11"/>
    <s v="10+ Years"/>
    <s v="36-45"/>
    <s v="Mid (40-70K)"/>
    <n v="1"/>
    <n v="2014"/>
    <n v="9"/>
    <s v="Q3"/>
    <s v="Sep"/>
    <s v="2014-09"/>
    <s v="N/A"/>
    <s v="Production       "/>
    <n v="20"/>
    <n v="0"/>
    <s v="Medium"/>
    <n v="3.31"/>
    <s v=""/>
    <m/>
  </r>
  <r>
    <s v="Shields, Seffi"/>
    <n v="10091"/>
    <n v="1"/>
    <n v="1"/>
    <n v="0"/>
    <n v="1"/>
    <n v="5"/>
    <n v="3"/>
    <n v="0"/>
    <n v="52087"/>
    <n v="0"/>
    <n v="19"/>
    <s v="Production Technician I"/>
    <s v="MA"/>
    <n v="2149"/>
    <d v="1985-08-24T00:00:00"/>
    <s v="F"/>
    <s v="Married"/>
    <s v="US Citizen"/>
    <s v="No"/>
    <s v="White"/>
    <d v="2013-08-19T00:00:00"/>
    <m/>
    <x v="0"/>
    <s v="Active"/>
    <s v="Production       "/>
    <s v="Amy Dunn"/>
    <n v="11"/>
    <s v="LinkedIn"/>
    <s v="Fully Meets"/>
    <n v="4.8099999999999996"/>
    <n v="4"/>
    <n v="0"/>
    <s v="2/15/2019"/>
    <n v="0"/>
    <n v="15"/>
    <s v="Normal"/>
    <s v="low Outlier"/>
    <n v="40"/>
    <n v="12"/>
    <n v="12"/>
    <s v="10+ Years"/>
    <s v="36-45"/>
    <s v="Mid (40-70K)"/>
    <n v="1"/>
    <n v="2013"/>
    <n v="8"/>
    <s v="Q3"/>
    <s v="Aug"/>
    <s v="2013-08"/>
    <s v="N/A"/>
    <s v="Production       "/>
    <n v="75"/>
    <n v="0"/>
    <s v="Medium"/>
    <n v="4.8099999999999996"/>
    <s v=""/>
    <m/>
  </r>
  <r>
    <s v="Simard, Kramer"/>
    <n v="10178"/>
    <n v="1"/>
    <n v="1"/>
    <n v="1"/>
    <n v="1"/>
    <n v="3"/>
    <n v="3"/>
    <n v="0"/>
    <n v="87826"/>
    <n v="0"/>
    <n v="9"/>
    <s v="Data Analyst"/>
    <s v="MA"/>
    <n v="2110"/>
    <d v="1970-02-08T00:00:00"/>
    <s v="M "/>
    <s v="Married"/>
    <s v="US Citizen"/>
    <s v="Yes"/>
    <s v="White"/>
    <d v="2015-01-05T00:00:00"/>
    <m/>
    <x v="0"/>
    <s v="Active"/>
    <s v="IT/IS"/>
    <s v="Simon Roup"/>
    <n v="4"/>
    <s v="Employee Referral"/>
    <s v="Fully Meets"/>
    <n v="3.32"/>
    <n v="3"/>
    <n v="7"/>
    <s v="1/14/2019"/>
    <n v="0"/>
    <n v="16"/>
    <s v="Normal"/>
    <s v="low Outlier"/>
    <n v="56"/>
    <n v="11"/>
    <n v="11"/>
    <s v="10+ Years"/>
    <s v="55+"/>
    <s v="Senior (70-100K)"/>
    <n v="1"/>
    <n v="2015"/>
    <n v="1"/>
    <s v="Q1"/>
    <s v="Jan"/>
    <s v="2015-01"/>
    <s v="N/A"/>
    <s v="Production       "/>
    <n v="33.333333333333329"/>
    <n v="0"/>
    <s v="Medium"/>
    <n v="3.32"/>
    <s v=""/>
    <m/>
  </r>
  <r>
    <s v="Singh, Nan "/>
    <n v="10039"/>
    <n v="0"/>
    <n v="0"/>
    <n v="0"/>
    <n v="1"/>
    <n v="1"/>
    <n v="3"/>
    <n v="0"/>
    <n v="51920"/>
    <n v="0"/>
    <n v="2"/>
    <s v="Administrative Assistant"/>
    <s v="MA"/>
    <n v="2330"/>
    <d v="1988-05-19T00:00:00"/>
    <s v="F"/>
    <s v="Single"/>
    <s v="US Citizen"/>
    <s v="No"/>
    <s v="White"/>
    <d v="2015-05-01T00:00:00"/>
    <m/>
    <x v="0"/>
    <s v="Active"/>
    <s v="Admin Offices"/>
    <s v="Brandon R. LeBlanc"/>
    <n v="1"/>
    <s v="Website"/>
    <s v="Fully Meets"/>
    <n v="5"/>
    <n v="3"/>
    <n v="5"/>
    <s v="1/15/2019"/>
    <n v="0"/>
    <n v="2"/>
    <s v="Normal"/>
    <s v="low Outlier"/>
    <n v="37"/>
    <n v="10"/>
    <n v="10"/>
    <s v="10+ Years"/>
    <s v="36-45"/>
    <s v="Mid (40-70K)"/>
    <n v="1"/>
    <n v="2015"/>
    <n v="5"/>
    <s v="Q2"/>
    <s v="May"/>
    <s v="2015-05"/>
    <s v="N/A"/>
    <s v="Production       "/>
    <n v="33.333333333333329"/>
    <n v="0"/>
    <s v="Medium"/>
    <n v="5"/>
    <s v=""/>
    <m/>
  </r>
  <r>
    <s v="Sloan, Constance"/>
    <n v="10095"/>
    <n v="0"/>
    <n v="0"/>
    <n v="0"/>
    <n v="5"/>
    <n v="5"/>
    <n v="3"/>
    <n v="0"/>
    <n v="63878"/>
    <n v="1"/>
    <n v="20"/>
    <s v="Production Technician II"/>
    <s v="MA"/>
    <n v="1851"/>
    <d v="1987-11-25T00:00:00"/>
    <s v="F"/>
    <s v="Single"/>
    <s v="US Citizen"/>
    <s v="No"/>
    <s v="White"/>
    <d v="2009-10-26T00:00:00"/>
    <d v="2015-04-08T00:00:00"/>
    <x v="15"/>
    <s v="Voluntarily Terminated"/>
    <s v="Production       "/>
    <s v="Michael Albert"/>
    <n v="22"/>
    <s v="CareerBuilder"/>
    <s v="Fully Meets"/>
    <n v="4.68"/>
    <n v="4"/>
    <n v="0"/>
    <s v="4/2/2015"/>
    <n v="0"/>
    <n v="20"/>
    <s v="Normal"/>
    <s v="low Outlier"/>
    <n v="38"/>
    <n v="16"/>
    <n v="5"/>
    <s v="10+ Years"/>
    <s v="36-45"/>
    <s v="Mid (40-70K)"/>
    <n v="0"/>
    <n v="2009"/>
    <n v="10"/>
    <s v="Q4"/>
    <s v="Oct"/>
    <s v="2009-10"/>
    <n v="2015"/>
    <s v="Production       "/>
    <n v="33.333333333333329"/>
    <n v="2"/>
    <s v="Medium"/>
    <s v=""/>
    <n v="4.68"/>
    <m/>
  </r>
  <r>
    <s v="Smith, Joe"/>
    <n v="10027"/>
    <n v="0"/>
    <n v="0"/>
    <n v="1"/>
    <n v="1"/>
    <n v="5"/>
    <n v="4"/>
    <n v="0"/>
    <n v="60656"/>
    <n v="0"/>
    <n v="20"/>
    <s v="Production Technician II"/>
    <s v="MA"/>
    <n v="2045"/>
    <d v="1963-10-30T00:00:00"/>
    <s v="M "/>
    <s v="Single"/>
    <s v="US Citizen"/>
    <s v="No"/>
    <s v="White"/>
    <d v="2014-09-29T00:00:00"/>
    <m/>
    <x v="0"/>
    <s v="Active"/>
    <s v="Production       "/>
    <s v="Elijiah Gray"/>
    <n v="16"/>
    <s v="Indeed"/>
    <s v="Exceeds"/>
    <n v="4.3"/>
    <n v="3"/>
    <n v="0"/>
    <s v="1/28/2019"/>
    <n v="0"/>
    <n v="4"/>
    <s v="Normal"/>
    <s v="low Outlier"/>
    <n v="62"/>
    <n v="11"/>
    <n v="11"/>
    <s v="10+ Years"/>
    <s v="55+"/>
    <s v="Mid (40-70K)"/>
    <n v="1"/>
    <n v="2014"/>
    <n v="9"/>
    <s v="Q3"/>
    <s v="Sep"/>
    <s v="2014-09"/>
    <s v="N/A"/>
    <s v="Production       "/>
    <n v="50"/>
    <n v="0"/>
    <s v="Low"/>
    <n v="4.3"/>
    <s v=""/>
    <m/>
  </r>
  <r>
    <s v="Smith, John"/>
    <n v="10291"/>
    <n v="0"/>
    <n v="2"/>
    <n v="1"/>
    <n v="1"/>
    <n v="6"/>
    <n v="2"/>
    <n v="1"/>
    <n v="72992"/>
    <n v="0"/>
    <n v="21"/>
    <s v="Sales Manager"/>
    <s v="MA"/>
    <n v="1886"/>
    <d v="1984-08-16T00:00:00"/>
    <s v="M "/>
    <s v="Divorced"/>
    <s v="US Citizen"/>
    <s v="No"/>
    <s v="Black or African American"/>
    <d v="2014-05-18T00:00:00"/>
    <m/>
    <x v="0"/>
    <s v="Active"/>
    <s v="Sales"/>
    <s v="Debra Houlihan"/>
    <n v="15"/>
    <s v="Diversity Job Fair"/>
    <s v="Needs Improvement"/>
    <n v="2.4"/>
    <n v="4"/>
    <n v="0"/>
    <s v="1/16/2019"/>
    <n v="2"/>
    <n v="16"/>
    <s v="Normal"/>
    <s v="low Outlier"/>
    <n v="41"/>
    <n v="11"/>
    <n v="11"/>
    <s v="10+ Years"/>
    <s v="36-45"/>
    <s v="Senior (70-100K)"/>
    <n v="1"/>
    <n v="2014"/>
    <n v="5"/>
    <s v="Q2"/>
    <s v="May"/>
    <s v="2014-05"/>
    <s v="N/A"/>
    <s v="Production       "/>
    <n v="0"/>
    <n v="0"/>
    <s v="High"/>
    <n v="2.4"/>
    <s v=""/>
    <m/>
  </r>
  <r>
    <s v="Smith, Leigh Ann"/>
    <n v="10153"/>
    <n v="1"/>
    <n v="1"/>
    <n v="0"/>
    <n v="5"/>
    <n v="1"/>
    <n v="3"/>
    <n v="1"/>
    <n v="55000"/>
    <n v="1"/>
    <n v="2"/>
    <s v="Administrative Assistant"/>
    <s v="MA"/>
    <n v="1844"/>
    <d v="1987-06-14T00:00:00"/>
    <s v="F"/>
    <s v="Married"/>
    <s v="US Citizen"/>
    <s v="No"/>
    <s v="Black or African American"/>
    <d v="2011-09-26T00:00:00"/>
    <d v="2013-09-25T00:00:00"/>
    <x v="1"/>
    <s v="Voluntarily Terminated"/>
    <s v="Admin Offices"/>
    <s v="Brandon R. LeBlanc"/>
    <n v="1"/>
    <s v="Diversity Job Fair"/>
    <s v="Fully Meets"/>
    <n v="3.8"/>
    <n v="4"/>
    <n v="4"/>
    <s v="8/15/2013"/>
    <n v="0"/>
    <n v="17"/>
    <s v="Normal"/>
    <s v="low Outlier"/>
    <n v="38"/>
    <n v="14"/>
    <n v="1"/>
    <s v="10+ Years"/>
    <s v="36-45"/>
    <s v="Mid (40-70K)"/>
    <n v="0"/>
    <n v="2011"/>
    <n v="9"/>
    <s v="Q3"/>
    <s v="Sep"/>
    <s v="2011-09"/>
    <n v="2013"/>
    <s v="Production       "/>
    <n v="50"/>
    <n v="2"/>
    <s v="Medium"/>
    <s v=""/>
    <n v="3.8"/>
    <m/>
  </r>
  <r>
    <s v="Smith, Sade"/>
    <n v="10157"/>
    <n v="0"/>
    <n v="0"/>
    <n v="0"/>
    <n v="1"/>
    <n v="5"/>
    <n v="3"/>
    <n v="0"/>
    <n v="58939"/>
    <n v="0"/>
    <n v="19"/>
    <s v="Production Technician I"/>
    <s v="MA"/>
    <n v="2130"/>
    <d v="1965-02-02T00:00:00"/>
    <s v="F"/>
    <s v="Single"/>
    <s v="US Citizen"/>
    <s v="No"/>
    <s v="White"/>
    <d v="2013-11-11T00:00:00"/>
    <m/>
    <x v="0"/>
    <s v="Active"/>
    <s v="Production       "/>
    <s v="Ketsia Liebig"/>
    <n v="19"/>
    <s v="Employee Referral"/>
    <s v="Fully Meets"/>
    <n v="3.73"/>
    <n v="3"/>
    <n v="0"/>
    <s v="1/24/2019"/>
    <n v="0"/>
    <n v="16"/>
    <s v="Normal"/>
    <s v="low Outlier"/>
    <n v="61"/>
    <n v="12"/>
    <n v="12"/>
    <s v="10+ Years"/>
    <s v="55+"/>
    <s v="Mid (40-70K)"/>
    <n v="1"/>
    <n v="2013"/>
    <n v="11"/>
    <s v="Q4"/>
    <s v="Nov"/>
    <s v="2013-11"/>
    <s v="N/A"/>
    <s v="Production       "/>
    <n v="50"/>
    <n v="0"/>
    <s v="Medium"/>
    <n v="3.73"/>
    <s v=""/>
    <m/>
  </r>
  <r>
    <s v="Soto, Julia "/>
    <n v="10119"/>
    <n v="1"/>
    <n v="1"/>
    <n v="0"/>
    <n v="1"/>
    <n v="3"/>
    <n v="3"/>
    <n v="0"/>
    <n v="66593"/>
    <n v="0"/>
    <n v="14"/>
    <s v="IT Support"/>
    <s v="MA"/>
    <n v="2360"/>
    <d v="1973-03-12T00:00:00"/>
    <s v="F"/>
    <s v="Married"/>
    <s v="US Citizen"/>
    <s v="No"/>
    <s v="Black or African American"/>
    <d v="2011-06-10T00:00:00"/>
    <m/>
    <x v="0"/>
    <s v="Active"/>
    <s v="IT/IS"/>
    <s v="Eric Dougall"/>
    <n v="6"/>
    <s v="LinkedIn"/>
    <s v="Fully Meets"/>
    <n v="4.3"/>
    <n v="3"/>
    <n v="5"/>
    <s v="2/8/2019"/>
    <n v="0"/>
    <n v="19"/>
    <s v="Normal"/>
    <s v="low Outlier"/>
    <n v="53"/>
    <n v="14"/>
    <n v="14"/>
    <s v="10+ Years"/>
    <s v="46-55"/>
    <s v="Mid (40-70K)"/>
    <n v="1"/>
    <n v="2011"/>
    <n v="6"/>
    <s v="Q2"/>
    <s v="Jun"/>
    <s v="2011-06"/>
    <s v="N/A"/>
    <s v="Production       "/>
    <n v="0"/>
    <n v="0"/>
    <s v="Medium"/>
    <n v="4.3"/>
    <s v=""/>
    <m/>
  </r>
  <r>
    <s v="Soze, Keyser"/>
    <n v="10180"/>
    <n v="1"/>
    <n v="1"/>
    <n v="1"/>
    <n v="2"/>
    <n v="3"/>
    <n v="3"/>
    <n v="0"/>
    <n v="87565"/>
    <n v="0"/>
    <n v="28"/>
    <s v="Sr. Network Engineer"/>
    <s v="MA"/>
    <n v="1545"/>
    <d v="1983-02-09T00:00:00"/>
    <s v="M "/>
    <s v="Married"/>
    <s v="US Citizen"/>
    <s v="No"/>
    <s v="Asian"/>
    <d v="2016-06-30T00:00:00"/>
    <m/>
    <x v="0"/>
    <s v="Active"/>
    <s v="IT/IS"/>
    <s v="Peter Monroe"/>
    <n v="7"/>
    <s v="LinkedIn"/>
    <s v="Fully Meets"/>
    <n v="3.27"/>
    <n v="4"/>
    <n v="5"/>
    <s v="1/14/2019"/>
    <n v="0"/>
    <n v="13"/>
    <s v="Normal"/>
    <s v="low Outlier"/>
    <n v="43"/>
    <n v="9"/>
    <n v="9"/>
    <s v="5-10 Years"/>
    <s v="36-45"/>
    <s v="Senior (70-100K)"/>
    <n v="1"/>
    <n v="2016"/>
    <n v="6"/>
    <s v="Q2"/>
    <s v="Jun"/>
    <s v="2016-06"/>
    <s v="N/A"/>
    <s v="Production       "/>
    <n v="25"/>
    <n v="0"/>
    <s v="Medium"/>
    <n v="3.27"/>
    <s v=""/>
    <m/>
  </r>
  <r>
    <s v="Sparks, Taylor  "/>
    <n v="10302"/>
    <n v="1"/>
    <n v="1"/>
    <n v="0"/>
    <n v="1"/>
    <n v="5"/>
    <n v="1"/>
    <n v="0"/>
    <n v="64021"/>
    <n v="0"/>
    <n v="19"/>
    <s v="Production Technician I"/>
    <s v="MA"/>
    <n v="2093"/>
    <d v="1968-07-20T00:00:00"/>
    <s v="F"/>
    <s v="Married"/>
    <s v="US Citizen"/>
    <s v="No"/>
    <s v="White"/>
    <d v="2012-02-20T00:00:00"/>
    <m/>
    <x v="0"/>
    <s v="Active"/>
    <s v="Production       "/>
    <s v="Brannon Miller"/>
    <n v="12"/>
    <s v="Indeed"/>
    <s v="PIP"/>
    <n v="2.4"/>
    <n v="2"/>
    <n v="1"/>
    <s v="2/25/2019"/>
    <n v="6"/>
    <n v="20"/>
    <s v="Normal"/>
    <s v="low Outlier"/>
    <n v="57"/>
    <n v="14"/>
    <n v="14"/>
    <s v="10+ Years"/>
    <s v="55+"/>
    <s v="Mid (40-70K)"/>
    <n v="1"/>
    <n v="2012"/>
    <n v="2"/>
    <s v="Q1"/>
    <s v="Feb"/>
    <s v="2012-02"/>
    <s v="N/A"/>
    <s v="Production       "/>
    <n v="50"/>
    <n v="0"/>
    <s v="High"/>
    <n v="2.4"/>
    <s v=""/>
    <m/>
  </r>
  <r>
    <s v="Spirea, Kelley"/>
    <n v="10090"/>
    <n v="1"/>
    <n v="1"/>
    <n v="0"/>
    <n v="1"/>
    <n v="5"/>
    <n v="3"/>
    <n v="0"/>
    <n v="65714"/>
    <n v="0"/>
    <n v="18"/>
    <s v="Production Manager"/>
    <s v="MA"/>
    <n v="2451"/>
    <d v="1975-09-30T00:00:00"/>
    <s v="F"/>
    <s v="Married"/>
    <s v="US Citizen"/>
    <s v="No"/>
    <s v="White"/>
    <d v="2012-10-02T00:00:00"/>
    <m/>
    <x v="0"/>
    <s v="Active"/>
    <s v="Production       "/>
    <s v="Janet King"/>
    <n v="2"/>
    <s v="LinkedIn"/>
    <s v="Fully Meets"/>
    <n v="4.83"/>
    <n v="5"/>
    <n v="0"/>
    <s v="2/14/2019"/>
    <n v="0"/>
    <n v="15"/>
    <s v="Normal"/>
    <s v="low Outlier"/>
    <n v="50"/>
    <n v="13"/>
    <n v="13"/>
    <s v="10+ Years"/>
    <s v="46-55"/>
    <s v="Mid (40-70K)"/>
    <n v="1"/>
    <n v="2012"/>
    <n v="10"/>
    <s v="Q4"/>
    <s v="Oct"/>
    <s v="2012-10"/>
    <s v="N/A"/>
    <s v="Production       "/>
    <n v="20"/>
    <n v="0"/>
    <s v="Medium"/>
    <n v="4.83"/>
    <s v=""/>
    <m/>
  </r>
  <r>
    <s v="Squatrito, Kristen"/>
    <n v="10030"/>
    <n v="0"/>
    <n v="2"/>
    <n v="0"/>
    <n v="5"/>
    <n v="5"/>
    <n v="4"/>
    <n v="0"/>
    <n v="62425"/>
    <n v="1"/>
    <n v="19"/>
    <s v="Production Technician I"/>
    <s v="MA"/>
    <n v="2359"/>
    <d v="1973-03-26T00:00:00"/>
    <s v="F"/>
    <s v="Divorced"/>
    <s v="US Citizen"/>
    <s v="No"/>
    <s v="White"/>
    <d v="2013-05-13T00:00:00"/>
    <d v="2015-06-29T00:00:00"/>
    <x v="5"/>
    <s v="Voluntarily Terminated"/>
    <s v="Production       "/>
    <s v="David Stanley"/>
    <n v="14"/>
    <s v="LinkedIn"/>
    <s v="Exceeds"/>
    <n v="4.0999999999999996"/>
    <n v="4"/>
    <n v="0"/>
    <s v="3/2/2015"/>
    <n v="0"/>
    <n v="16"/>
    <s v="Normal"/>
    <s v="low Outlier"/>
    <n v="53"/>
    <n v="12"/>
    <n v="2"/>
    <s v="10+ Years"/>
    <s v="46-55"/>
    <s v="Mid (40-70K)"/>
    <n v="0"/>
    <n v="2013"/>
    <n v="5"/>
    <s v="Q2"/>
    <s v="May"/>
    <s v="2013-05"/>
    <n v="2015"/>
    <s v="Production       "/>
    <n v="25"/>
    <n v="3"/>
    <s v="Low"/>
    <s v=""/>
    <n v="4.0999999999999996"/>
    <m/>
  </r>
  <r>
    <s v="Stanford,Barbara  M"/>
    <n v="10278"/>
    <n v="0"/>
    <n v="2"/>
    <n v="0"/>
    <n v="1"/>
    <n v="5"/>
    <n v="3"/>
    <n v="0"/>
    <n v="47961"/>
    <n v="0"/>
    <n v="19"/>
    <s v="Production Technician I"/>
    <s v="MA"/>
    <n v="2050"/>
    <d v="1982-08-25T00:00:00"/>
    <s v="F"/>
    <s v="Divorced"/>
    <s v="US Citizen"/>
    <s v="No"/>
    <s v="Two or more races"/>
    <d v="2011-01-10T00:00:00"/>
    <m/>
    <x v="0"/>
    <s v="Active"/>
    <s v="Production       "/>
    <s v="Kissy Sullivan"/>
    <n v="20"/>
    <s v="Google Search"/>
    <s v="Fully Meets"/>
    <n v="4.0999999999999996"/>
    <n v="4"/>
    <n v="0"/>
    <s v="2/7/2019"/>
    <n v="0"/>
    <n v="9"/>
    <s v="Normal"/>
    <s v="low Outlier"/>
    <n v="43"/>
    <n v="15"/>
    <n v="15"/>
    <s v="10+ Years"/>
    <s v="36-45"/>
    <s v="Mid (40-70K)"/>
    <n v="1"/>
    <n v="2011"/>
    <n v="1"/>
    <s v="Q1"/>
    <s v="Jan"/>
    <s v="2011-01"/>
    <s v="N/A"/>
    <s v="Production       "/>
    <n v="33.333333333333329"/>
    <n v="0"/>
    <s v="Medium"/>
    <n v="4.0999999999999996"/>
    <s v=""/>
    <m/>
  </r>
  <r>
    <s v="Stansfield, Norman"/>
    <n v="10307"/>
    <n v="1"/>
    <n v="1"/>
    <n v="1"/>
    <n v="1"/>
    <n v="6"/>
    <n v="1"/>
    <n v="0"/>
    <n v="58273"/>
    <n v="0"/>
    <n v="3"/>
    <s v="Area Sales Manager"/>
    <s v="NV"/>
    <n v="89139"/>
    <d v="1974-05-09T00:00:00"/>
    <s v="M "/>
    <s v="Married"/>
    <s v="US Citizen"/>
    <s v="No"/>
    <s v="White"/>
    <d v="2014-05-12T00:00:00"/>
    <m/>
    <x v="0"/>
    <s v="Active"/>
    <s v="Sales"/>
    <s v="Lynn Daneault"/>
    <n v="21"/>
    <s v="Website"/>
    <s v="PIP"/>
    <n v="1.81"/>
    <n v="2"/>
    <n v="0"/>
    <s v="1/17/2019"/>
    <n v="3"/>
    <n v="5"/>
    <s v="Normal"/>
    <s v="low Outlier"/>
    <n v="51"/>
    <n v="11"/>
    <n v="11"/>
    <s v="10+ Years"/>
    <s v="46-55"/>
    <s v="Mid (40-70K)"/>
    <n v="1"/>
    <n v="2014"/>
    <n v="5"/>
    <s v="Q2"/>
    <s v="May"/>
    <s v="2014-05"/>
    <s v="N/A"/>
    <s v="Production       "/>
    <n v="0"/>
    <n v="0"/>
    <s v="High"/>
    <n v="1.81"/>
    <s v=""/>
    <m/>
  </r>
  <r>
    <s v="Steans, Tyrone  "/>
    <n v="10147"/>
    <n v="0"/>
    <n v="0"/>
    <n v="1"/>
    <n v="1"/>
    <n v="1"/>
    <n v="3"/>
    <n v="0"/>
    <n v="63003"/>
    <n v="0"/>
    <n v="1"/>
    <s v="Accountant I"/>
    <s v="MA"/>
    <n v="2703"/>
    <d v="1986-09-01T00:00:00"/>
    <s v="M "/>
    <s v="Single"/>
    <s v="US Citizen"/>
    <s v="No"/>
    <s v="White"/>
    <d v="2014-09-29T00:00:00"/>
    <m/>
    <x v="0"/>
    <s v="Active"/>
    <s v="Admin Offices"/>
    <s v="Brandon R. LeBlanc"/>
    <n v="1"/>
    <s v="Indeed"/>
    <s v="Fully Meets"/>
    <n v="3.9"/>
    <n v="5"/>
    <n v="5"/>
    <s v="1/18/2019"/>
    <n v="0"/>
    <n v="9"/>
    <s v="Normal"/>
    <s v="low Outlier"/>
    <n v="39"/>
    <n v="11"/>
    <n v="11"/>
    <s v="10+ Years"/>
    <s v="36-45"/>
    <s v="Mid (40-70K)"/>
    <n v="1"/>
    <n v="2014"/>
    <n v="9"/>
    <s v="Q3"/>
    <s v="Sep"/>
    <s v="2014-09"/>
    <s v="N/A"/>
    <s v="Production       "/>
    <n v="0"/>
    <n v="0"/>
    <s v="Medium"/>
    <n v="3.9"/>
    <s v=""/>
    <m/>
  </r>
  <r>
    <s v="Stoica, Rick"/>
    <n v="10266"/>
    <n v="1"/>
    <n v="1"/>
    <n v="1"/>
    <n v="1"/>
    <n v="5"/>
    <n v="3"/>
    <n v="0"/>
    <n v="61355"/>
    <n v="0"/>
    <n v="19"/>
    <s v="Production Technician I"/>
    <s v="MA"/>
    <n v="2301"/>
    <d v="1985-03-14T00:00:00"/>
    <s v="M "/>
    <s v="Married"/>
    <s v="US Citizen"/>
    <s v="No"/>
    <s v="Asian"/>
    <d v="2014-02-17T00:00:00"/>
    <m/>
    <x v="0"/>
    <s v="Active"/>
    <s v="Production       "/>
    <s v="Kelley Spirea"/>
    <n v="18"/>
    <s v="LinkedIn"/>
    <s v="Fully Meets"/>
    <n v="4.7"/>
    <n v="3"/>
    <n v="0"/>
    <s v="1/11/2019"/>
    <n v="0"/>
    <n v="4"/>
    <s v="Normal"/>
    <s v="low Outlier"/>
    <n v="41"/>
    <n v="12"/>
    <n v="12"/>
    <s v="10+ Years"/>
    <s v="36-45"/>
    <s v="Mid (40-70K)"/>
    <n v="1"/>
    <n v="2014"/>
    <n v="2"/>
    <s v="Q1"/>
    <s v="Feb"/>
    <s v="2014-02"/>
    <s v="N/A"/>
    <s v="Production       "/>
    <n v="50"/>
    <n v="0"/>
    <s v="Medium"/>
    <n v="4.7"/>
    <s v=""/>
    <m/>
  </r>
  <r>
    <s v="Strong, Caitrin"/>
    <n v="10241"/>
    <n v="1"/>
    <n v="1"/>
    <n v="0"/>
    <n v="1"/>
    <n v="6"/>
    <n v="3"/>
    <n v="0"/>
    <n v="60120"/>
    <n v="0"/>
    <n v="3"/>
    <s v="Area Sales Manager"/>
    <s v="MT"/>
    <n v="59102"/>
    <d v="1989-05-12T00:00:00"/>
    <s v="F"/>
    <s v="Married"/>
    <s v="US Citizen"/>
    <s v="No"/>
    <s v="Black or African American"/>
    <d v="2010-09-27T00:00:00"/>
    <m/>
    <x v="0"/>
    <s v="Active"/>
    <s v="Sales"/>
    <s v="John Smith"/>
    <n v="17"/>
    <s v="Indeed"/>
    <s v="Fully Meets"/>
    <n v="4.0999999999999996"/>
    <n v="4"/>
    <n v="0"/>
    <s v="1/31/2019"/>
    <n v="0"/>
    <n v="18"/>
    <s v="Normal"/>
    <s v="low Outlier"/>
    <n v="36"/>
    <n v="15"/>
    <n v="15"/>
    <s v="10+ Years"/>
    <s v="36-45"/>
    <s v="Mid (40-70K)"/>
    <n v="1"/>
    <n v="2010"/>
    <n v="9"/>
    <s v="Q3"/>
    <s v="Sep"/>
    <s v="2010-09"/>
    <s v="N/A"/>
    <s v="Production       "/>
    <n v="0"/>
    <n v="0"/>
    <s v="Medium"/>
    <n v="4.0999999999999996"/>
    <s v=""/>
    <m/>
  </r>
  <r>
    <s v="Sullivan, Kissy "/>
    <n v="10158"/>
    <n v="1"/>
    <n v="1"/>
    <n v="0"/>
    <n v="1"/>
    <n v="5"/>
    <n v="3"/>
    <n v="0"/>
    <n v="63682"/>
    <n v="0"/>
    <n v="18"/>
    <s v="Production Manager"/>
    <s v="MA"/>
    <n v="1776"/>
    <d v="1978-03-28T00:00:00"/>
    <s v="F"/>
    <s v="Married"/>
    <s v="US Citizen"/>
    <s v="No"/>
    <s v="Black or African American"/>
    <d v="2009-01-08T00:00:00"/>
    <m/>
    <x v="0"/>
    <s v="Active"/>
    <s v="Production       "/>
    <s v="Janet King"/>
    <n v="2"/>
    <s v="Indeed"/>
    <s v="Fully Meets"/>
    <n v="3.73"/>
    <n v="4"/>
    <n v="0"/>
    <s v="1/24/2019"/>
    <n v="0"/>
    <n v="12"/>
    <s v="Normal"/>
    <s v="low Outlier"/>
    <n v="48"/>
    <n v="17"/>
    <n v="17"/>
    <s v="10+ Years"/>
    <s v="46-55"/>
    <s v="Mid (40-70K)"/>
    <n v="1"/>
    <n v="2009"/>
    <n v="1"/>
    <s v="Q1"/>
    <s v="Jan"/>
    <s v="2009-01"/>
    <s v="N/A"/>
    <s v="Production       "/>
    <n v="25"/>
    <n v="0"/>
    <s v="Medium"/>
    <n v="3.73"/>
    <s v=""/>
    <m/>
  </r>
  <r>
    <s v="Sullivan, Timothy"/>
    <n v="10117"/>
    <n v="1"/>
    <n v="1"/>
    <n v="1"/>
    <n v="1"/>
    <n v="5"/>
    <n v="3"/>
    <n v="0"/>
    <n v="63025"/>
    <n v="0"/>
    <n v="19"/>
    <s v="Production Technician I"/>
    <s v="MA"/>
    <n v="2747"/>
    <d v="1982-10-07T00:00:00"/>
    <s v="M "/>
    <s v="Married"/>
    <s v="US Citizen"/>
    <s v="Yes"/>
    <s v="White"/>
    <d v="2015-01-05T00:00:00"/>
    <m/>
    <x v="0"/>
    <s v="Active"/>
    <s v="Production       "/>
    <s v="Michael Albert"/>
    <n v="22"/>
    <s v="Google Search"/>
    <s v="Fully Meets"/>
    <n v="4.3600000000000003"/>
    <n v="5"/>
    <n v="0"/>
    <s v="1/24/2019"/>
    <n v="0"/>
    <n v="10"/>
    <s v="Normal"/>
    <s v="low Outlier"/>
    <n v="43"/>
    <n v="11"/>
    <n v="11"/>
    <s v="10+ Years"/>
    <s v="36-45"/>
    <s v="Mid (40-70K)"/>
    <n v="1"/>
    <n v="2015"/>
    <n v="1"/>
    <s v="Q1"/>
    <s v="Jan"/>
    <s v="2015-01"/>
    <s v="N/A"/>
    <s v="Production       "/>
    <n v="0"/>
    <n v="0"/>
    <s v="Medium"/>
    <n v="4.3600000000000003"/>
    <s v=""/>
    <m/>
  </r>
  <r>
    <s v="Sutwell, Barbara"/>
    <n v="10209"/>
    <n v="0"/>
    <n v="0"/>
    <n v="0"/>
    <n v="1"/>
    <n v="5"/>
    <n v="3"/>
    <n v="0"/>
    <n v="59238"/>
    <n v="0"/>
    <n v="19"/>
    <s v="Production Technician I"/>
    <s v="MA"/>
    <n v="2718"/>
    <d v="1968-08-15T00:00:00"/>
    <s v="F"/>
    <s v="Single"/>
    <s v="Eligible NonCitizen"/>
    <s v="No"/>
    <s v="Asian"/>
    <d v="2012-05-14T00:00:00"/>
    <m/>
    <x v="0"/>
    <s v="Active"/>
    <s v="Production       "/>
    <s v="Elijiah Gray"/>
    <n v="16"/>
    <s v="Indeed"/>
    <s v="Fully Meets"/>
    <n v="3.4"/>
    <n v="5"/>
    <n v="0"/>
    <s v="1/31/2019"/>
    <n v="0"/>
    <n v="13"/>
    <s v="Normal"/>
    <s v="low Outlier"/>
    <n v="57"/>
    <n v="13"/>
    <n v="13"/>
    <s v="10+ Years"/>
    <s v="55+"/>
    <s v="Mid (40-70K)"/>
    <n v="1"/>
    <n v="2012"/>
    <n v="5"/>
    <s v="Q2"/>
    <s v="May"/>
    <s v="2012-05"/>
    <s v="N/A"/>
    <s v="Production       "/>
    <n v="66.666666666666657"/>
    <n v="0"/>
    <s v="Medium"/>
    <n v="3.4"/>
    <s v=""/>
    <m/>
  </r>
  <r>
    <s v="Szabo, Andrew"/>
    <n v="10024"/>
    <n v="0"/>
    <n v="0"/>
    <n v="1"/>
    <n v="1"/>
    <n v="4"/>
    <n v="4"/>
    <n v="0"/>
    <n v="92989"/>
    <n v="0"/>
    <n v="24"/>
    <s v="Software Engineer"/>
    <s v="MA"/>
    <n v="2140"/>
    <d v="1983-05-06T00:00:00"/>
    <s v="M "/>
    <s v="Single"/>
    <s v="US Citizen"/>
    <s v="No"/>
    <s v="White"/>
    <d v="2014-07-07T00:00:00"/>
    <m/>
    <x v="0"/>
    <s v="Active"/>
    <s v="Software Engineering"/>
    <s v="Alex Sweetwater"/>
    <n v="10"/>
    <s v="LinkedIn"/>
    <s v="Exceeds"/>
    <n v="4.5"/>
    <n v="5"/>
    <n v="5"/>
    <s v="2/18/2019"/>
    <n v="0"/>
    <n v="1"/>
    <s v="Normal"/>
    <s v="low Outlier"/>
    <n v="42"/>
    <n v="11"/>
    <n v="11"/>
    <s v="10+ Years"/>
    <s v="36-45"/>
    <s v="Senior (70-100K)"/>
    <n v="1"/>
    <n v="2014"/>
    <n v="7"/>
    <s v="Q3"/>
    <s v="Jul"/>
    <s v="2014-07"/>
    <s v="N/A"/>
    <s v="Production       "/>
    <n v="50"/>
    <n v="0"/>
    <s v="Low"/>
    <n v="4.5"/>
    <s v=""/>
    <m/>
  </r>
  <r>
    <s v="Tannen, Biff"/>
    <n v="10173"/>
    <n v="1"/>
    <n v="1"/>
    <n v="1"/>
    <n v="1"/>
    <n v="3"/>
    <n v="3"/>
    <n v="0"/>
    <n v="90100"/>
    <n v="0"/>
    <n v="4"/>
    <s v="BI Developer"/>
    <s v="MA"/>
    <n v="2134"/>
    <d v="1987-10-24T00:00:00"/>
    <s v="M "/>
    <s v="Married"/>
    <s v="US Citizen"/>
    <s v="No"/>
    <s v="White"/>
    <d v="2017-04-20T00:00:00"/>
    <m/>
    <x v="0"/>
    <s v="Active"/>
    <s v="IT/IS"/>
    <s v="Brian Champaigne"/>
    <n v="13"/>
    <s v="Indeed"/>
    <s v="Fully Meets"/>
    <n v="3.4"/>
    <n v="3"/>
    <n v="6"/>
    <s v="1/2/2019"/>
    <n v="0"/>
    <n v="14"/>
    <s v="Normal"/>
    <s v="low Outlier"/>
    <n v="38"/>
    <n v="8"/>
    <n v="8"/>
    <s v="5-10 Years"/>
    <s v="36-45"/>
    <s v="Senior (70-100K)"/>
    <n v="1"/>
    <n v="2017"/>
    <n v="4"/>
    <s v="Q2"/>
    <s v="Apr"/>
    <s v="2017-04"/>
    <s v="N/A"/>
    <s v="Production       "/>
    <n v="0"/>
    <n v="0"/>
    <s v="Medium"/>
    <n v="3.4"/>
    <s v=""/>
    <m/>
  </r>
  <r>
    <s v="Tavares, Desiree  "/>
    <n v="10221"/>
    <n v="1"/>
    <n v="1"/>
    <n v="0"/>
    <n v="5"/>
    <n v="5"/>
    <n v="3"/>
    <n v="1"/>
    <n v="60754"/>
    <n v="1"/>
    <n v="19"/>
    <s v="Production Technician I"/>
    <s v="MA"/>
    <n v="1801"/>
    <d v="1975-04-03T00:00:00"/>
    <s v="F"/>
    <s v="Married"/>
    <s v="Non-Citizen"/>
    <s v="No"/>
    <s v="Black or African American"/>
    <d v="2009-04-27T00:00:00"/>
    <d v="2013-04-01T00:00:00"/>
    <x v="4"/>
    <s v="Voluntarily Terminated"/>
    <s v="Production       "/>
    <s v="Webster Butler"/>
    <n v="39"/>
    <s v="Diversity Job Fair"/>
    <s v="Fully Meets"/>
    <n v="4.5"/>
    <n v="5"/>
    <n v="0"/>
    <s v="2/15/2012"/>
    <n v="0"/>
    <n v="11"/>
    <s v="Normal"/>
    <s v="low Outlier"/>
    <n v="50"/>
    <n v="16"/>
    <n v="3"/>
    <s v="10+ Years"/>
    <s v="46-55"/>
    <s v="Mid (40-70K)"/>
    <n v="0"/>
    <n v="2009"/>
    <n v="4"/>
    <s v="Q2"/>
    <s v="Apr"/>
    <s v="2009-04"/>
    <n v="2013"/>
    <s v="Production       "/>
    <n v="100"/>
    <n v="5"/>
    <s v="Medium"/>
    <s v=""/>
    <n v="4.5"/>
    <m/>
  </r>
  <r>
    <s v="Tejeda, Lenora "/>
    <n v="10146"/>
    <n v="1"/>
    <n v="1"/>
    <n v="0"/>
    <n v="5"/>
    <n v="5"/>
    <n v="3"/>
    <n v="0"/>
    <n v="72202"/>
    <n v="1"/>
    <n v="20"/>
    <s v="Production Technician II"/>
    <s v="MA"/>
    <n v="2129"/>
    <d v="1953-05-24T00:00:00"/>
    <s v="F"/>
    <s v="Married"/>
    <s v="US Citizen"/>
    <s v="No"/>
    <s v="White"/>
    <d v="2011-05-16T00:00:00"/>
    <d v="2017-07-08T00:00:00"/>
    <x v="4"/>
    <s v="Voluntarily Terminated"/>
    <s v="Production       "/>
    <s v="Elijiah Gray"/>
    <n v="16"/>
    <s v="Google Search"/>
    <s v="Fully Meets"/>
    <n v="3.93"/>
    <n v="3"/>
    <n v="0"/>
    <s v="4/18/2017"/>
    <n v="0"/>
    <n v="3"/>
    <s v="Normal"/>
    <s v="low Outlier"/>
    <n v="72"/>
    <n v="14"/>
    <n v="6"/>
    <s v="10+ Years"/>
    <s v="55+"/>
    <s v="Senior (70-100K)"/>
    <n v="0"/>
    <n v="2011"/>
    <n v="5"/>
    <s v="Q2"/>
    <s v="May"/>
    <s v="2011-05"/>
    <n v="2017"/>
    <s v="Production       "/>
    <n v="100"/>
    <n v="4"/>
    <s v="Medium"/>
    <s v=""/>
    <n v="3.93"/>
    <m/>
  </r>
  <r>
    <s v="Terry, Sharlene "/>
    <n v="10161"/>
    <n v="0"/>
    <n v="0"/>
    <n v="0"/>
    <n v="1"/>
    <n v="6"/>
    <n v="3"/>
    <n v="0"/>
    <n v="58370"/>
    <n v="0"/>
    <n v="3"/>
    <s v="Area Sales Manager"/>
    <s v="OR"/>
    <n v="97756"/>
    <d v="1965-05-07T00:00:00"/>
    <s v="F"/>
    <s v="Single"/>
    <s v="US Citizen"/>
    <s v="No"/>
    <s v="Black or African American"/>
    <d v="2014-09-29T00:00:00"/>
    <m/>
    <x v="0"/>
    <s v="Active"/>
    <s v="Sales"/>
    <s v="Lynn Daneault"/>
    <n v="21"/>
    <s v="Indeed"/>
    <s v="Fully Meets"/>
    <n v="3.69"/>
    <n v="3"/>
    <n v="0"/>
    <s v="1/28/2019"/>
    <n v="0"/>
    <n v="18"/>
    <s v="Normal"/>
    <s v="low Outlier"/>
    <n v="60"/>
    <n v="11"/>
    <n v="11"/>
    <s v="10+ Years"/>
    <s v="55+"/>
    <s v="Mid (40-70K)"/>
    <n v="1"/>
    <n v="2014"/>
    <n v="9"/>
    <s v="Q3"/>
    <s v="Sep"/>
    <s v="2014-09"/>
    <s v="N/A"/>
    <s v="Production       "/>
    <n v="0"/>
    <n v="0"/>
    <s v="Medium"/>
    <n v="3.69"/>
    <s v=""/>
    <m/>
  </r>
  <r>
    <s v="Theamstern, Sophia"/>
    <n v="10141"/>
    <n v="0"/>
    <n v="0"/>
    <n v="0"/>
    <n v="5"/>
    <n v="5"/>
    <n v="3"/>
    <n v="0"/>
    <n v="48413"/>
    <n v="1"/>
    <n v="19"/>
    <s v="Production Technician I"/>
    <s v="MA"/>
    <n v="2066"/>
    <d v="1965-05-09T00:00:00"/>
    <s v="F"/>
    <s v="Single"/>
    <s v="US Citizen"/>
    <s v="No"/>
    <s v="White"/>
    <d v="2011-07-05T00:00:00"/>
    <d v="2016-09-05T00:00:00"/>
    <x v="3"/>
    <s v="Voluntarily Terminated"/>
    <s v="Production       "/>
    <s v="Amy Dunn"/>
    <n v="11"/>
    <s v="Indeed"/>
    <s v="Fully Meets"/>
    <n v="3.98"/>
    <n v="4"/>
    <n v="0"/>
    <s v="3/2/2016"/>
    <n v="0"/>
    <n v="1"/>
    <s v="Normal"/>
    <s v="low Outlier"/>
    <n v="60"/>
    <n v="14"/>
    <n v="5"/>
    <s v="10+ Years"/>
    <s v="55+"/>
    <s v="Mid (40-70K)"/>
    <n v="0"/>
    <n v="2011"/>
    <n v="7"/>
    <s v="Q3"/>
    <s v="Jul"/>
    <s v="2011-07"/>
    <n v="2016"/>
    <s v="Production       "/>
    <n v="100"/>
    <n v="1"/>
    <s v="Medium"/>
    <s v=""/>
    <n v="3.98"/>
    <m/>
  </r>
  <r>
    <s v="Thibaud, Kenneth"/>
    <n v="10268"/>
    <n v="0"/>
    <n v="4"/>
    <n v="1"/>
    <n v="5"/>
    <n v="5"/>
    <n v="3"/>
    <n v="0"/>
    <n v="67176"/>
    <n v="1"/>
    <n v="20"/>
    <s v="Production Technician II"/>
    <s v="MA"/>
    <n v="2472"/>
    <d v="1975-09-16T00:00:00"/>
    <s v="M "/>
    <s v="Widowed"/>
    <s v="US Citizen"/>
    <s v="No"/>
    <s v="White"/>
    <d v="2007-06-25T00:00:00"/>
    <d v="2010-08-30T00:00:00"/>
    <x v="12"/>
    <s v="Voluntarily Terminated"/>
    <s v="Production       "/>
    <s v="Webster Butler"/>
    <n v="39"/>
    <s v="Other"/>
    <s v="Fully Meets"/>
    <n v="4.0999999999999996"/>
    <n v="4"/>
    <n v="0"/>
    <s v="7/14/2010"/>
    <n v="0"/>
    <n v="15"/>
    <s v="Normal"/>
    <s v="low Outlier"/>
    <n v="50"/>
    <n v="18"/>
    <n v="3"/>
    <s v="10+ Years"/>
    <s v="46-55"/>
    <s v="Mid (40-70K)"/>
    <n v="0"/>
    <n v="2007"/>
    <n v="6"/>
    <s v="Q2"/>
    <s v="Jun"/>
    <s v="2007-06"/>
    <n v="2010"/>
    <s v="Production       "/>
    <n v="100"/>
    <n v="1"/>
    <s v="Medium"/>
    <s v=""/>
    <n v="4.0999999999999996"/>
    <m/>
  </r>
  <r>
    <s v="Tippett, Jeanette"/>
    <n v="10123"/>
    <n v="0"/>
    <n v="2"/>
    <n v="0"/>
    <n v="1"/>
    <n v="5"/>
    <n v="3"/>
    <n v="0"/>
    <n v="56339"/>
    <n v="0"/>
    <n v="19"/>
    <s v="Production Technician I"/>
    <s v="MA"/>
    <n v="2093"/>
    <d v="1967-06-05T00:00:00"/>
    <s v="F"/>
    <s v="Divorced"/>
    <s v="US Citizen"/>
    <s v="No"/>
    <s v="Black or African American"/>
    <d v="2013-02-18T00:00:00"/>
    <m/>
    <x v="0"/>
    <s v="Active"/>
    <s v="Production       "/>
    <s v="Brannon Miller"/>
    <n v="12"/>
    <s v="Indeed"/>
    <s v="Fully Meets"/>
    <n v="4.21"/>
    <n v="5"/>
    <n v="0"/>
    <s v="1/14/2019"/>
    <n v="0"/>
    <n v="4"/>
    <s v="Normal"/>
    <s v="low Outlier"/>
    <n v="58"/>
    <n v="13"/>
    <n v="13"/>
    <s v="10+ Years"/>
    <s v="55+"/>
    <s v="Mid (40-70K)"/>
    <n v="1"/>
    <n v="2013"/>
    <n v="2"/>
    <s v="Q1"/>
    <s v="Feb"/>
    <s v="2013-02"/>
    <s v="N/A"/>
    <s v="Production       "/>
    <n v="66.666666666666657"/>
    <n v="0"/>
    <s v="Medium"/>
    <n v="4.21"/>
    <s v=""/>
    <m/>
  </r>
  <r>
    <s v="Torrence, Jack"/>
    <n v="10013"/>
    <n v="0"/>
    <n v="3"/>
    <n v="1"/>
    <n v="1"/>
    <n v="6"/>
    <n v="4"/>
    <n v="0"/>
    <n v="64397"/>
    <n v="0"/>
    <n v="3"/>
    <s v="Area Sales Manager"/>
    <s v="ND"/>
    <n v="58782"/>
    <d v="1968-01-15T00:00:00"/>
    <s v="M "/>
    <s v="Separated"/>
    <s v="US Citizen"/>
    <s v="No"/>
    <s v="White"/>
    <d v="2006-01-09T00:00:00"/>
    <m/>
    <x v="0"/>
    <s v="Active"/>
    <s v="Sales"/>
    <s v="Lynn Daneault"/>
    <n v="21"/>
    <s v="Indeed"/>
    <s v="Exceeds"/>
    <n v="4.0999999999999996"/>
    <n v="3"/>
    <n v="0"/>
    <s v="1/4/2019"/>
    <n v="0"/>
    <n v="6"/>
    <s v="Normal"/>
    <s v="low Outlier"/>
    <n v="58"/>
    <n v="20"/>
    <n v="20"/>
    <s v="10+ Years"/>
    <s v="55+"/>
    <s v="Mid (40-70K)"/>
    <n v="1"/>
    <n v="2006"/>
    <n v="1"/>
    <s v="Q1"/>
    <s v="Jan"/>
    <s v="2006-01"/>
    <s v="N/A"/>
    <s v="Production       "/>
    <n v="0"/>
    <n v="0"/>
    <s v="Low"/>
    <n v="4.0999999999999996"/>
    <s v=""/>
    <m/>
  </r>
  <r>
    <s v="Trang, Mei"/>
    <n v="10287"/>
    <n v="0"/>
    <n v="0"/>
    <n v="0"/>
    <n v="1"/>
    <n v="5"/>
    <n v="2"/>
    <n v="0"/>
    <n v="63025"/>
    <n v="0"/>
    <n v="19"/>
    <s v="Production Technician I"/>
    <s v="MA"/>
    <n v="2021"/>
    <d v="1983-05-16T00:00:00"/>
    <s v="F"/>
    <s v="Single"/>
    <s v="US Citizen"/>
    <s v="No"/>
    <s v="White"/>
    <d v="2014-02-17T00:00:00"/>
    <m/>
    <x v="0"/>
    <s v="Active"/>
    <s v="Production       "/>
    <s v="David Stanley"/>
    <n v="14"/>
    <s v="LinkedIn"/>
    <s v="Needs Improvement"/>
    <n v="2.44"/>
    <n v="5"/>
    <n v="0"/>
    <s v="2/11/2019"/>
    <n v="4"/>
    <n v="18"/>
    <s v="Normal"/>
    <s v="low Outlier"/>
    <n v="42"/>
    <n v="12"/>
    <n v="12"/>
    <s v="10+ Years"/>
    <s v="36-45"/>
    <s v="Mid (40-70K)"/>
    <n v="1"/>
    <n v="2014"/>
    <n v="2"/>
    <s v="Q1"/>
    <s v="Feb"/>
    <s v="2014-02"/>
    <s v="N/A"/>
    <s v="Production       "/>
    <n v="0"/>
    <n v="0"/>
    <s v="High"/>
    <n v="2.44"/>
    <s v=""/>
    <m/>
  </r>
  <r>
    <s v="Tredinnick, Neville "/>
    <n v="10044"/>
    <n v="1"/>
    <n v="1"/>
    <n v="1"/>
    <n v="5"/>
    <n v="3"/>
    <n v="3"/>
    <n v="0"/>
    <n v="75281"/>
    <n v="1"/>
    <n v="15"/>
    <s v="Network Engineer"/>
    <s v="MA"/>
    <n v="1420"/>
    <d v="1988-05-05T00:00:00"/>
    <s v="M "/>
    <s v="Married"/>
    <s v="US Citizen"/>
    <s v="No"/>
    <s v="White"/>
    <d v="2015-01-05T00:00:00"/>
    <d v="2016-02-12T00:00:00"/>
    <x v="16"/>
    <s v="Voluntarily Terminated"/>
    <s v="IT/IS"/>
    <s v="Peter Monroe"/>
    <n v="7"/>
    <s v="CareerBuilder"/>
    <s v="Fully Meets"/>
    <n v="5"/>
    <n v="3"/>
    <n v="5"/>
    <s v="4/15/2015"/>
    <n v="0"/>
    <n v="11"/>
    <s v="Normal"/>
    <s v="low Outlier"/>
    <n v="37"/>
    <n v="11"/>
    <n v="1"/>
    <s v="10+ Years"/>
    <s v="36-45"/>
    <s v="Senior (70-100K)"/>
    <n v="0"/>
    <n v="2015"/>
    <n v="1"/>
    <s v="Q1"/>
    <s v="Jan"/>
    <s v="2015-01"/>
    <n v="2016"/>
    <s v="Production       "/>
    <n v="33.333333333333329"/>
    <n v="2"/>
    <s v="Medium"/>
    <s v=""/>
    <n v="5"/>
    <m/>
  </r>
  <r>
    <s v="True, Edward"/>
    <n v="10102"/>
    <n v="0"/>
    <n v="0"/>
    <n v="1"/>
    <n v="5"/>
    <n v="4"/>
    <n v="3"/>
    <n v="1"/>
    <n v="100416"/>
    <n v="1"/>
    <n v="24"/>
    <s v="Software Engineer"/>
    <s v="MA"/>
    <n v="2451"/>
    <d v="1983-06-14T00:00:00"/>
    <s v="M "/>
    <s v="Single"/>
    <s v="Non-Citizen"/>
    <s v="No"/>
    <s v="Black or African American"/>
    <d v="2013-02-18T00:00:00"/>
    <d v="2018-04-15T00:00:00"/>
    <x v="16"/>
    <s v="Voluntarily Terminated"/>
    <s v="Software Engineering"/>
    <s v="Alex Sweetwater"/>
    <n v="10"/>
    <s v="Diversity Job Fair"/>
    <s v="Fully Meets"/>
    <n v="4.5999999999999996"/>
    <n v="3"/>
    <n v="4"/>
    <s v="2/12/2017"/>
    <n v="0"/>
    <n v="9"/>
    <s v="Normal"/>
    <s v="low Outlier"/>
    <n v="42"/>
    <n v="13"/>
    <n v="5"/>
    <s v="10+ Years"/>
    <s v="36-45"/>
    <s v="Executive (100K+)"/>
    <n v="0"/>
    <n v="2013"/>
    <n v="2"/>
    <s v="Q1"/>
    <s v="Feb"/>
    <s v="2013-02"/>
    <n v="2018"/>
    <s v="Production       "/>
    <n v="100"/>
    <n v="1"/>
    <s v="Medium"/>
    <s v=""/>
    <n v="4.5999999999999996"/>
    <m/>
  </r>
  <r>
    <s v="Trzeciak, Cybil"/>
    <n v="10270"/>
    <n v="0"/>
    <n v="0"/>
    <n v="0"/>
    <n v="5"/>
    <n v="5"/>
    <n v="3"/>
    <n v="0"/>
    <n v="74813"/>
    <n v="1"/>
    <n v="20"/>
    <s v="Production Technician II"/>
    <s v="MA"/>
    <n v="1778"/>
    <d v="1985-03-15T00:00:00"/>
    <s v="F"/>
    <s v="Single"/>
    <s v="US Citizen"/>
    <s v="No"/>
    <s v="White"/>
    <d v="2011-01-10T00:00:00"/>
    <d v="2014-07-02T00:00:00"/>
    <x v="5"/>
    <s v="Voluntarily Terminated"/>
    <s v="Production       "/>
    <s v="Amy Dunn"/>
    <n v="11"/>
    <s v="LinkedIn"/>
    <s v="Fully Meets"/>
    <n v="4.4000000000000004"/>
    <n v="3"/>
    <n v="0"/>
    <s v="1/5/2014"/>
    <n v="0"/>
    <n v="5"/>
    <s v="Normal"/>
    <s v="low Outlier"/>
    <n v="41"/>
    <n v="15"/>
    <n v="3"/>
    <s v="10+ Years"/>
    <s v="36-45"/>
    <s v="Senior (70-100K)"/>
    <n v="0"/>
    <n v="2011"/>
    <n v="1"/>
    <s v="Q1"/>
    <s v="Jan"/>
    <s v="2011-01"/>
    <n v="2014"/>
    <s v="Production       "/>
    <n v="100"/>
    <n v="2"/>
    <s v="Medium"/>
    <s v=""/>
    <n v="4.4000000000000004"/>
    <m/>
  </r>
  <r>
    <s v="Turpin, Jumil"/>
    <n v="10045"/>
    <n v="1"/>
    <n v="1"/>
    <n v="1"/>
    <n v="1"/>
    <n v="3"/>
    <n v="3"/>
    <n v="0"/>
    <n v="76029"/>
    <n v="0"/>
    <n v="15"/>
    <s v="Network Engineer"/>
    <s v="MA"/>
    <n v="2343"/>
    <d v="1969-03-31T00:00:00"/>
    <s v="M "/>
    <s v="Married"/>
    <s v="Eligible NonCitizen"/>
    <s v="No"/>
    <s v="White"/>
    <d v="2015-03-30T00:00:00"/>
    <m/>
    <x v="0"/>
    <s v="Active"/>
    <s v="IT/IS"/>
    <s v="Peter Monroe"/>
    <n v="7"/>
    <s v="Employee Referral"/>
    <s v="Fully Meets"/>
    <n v="5"/>
    <n v="4"/>
    <n v="7"/>
    <s v="1/14/2019"/>
    <n v="0"/>
    <n v="8"/>
    <s v="Normal"/>
    <s v="low Outlier"/>
    <n v="56"/>
    <n v="10"/>
    <n v="10"/>
    <s v="10+ Years"/>
    <s v="55+"/>
    <s v="Senior (70-100K)"/>
    <n v="1"/>
    <n v="2015"/>
    <n v="3"/>
    <s v="Q1"/>
    <s v="Mar"/>
    <s v="2015-03"/>
    <s v="N/A"/>
    <s v="Production       "/>
    <n v="0"/>
    <n v="0"/>
    <s v="Medium"/>
    <n v="5"/>
    <s v=""/>
    <m/>
  </r>
  <r>
    <s v="Valentin,Jackie"/>
    <n v="10205"/>
    <n v="1"/>
    <n v="1"/>
    <n v="0"/>
    <n v="1"/>
    <n v="6"/>
    <n v="3"/>
    <n v="0"/>
    <n v="57859"/>
    <n v="0"/>
    <n v="3"/>
    <s v="Area Sales Manager"/>
    <s v="AZ"/>
    <n v="85006"/>
    <d v="1991-05-23T00:00:00"/>
    <s v="F"/>
    <s v="Married"/>
    <s v="US Citizen"/>
    <s v="No"/>
    <s v="Two or more races"/>
    <d v="2011-07-05T00:00:00"/>
    <m/>
    <x v="0"/>
    <s v="Active"/>
    <s v="Sales"/>
    <s v="John Smith"/>
    <n v="17"/>
    <s v="Indeed"/>
    <s v="Fully Meets"/>
    <n v="2.81"/>
    <n v="3"/>
    <n v="0"/>
    <s v="1/17/2019"/>
    <n v="0"/>
    <n v="16"/>
    <s v="Normal"/>
    <s v="low Outlier"/>
    <n v="34"/>
    <n v="14"/>
    <n v="14"/>
    <s v="10+ Years"/>
    <s v="26-35"/>
    <s v="Mid (40-70K)"/>
    <n v="1"/>
    <n v="2011"/>
    <n v="7"/>
    <s v="Q3"/>
    <s v="Jul"/>
    <s v="2011-07"/>
    <s v="N/A"/>
    <s v="Production       "/>
    <n v="0"/>
    <n v="0"/>
    <s v="Medium"/>
    <n v="2.81"/>
    <s v=""/>
    <m/>
  </r>
  <r>
    <s v="Veera, Abdellah "/>
    <n v="10014"/>
    <n v="0"/>
    <n v="2"/>
    <n v="1"/>
    <n v="5"/>
    <n v="5"/>
    <n v="4"/>
    <n v="0"/>
    <n v="58523"/>
    <n v="1"/>
    <n v="19"/>
    <s v="Production Technician I"/>
    <s v="MA"/>
    <n v="2171"/>
    <d v="1987-01-31T00:00:00"/>
    <s v="M "/>
    <s v="Divorced"/>
    <s v="US Citizen"/>
    <s v="No"/>
    <s v="White"/>
    <d v="2012-08-13T00:00:00"/>
    <d v="2016-02-05T00:00:00"/>
    <x v="15"/>
    <s v="Voluntarily Terminated"/>
    <s v="Production       "/>
    <s v="Kissy Sullivan"/>
    <n v="20"/>
    <s v="LinkedIn"/>
    <s v="Exceeds"/>
    <n v="4.5"/>
    <n v="5"/>
    <n v="0"/>
    <s v="2/1/2016"/>
    <n v="0"/>
    <n v="15"/>
    <s v="Normal"/>
    <s v="low Outlier"/>
    <n v="39"/>
    <n v="13"/>
    <n v="3"/>
    <s v="10+ Years"/>
    <s v="36-45"/>
    <s v="Mid (40-70K)"/>
    <n v="0"/>
    <n v="2012"/>
    <n v="8"/>
    <s v="Q3"/>
    <s v="Aug"/>
    <s v="2012-08"/>
    <n v="2016"/>
    <s v="Production       "/>
    <n v="50"/>
    <n v="1"/>
    <s v="Low"/>
    <s v=""/>
    <n v="4.5"/>
    <m/>
  </r>
  <r>
    <s v="Vega, Vincent"/>
    <n v="10144"/>
    <n v="0"/>
    <n v="2"/>
    <n v="1"/>
    <n v="1"/>
    <n v="5"/>
    <n v="3"/>
    <n v="0"/>
    <n v="88976"/>
    <n v="0"/>
    <n v="17"/>
    <s v="Production Manager"/>
    <s v="MA"/>
    <n v="2169"/>
    <d v="1968-10-10T00:00:00"/>
    <s v="M "/>
    <s v="Divorced"/>
    <s v="US Citizen"/>
    <s v="No"/>
    <s v="White"/>
    <d v="2011-08-01T00:00:00"/>
    <m/>
    <x v="0"/>
    <s v="Active"/>
    <s v="Production       "/>
    <s v="Janet King"/>
    <n v="2"/>
    <s v="Employee Referral"/>
    <s v="Fully Meets"/>
    <n v="3.93"/>
    <n v="3"/>
    <n v="0"/>
    <s v="2/27/2019"/>
    <n v="0"/>
    <n v="19"/>
    <s v="Normal"/>
    <s v="low Outlier"/>
    <n v="57"/>
    <n v="14"/>
    <n v="14"/>
    <s v="10+ Years"/>
    <s v="55+"/>
    <s v="Senior (70-100K)"/>
    <n v="1"/>
    <n v="2011"/>
    <n v="8"/>
    <s v="Q3"/>
    <s v="Aug"/>
    <s v="2011-08"/>
    <s v="N/A"/>
    <s v="Production       "/>
    <n v="33.333333333333329"/>
    <n v="0"/>
    <s v="Medium"/>
    <n v="3.93"/>
    <s v=""/>
    <m/>
  </r>
  <r>
    <s v="Villanueva, Noah"/>
    <n v="10253"/>
    <n v="0"/>
    <n v="0"/>
    <n v="1"/>
    <n v="1"/>
    <n v="6"/>
    <n v="3"/>
    <n v="0"/>
    <n v="55875"/>
    <n v="0"/>
    <n v="3"/>
    <s v="Area Sales Manager"/>
    <s v="ME"/>
    <n v="4063"/>
    <d v="1989-07-11T00:00:00"/>
    <s v="M "/>
    <s v="Single"/>
    <s v="US Citizen"/>
    <s v="No"/>
    <s v="Asian"/>
    <d v="2012-03-05T00:00:00"/>
    <m/>
    <x v="0"/>
    <s v="Active"/>
    <s v="Sales"/>
    <s v="John Smith"/>
    <n v="17"/>
    <s v="Website"/>
    <s v="Fully Meets"/>
    <n v="4.5"/>
    <n v="4"/>
    <n v="0"/>
    <s v="1/18/2019"/>
    <n v="0"/>
    <n v="11"/>
    <s v="Normal"/>
    <s v="low Outlier"/>
    <n v="36"/>
    <n v="14"/>
    <n v="14"/>
    <s v="10+ Years"/>
    <s v="36-45"/>
    <s v="Mid (40-70K)"/>
    <n v="1"/>
    <n v="2012"/>
    <n v="3"/>
    <s v="Q1"/>
    <s v="Mar"/>
    <s v="2012-03"/>
    <s v="N/A"/>
    <s v="Production       "/>
    <n v="0"/>
    <n v="0"/>
    <s v="Medium"/>
    <n v="4.5"/>
    <s v=""/>
    <m/>
  </r>
  <r>
    <s v="Voldemort, Lord"/>
    <n v="10118"/>
    <n v="1"/>
    <n v="1"/>
    <n v="1"/>
    <n v="4"/>
    <n v="3"/>
    <n v="3"/>
    <n v="0"/>
    <n v="113999"/>
    <n v="1"/>
    <n v="8"/>
    <s v="Database Administrator"/>
    <s v="MA"/>
    <n v="1960"/>
    <d v="1986-08-07T00:00:00"/>
    <s v="M "/>
    <s v="Married"/>
    <s v="US Citizen"/>
    <s v="No"/>
    <s v="Black or African American"/>
    <d v="2015-02-16T00:00:00"/>
    <d v="2017-02-22T00:00:00"/>
    <x v="13"/>
    <s v="Terminated for Cause"/>
    <s v="IT/IS"/>
    <s v="Simon Roup"/>
    <n v="4"/>
    <s v="Employee Referral"/>
    <s v="Fully Meets"/>
    <n v="4.33"/>
    <n v="3"/>
    <n v="7"/>
    <s v="2/15/2017"/>
    <n v="0"/>
    <n v="9"/>
    <s v="Normal"/>
    <s v="low Outlier"/>
    <n v="39"/>
    <n v="11"/>
    <n v="2"/>
    <s v="10+ Years"/>
    <s v="36-45"/>
    <s v="Executive (100K+)"/>
    <n v="0"/>
    <n v="2015"/>
    <n v="2"/>
    <s v="Q1"/>
    <s v="Feb"/>
    <s v="2015-02"/>
    <n v="2017"/>
    <s v="Production       "/>
    <n v="50"/>
    <n v="1"/>
    <s v="Medium"/>
    <s v=""/>
    <n v="4.33"/>
    <m/>
  </r>
  <r>
    <s v="Volk, Colleen"/>
    <n v="10022"/>
    <n v="1"/>
    <n v="1"/>
    <n v="0"/>
    <n v="4"/>
    <n v="5"/>
    <n v="4"/>
    <n v="0"/>
    <n v="49773"/>
    <n v="1"/>
    <n v="19"/>
    <s v="Production Technician I"/>
    <s v="MA"/>
    <n v="2747"/>
    <d v="1986-06-03T00:00:00"/>
    <s v="F"/>
    <s v="Married"/>
    <s v="US Citizen"/>
    <s v="No"/>
    <s v="White"/>
    <d v="2011-09-26T00:00:00"/>
    <d v="2016-02-08T00:00:00"/>
    <x v="17"/>
    <s v="Terminated for Cause"/>
    <s v="Production       "/>
    <s v="Kelley Spirea"/>
    <n v="18"/>
    <s v="Google Search"/>
    <s v="Exceeds"/>
    <n v="4.3"/>
    <n v="5"/>
    <n v="0"/>
    <s v="2/1/2015"/>
    <n v="0"/>
    <n v="18"/>
    <s v="Normal"/>
    <s v="low Outlier"/>
    <n v="39"/>
    <n v="14"/>
    <n v="4"/>
    <s v="10+ Years"/>
    <s v="36-45"/>
    <s v="Mid (40-70K)"/>
    <n v="0"/>
    <n v="2011"/>
    <n v="9"/>
    <s v="Q3"/>
    <s v="Sep"/>
    <s v="2011-09"/>
    <n v="2016"/>
    <s v="Production       "/>
    <n v="100"/>
    <n v="1"/>
    <s v="Low"/>
    <s v=""/>
    <n v="4.3"/>
    <m/>
  </r>
  <r>
    <s v="Von Massenbach, Anna"/>
    <n v="10183"/>
    <n v="0"/>
    <n v="0"/>
    <n v="0"/>
    <n v="2"/>
    <n v="5"/>
    <n v="3"/>
    <n v="0"/>
    <n v="62068"/>
    <n v="0"/>
    <n v="19"/>
    <s v="Production Technician I"/>
    <s v="MA"/>
    <n v="2124"/>
    <d v="1985-04-06T00:00:00"/>
    <s v="F"/>
    <s v="Single"/>
    <s v="US Citizen"/>
    <s v="No"/>
    <s v="White"/>
    <d v="2015-07-05T00:00:00"/>
    <m/>
    <x v="0"/>
    <s v="Active"/>
    <s v="Production       "/>
    <s v="Michael Albert"/>
    <n v="22"/>
    <s v="LinkedIn"/>
    <s v="Fully Meets"/>
    <n v="3.21"/>
    <n v="3"/>
    <n v="0"/>
    <s v="1/29/2019"/>
    <n v="0"/>
    <n v="7"/>
    <s v="Normal"/>
    <s v="low Outlier"/>
    <n v="40"/>
    <n v="10"/>
    <n v="10"/>
    <s v="10+ Years"/>
    <s v="36-45"/>
    <s v="Mid (40-70K)"/>
    <n v="1"/>
    <n v="2015"/>
    <n v="7"/>
    <s v="Q3"/>
    <s v="Jul"/>
    <s v="2015-07"/>
    <s v="N/A"/>
    <s v="Production       "/>
    <n v="0"/>
    <n v="0"/>
    <s v="Medium"/>
    <n v="3.21"/>
    <s v=""/>
    <m/>
  </r>
  <r>
    <s v="Walker, Roger"/>
    <n v="10190"/>
    <n v="0"/>
    <n v="0"/>
    <n v="1"/>
    <n v="1"/>
    <n v="5"/>
    <n v="3"/>
    <n v="0"/>
    <n v="66541"/>
    <n v="0"/>
    <n v="20"/>
    <s v="Production Technician II"/>
    <s v="MA"/>
    <n v="2459"/>
    <d v="1976-02-10T00:00:00"/>
    <s v="M "/>
    <s v="Single"/>
    <s v="US Citizen"/>
    <s v="No"/>
    <s v="Black or African American"/>
    <d v="2014-08-18T00:00:00"/>
    <m/>
    <x v="0"/>
    <s v="Active"/>
    <s v="Production       "/>
    <s v="Ketsia Liebig"/>
    <n v="19"/>
    <s v="Employee Referral"/>
    <s v="Fully Meets"/>
    <n v="3.11"/>
    <n v="5"/>
    <n v="0"/>
    <s v="2/12/2019"/>
    <n v="0"/>
    <n v="4"/>
    <s v="Normal"/>
    <s v="low Outlier"/>
    <n v="50"/>
    <n v="11"/>
    <n v="11"/>
    <s v="10+ Years"/>
    <s v="46-55"/>
    <s v="Mid (40-70K)"/>
    <n v="1"/>
    <n v="2014"/>
    <n v="8"/>
    <s v="Q3"/>
    <s v="Aug"/>
    <s v="2014-08"/>
    <s v="N/A"/>
    <s v="Production       "/>
    <n v="66.666666666666657"/>
    <n v="0"/>
    <s v="Medium"/>
    <n v="3.11"/>
    <s v=""/>
    <m/>
  </r>
  <r>
    <s v="Wallace, Courtney  E"/>
    <n v="10274"/>
    <n v="1"/>
    <n v="1"/>
    <n v="0"/>
    <n v="5"/>
    <n v="5"/>
    <n v="3"/>
    <n v="1"/>
    <n v="80512"/>
    <n v="1"/>
    <n v="18"/>
    <s v="Production Manager"/>
    <s v="MA"/>
    <n v="2478"/>
    <d v="1955-11-14T00:00:00"/>
    <s v="F"/>
    <s v="Married"/>
    <s v="US Citizen"/>
    <s v="No"/>
    <s v="Black or African American"/>
    <d v="2011-09-26T00:00:00"/>
    <d v="2012-01-02T00:00:00"/>
    <x v="4"/>
    <s v="Voluntarily Terminated"/>
    <s v="Production       "/>
    <s v="Janet King"/>
    <n v="2"/>
    <s v="Diversity Job Fair"/>
    <s v="Fully Meets"/>
    <n v="4.5"/>
    <n v="3"/>
    <n v="0"/>
    <s v="1/2/2012"/>
    <n v="0"/>
    <n v="5"/>
    <s v="Normal"/>
    <s v="low Outlier"/>
    <n v="70"/>
    <n v="14"/>
    <n v="0"/>
    <s v="10+ Years"/>
    <s v="55+"/>
    <s v="Senior (70-100K)"/>
    <n v="0"/>
    <n v="2011"/>
    <n v="9"/>
    <s v="Q3"/>
    <s v="Sep"/>
    <s v="2011-09"/>
    <n v="2012"/>
    <s v="Production       "/>
    <n v="50"/>
    <n v="3"/>
    <s v="Medium"/>
    <s v=""/>
    <n v="4.5"/>
    <m/>
  </r>
  <r>
    <s v="Wallace, Theresa"/>
    <n v="10293"/>
    <n v="0"/>
    <n v="0"/>
    <n v="0"/>
    <n v="5"/>
    <n v="5"/>
    <n v="2"/>
    <n v="0"/>
    <n v="50274"/>
    <n v="1"/>
    <n v="19"/>
    <s v="Production Technician I"/>
    <s v="MA"/>
    <n v="1887"/>
    <d v="1980-08-02T00:00:00"/>
    <s v="F"/>
    <s v="Single"/>
    <s v="US Citizen"/>
    <s v="No"/>
    <s v="White"/>
    <d v="2012-08-13T00:00:00"/>
    <d v="2015-09-01T00:00:00"/>
    <x v="1"/>
    <s v="Voluntarily Terminated"/>
    <s v="Production       "/>
    <s v="Elijiah Gray"/>
    <n v="16"/>
    <s v="CareerBuilder"/>
    <s v="Needs Improvement"/>
    <n v="2.5"/>
    <n v="3"/>
    <n v="0"/>
    <s v="9/5/2014"/>
    <n v="6"/>
    <n v="13"/>
    <s v="Normal"/>
    <s v="low Outlier"/>
    <n v="45"/>
    <n v="13"/>
    <n v="3"/>
    <s v="10+ Years"/>
    <s v="36-45"/>
    <s v="Mid (40-70K)"/>
    <n v="0"/>
    <n v="2012"/>
    <n v="8"/>
    <s v="Q3"/>
    <s v="Aug"/>
    <s v="2012-08"/>
    <n v="2015"/>
    <s v="Production       "/>
    <n v="100"/>
    <n v="1"/>
    <s v="High"/>
    <s v=""/>
    <n v="2.5"/>
    <m/>
  </r>
  <r>
    <s v="Wang, Charlie"/>
    <n v="10172"/>
    <n v="0"/>
    <n v="0"/>
    <n v="1"/>
    <n v="1"/>
    <n v="3"/>
    <n v="3"/>
    <n v="0"/>
    <n v="84903"/>
    <n v="0"/>
    <n v="22"/>
    <s v="Senior BI Developer"/>
    <s v="MA"/>
    <n v="1887"/>
    <d v="1981-07-08T00:00:00"/>
    <s v="M "/>
    <s v="Single"/>
    <s v="US Citizen"/>
    <s v="No"/>
    <s v="Asian"/>
    <d v="2017-02-15T00:00:00"/>
    <m/>
    <x v="0"/>
    <s v="Active"/>
    <s v="IT/IS"/>
    <s v="Brian Champaigne"/>
    <n v="13"/>
    <s v="Indeed"/>
    <s v="Fully Meets"/>
    <n v="3.42"/>
    <n v="4"/>
    <n v="7"/>
    <s v="1/4/2019"/>
    <n v="0"/>
    <n v="17"/>
    <s v="Normal"/>
    <s v="low Outlier"/>
    <n v="44"/>
    <n v="9"/>
    <n v="9"/>
    <s v="5-10 Years"/>
    <s v="36-45"/>
    <s v="Senior (70-100K)"/>
    <n v="1"/>
    <n v="2017"/>
    <n v="2"/>
    <s v="Q1"/>
    <s v="Feb"/>
    <s v="2017-02"/>
    <s v="N/A"/>
    <s v="Production       "/>
    <n v="0"/>
    <n v="0"/>
    <s v="Medium"/>
    <n v="3.42"/>
    <s v=""/>
    <m/>
  </r>
  <r>
    <s v="Warfield, Sarah"/>
    <n v="10127"/>
    <n v="0"/>
    <n v="4"/>
    <n v="0"/>
    <n v="1"/>
    <n v="3"/>
    <n v="3"/>
    <n v="0"/>
    <n v="107226"/>
    <n v="0"/>
    <n v="28"/>
    <s v="Sr. Network Engineer"/>
    <s v="MA"/>
    <n v="2453"/>
    <d v="1978-05-02T00:00:00"/>
    <s v="F"/>
    <s v="Widowed"/>
    <s v="US Citizen"/>
    <s v="No"/>
    <s v="Asian"/>
    <d v="2015-03-30T00:00:00"/>
    <m/>
    <x v="0"/>
    <s v="Active"/>
    <s v="IT/IS"/>
    <s v="Peter Monroe"/>
    <n v="7"/>
    <s v="Employee Referral"/>
    <s v="Fully Meets"/>
    <n v="4.2"/>
    <n v="4"/>
    <n v="8"/>
    <s v="2/5/2019"/>
    <n v="0"/>
    <n v="7"/>
    <s v="Normal"/>
    <s v="low Outlier"/>
    <n v="47"/>
    <n v="10"/>
    <n v="10"/>
    <s v="10+ Years"/>
    <s v="46-55"/>
    <s v="Executive (100K+)"/>
    <n v="1"/>
    <n v="2015"/>
    <n v="3"/>
    <s v="Q1"/>
    <s v="Mar"/>
    <s v="2015-03"/>
    <s v="N/A"/>
    <s v="Production       "/>
    <n v="0"/>
    <n v="0"/>
    <s v="Medium"/>
    <n v="4.2"/>
    <s v=""/>
    <m/>
  </r>
  <r>
    <s v="Whittier, Scott"/>
    <n v="10072"/>
    <n v="0"/>
    <n v="0"/>
    <n v="1"/>
    <n v="5"/>
    <n v="5"/>
    <n v="3"/>
    <n v="0"/>
    <n v="58371"/>
    <n v="1"/>
    <n v="19"/>
    <s v="Production Technician I"/>
    <s v="MA"/>
    <n v="2030"/>
    <d v="1987-05-24T00:00:00"/>
    <s v="M "/>
    <s v="Single"/>
    <s v="US Citizen"/>
    <s v="Yes"/>
    <s v="White"/>
    <d v="2011-01-10T00:00:00"/>
    <d v="2014-05-15T00:00:00"/>
    <x v="2"/>
    <s v="Voluntarily Terminated"/>
    <s v="Production       "/>
    <s v="Webster Butler"/>
    <n v="39"/>
    <s v="LinkedIn"/>
    <s v="Fully Meets"/>
    <n v="5"/>
    <n v="5"/>
    <n v="0"/>
    <s v="5/15/2014"/>
    <n v="0"/>
    <n v="11"/>
    <s v="Normal"/>
    <s v="low Outlier"/>
    <n v="38"/>
    <n v="15"/>
    <n v="3"/>
    <s v="10+ Years"/>
    <s v="36-45"/>
    <s v="Mid (40-70K)"/>
    <n v="0"/>
    <n v="2011"/>
    <n v="1"/>
    <s v="Q1"/>
    <s v="Jan"/>
    <s v="2011-01"/>
    <n v="2014"/>
    <s v="Production       "/>
    <n v="100"/>
    <n v="1"/>
    <s v="Medium"/>
    <s v=""/>
    <n v="5"/>
    <m/>
  </r>
  <r>
    <s v="Wilber, Barry"/>
    <n v="10048"/>
    <n v="1"/>
    <n v="1"/>
    <n v="1"/>
    <n v="5"/>
    <n v="5"/>
    <n v="3"/>
    <n v="0"/>
    <n v="55140"/>
    <n v="1"/>
    <n v="19"/>
    <s v="Production Technician I"/>
    <s v="MA"/>
    <n v="2324"/>
    <d v="1965-09-09T00:00:00"/>
    <s v="M "/>
    <s v="Married"/>
    <s v="Eligible NonCitizen"/>
    <s v="No"/>
    <s v="White"/>
    <d v="2011-05-16T00:00:00"/>
    <d v="2015-09-07T00:00:00"/>
    <x v="5"/>
    <s v="Voluntarily Terminated"/>
    <s v="Production       "/>
    <s v="Amy Dunn"/>
    <n v="11"/>
    <s v="Website"/>
    <s v="Fully Meets"/>
    <n v="5"/>
    <n v="3"/>
    <n v="0"/>
    <s v="2/15/2015"/>
    <n v="0"/>
    <n v="7"/>
    <s v="Normal"/>
    <s v="low Outlier"/>
    <n v="60"/>
    <n v="14"/>
    <n v="4"/>
    <s v="10+ Years"/>
    <s v="55+"/>
    <s v="Mid (40-70K)"/>
    <n v="0"/>
    <n v="2011"/>
    <n v="5"/>
    <s v="Q2"/>
    <s v="May"/>
    <s v="2011-05"/>
    <n v="2015"/>
    <s v="Production       "/>
    <n v="100"/>
    <n v="1"/>
    <s v="Medium"/>
    <s v=""/>
    <n v="5"/>
    <m/>
  </r>
  <r>
    <s v="Wilkes, Annie"/>
    <n v="10204"/>
    <n v="0"/>
    <n v="2"/>
    <n v="0"/>
    <n v="5"/>
    <n v="5"/>
    <n v="3"/>
    <n v="0"/>
    <n v="58062"/>
    <n v="1"/>
    <n v="19"/>
    <s v="Production Technician I"/>
    <s v="MA"/>
    <n v="1876"/>
    <d v="1983-07-30T00:00:00"/>
    <s v="F"/>
    <s v="Divorced"/>
    <s v="US Citizen"/>
    <s v="No"/>
    <s v="White"/>
    <d v="2011-01-10T00:00:00"/>
    <d v="2012-05-14T00:00:00"/>
    <x v="4"/>
    <s v="Voluntarily Terminated"/>
    <s v="Production       "/>
    <s v="Ketsia Liebig"/>
    <n v="19"/>
    <s v="Google Search"/>
    <s v="Fully Meets"/>
    <n v="3.6"/>
    <n v="5"/>
    <n v="0"/>
    <s v="2/6/2011"/>
    <n v="0"/>
    <n v="9"/>
    <s v="Normal"/>
    <s v="low Outlier"/>
    <n v="42"/>
    <n v="15"/>
    <n v="1"/>
    <s v="10+ Years"/>
    <s v="36-45"/>
    <s v="Mid (40-70K)"/>
    <n v="0"/>
    <n v="2011"/>
    <n v="1"/>
    <s v="Q1"/>
    <s v="Jan"/>
    <s v="2011-01"/>
    <n v="2012"/>
    <s v="Production       "/>
    <n v="100"/>
    <n v="2"/>
    <s v="Medium"/>
    <s v=""/>
    <n v="3.6"/>
    <m/>
  </r>
  <r>
    <s v="Williams, Jacquelyn  "/>
    <n v="10264"/>
    <n v="0"/>
    <n v="0"/>
    <n v="0"/>
    <n v="5"/>
    <n v="5"/>
    <n v="3"/>
    <n v="1"/>
    <n v="59728"/>
    <n v="1"/>
    <n v="19"/>
    <s v="Production Technician I"/>
    <s v="MA"/>
    <n v="2109"/>
    <d v="1969-10-02T00:00:00"/>
    <s v="F"/>
    <s v="Single"/>
    <s v="US Citizen"/>
    <s v="Yes"/>
    <s v="Black or African American"/>
    <d v="2012-01-09T00:00:00"/>
    <d v="2015-06-27T00:00:00"/>
    <x v="10"/>
    <s v="Voluntarily Terminated"/>
    <s v="Production       "/>
    <s v="Ketsia Liebig"/>
    <n v="19"/>
    <s v="Diversity Job Fair"/>
    <s v="Fully Meets"/>
    <n v="4.3"/>
    <n v="4"/>
    <n v="0"/>
    <s v="6/2/2014"/>
    <n v="0"/>
    <n v="16"/>
    <s v="Normal"/>
    <s v="low Outlier"/>
    <n v="56"/>
    <n v="14"/>
    <n v="3"/>
    <s v="10+ Years"/>
    <s v="55+"/>
    <s v="Mid (40-70K)"/>
    <n v="0"/>
    <n v="2012"/>
    <n v="1"/>
    <s v="Q1"/>
    <s v="Jan"/>
    <s v="2012-01"/>
    <n v="2015"/>
    <s v="Production       "/>
    <n v="100"/>
    <n v="1"/>
    <s v="Medium"/>
    <s v=""/>
    <n v="4.3"/>
    <m/>
  </r>
  <r>
    <s v="Winthrop, Jordan  "/>
    <n v="10033"/>
    <n v="0"/>
    <n v="0"/>
    <n v="1"/>
    <n v="5"/>
    <n v="5"/>
    <n v="4"/>
    <n v="0"/>
    <n v="70507"/>
    <n v="1"/>
    <n v="20"/>
    <s v="Production Technician II"/>
    <s v="MA"/>
    <n v="2045"/>
    <d v="1958-11-07T00:00:00"/>
    <s v="M "/>
    <s v="Single"/>
    <s v="US Citizen"/>
    <s v="No"/>
    <s v="White"/>
    <d v="2013-01-07T00:00:00"/>
    <d v="2016-02-21T00:00:00"/>
    <x v="9"/>
    <s v="Voluntarily Terminated"/>
    <s v="Production       "/>
    <s v="Brannon Miller"/>
    <n v="12"/>
    <s v="LinkedIn"/>
    <s v="Exceeds"/>
    <n v="5"/>
    <n v="3"/>
    <n v="0"/>
    <s v="1/19/2016"/>
    <n v="0"/>
    <n v="7"/>
    <s v="Normal"/>
    <s v="low Outlier"/>
    <n v="67"/>
    <n v="13"/>
    <n v="3"/>
    <s v="10+ Years"/>
    <s v="55+"/>
    <s v="Senior (70-100K)"/>
    <n v="0"/>
    <n v="2013"/>
    <n v="1"/>
    <s v="Q1"/>
    <s v="Jan"/>
    <s v="2013-01"/>
    <n v="2016"/>
    <s v="Production       "/>
    <n v="100"/>
    <n v="1"/>
    <s v="Low"/>
    <s v=""/>
    <n v="5"/>
    <m/>
  </r>
  <r>
    <s v="Wolk, Hang  T"/>
    <n v="10174"/>
    <n v="0"/>
    <n v="0"/>
    <n v="0"/>
    <n v="1"/>
    <n v="5"/>
    <n v="3"/>
    <n v="0"/>
    <n v="60446"/>
    <n v="0"/>
    <n v="20"/>
    <s v="Production Technician II"/>
    <s v="MA"/>
    <n v="2302"/>
    <d v="1985-04-20T00:00:00"/>
    <s v="F"/>
    <s v="Single"/>
    <s v="US Citizen"/>
    <s v="No"/>
    <s v="White"/>
    <d v="2014-09-29T00:00:00"/>
    <m/>
    <x v="0"/>
    <s v="Active"/>
    <s v="Production       "/>
    <s v="David Stanley"/>
    <n v="14"/>
    <s v="LinkedIn"/>
    <s v="Fully Meets"/>
    <n v="3.4"/>
    <n v="4"/>
    <n v="0"/>
    <s v="2/21/2019"/>
    <n v="0"/>
    <n v="14"/>
    <s v="Normal"/>
    <s v="low Outlier"/>
    <n v="40"/>
    <n v="11"/>
    <n v="11"/>
    <s v="10+ Years"/>
    <s v="36-45"/>
    <s v="Mid (40-70K)"/>
    <n v="1"/>
    <n v="2014"/>
    <n v="9"/>
    <s v="Q3"/>
    <s v="Sep"/>
    <s v="2014-09"/>
    <s v="N/A"/>
    <s v="Production       "/>
    <n v="0"/>
    <n v="0"/>
    <s v="Medium"/>
    <n v="3.4"/>
    <s v=""/>
    <m/>
  </r>
  <r>
    <s v="Woodson, Jason"/>
    <n v="10135"/>
    <n v="0"/>
    <n v="0"/>
    <n v="1"/>
    <n v="1"/>
    <n v="5"/>
    <n v="3"/>
    <n v="0"/>
    <n v="65893"/>
    <n v="0"/>
    <n v="20"/>
    <s v="Production Technician II"/>
    <s v="MA"/>
    <n v="1810"/>
    <d v="1985-05-11T00:00:00"/>
    <s v="M "/>
    <s v="Single"/>
    <s v="US Citizen"/>
    <s v="No"/>
    <s v="White"/>
    <d v="2014-07-07T00:00:00"/>
    <m/>
    <x v="0"/>
    <s v="Active"/>
    <s v="Production       "/>
    <s v="Kissy Sullivan"/>
    <n v="20"/>
    <s v="LinkedIn"/>
    <s v="Fully Meets"/>
    <n v="4.07"/>
    <n v="4"/>
    <n v="0"/>
    <s v="2/28/2019"/>
    <n v="0"/>
    <n v="13"/>
    <s v="Normal"/>
    <s v="low Outlier"/>
    <n v="40"/>
    <n v="11"/>
    <n v="11"/>
    <s v="10+ Years"/>
    <s v="36-45"/>
    <s v="Mid (40-70K)"/>
    <n v="1"/>
    <n v="2014"/>
    <n v="7"/>
    <s v="Q3"/>
    <s v="Jul"/>
    <s v="2014-07"/>
    <s v="N/A"/>
    <s v="Production       "/>
    <n v="0"/>
    <n v="0"/>
    <s v="Medium"/>
    <n v="4.07"/>
    <s v=""/>
    <m/>
  </r>
  <r>
    <s v="Ybarra, Catherine "/>
    <n v="10301"/>
    <n v="0"/>
    <n v="0"/>
    <n v="0"/>
    <n v="5"/>
    <n v="5"/>
    <n v="1"/>
    <n v="0"/>
    <n v="48513"/>
    <n v="1"/>
    <n v="19"/>
    <s v="Production Technician I"/>
    <s v="MA"/>
    <n v="2458"/>
    <d v="1982-05-04T00:00:00"/>
    <s v="F"/>
    <s v="Single"/>
    <s v="US Citizen"/>
    <s v="No"/>
    <s v="Asian"/>
    <d v="2008-09-02T00:00:00"/>
    <d v="2015-09-29T00:00:00"/>
    <x v="4"/>
    <s v="Voluntarily Terminated"/>
    <s v="Production       "/>
    <s v="Brannon Miller"/>
    <n v="12"/>
    <s v="Google Search"/>
    <s v="PIP"/>
    <n v="3.2"/>
    <n v="2"/>
    <n v="0"/>
    <s v="9/2/2015"/>
    <n v="5"/>
    <n v="4"/>
    <s v="Normal"/>
    <s v="low Outlier"/>
    <n v="43"/>
    <n v="17"/>
    <n v="7"/>
    <s v="10+ Years"/>
    <s v="36-45"/>
    <s v="Mid (40-70K)"/>
    <n v="0"/>
    <n v="2008"/>
    <n v="9"/>
    <s v="Q3"/>
    <s v="Sep"/>
    <s v="2008-09"/>
    <n v="2015"/>
    <s v="Production       "/>
    <n v="100"/>
    <n v="1"/>
    <s v="High"/>
    <s v=""/>
    <n v="3.2"/>
    <m/>
  </r>
  <r>
    <s v="Zamora, Jennifer"/>
    <n v="10010"/>
    <n v="0"/>
    <n v="0"/>
    <n v="0"/>
    <n v="1"/>
    <n v="3"/>
    <n v="4"/>
    <n v="0"/>
    <n v="220450"/>
    <n v="0"/>
    <n v="6"/>
    <s v="CIO"/>
    <s v="MA"/>
    <n v="2067"/>
    <d v="1979-08-30T00:00:00"/>
    <s v="F"/>
    <s v="Single"/>
    <s v="US Citizen"/>
    <s v="No"/>
    <s v="White"/>
    <d v="2010-04-10T00:00:00"/>
    <m/>
    <x v="0"/>
    <s v="Active"/>
    <s v="IT/IS"/>
    <s v="Janet King"/>
    <n v="2"/>
    <s v="Employee Referral"/>
    <s v="Exceeds"/>
    <n v="4.5999999999999996"/>
    <n v="5"/>
    <n v="6"/>
    <s v="2/21/2019"/>
    <n v="0"/>
    <n v="16"/>
    <s v=" high Outlier"/>
    <s v="low Outlier"/>
    <n v="46"/>
    <n v="15"/>
    <n v="15"/>
    <s v="10+ Years"/>
    <s v="46-55"/>
    <s v="Executive (100K+)"/>
    <n v="1"/>
    <n v="2010"/>
    <n v="4"/>
    <s v="Q2"/>
    <s v="Apr"/>
    <s v="2010-04"/>
    <s v="N/A"/>
    <s v="IT/IS"/>
    <n v="0"/>
    <n v="0"/>
    <s v="Low"/>
    <n v="4.5999999999999996"/>
    <s v=""/>
    <m/>
  </r>
  <r>
    <s v="Zhou, Julia"/>
    <n v="10043"/>
    <n v="0"/>
    <n v="0"/>
    <n v="0"/>
    <n v="1"/>
    <n v="3"/>
    <n v="3"/>
    <n v="0"/>
    <n v="89292"/>
    <n v="0"/>
    <n v="9"/>
    <s v="Data Analyst"/>
    <s v="MA"/>
    <n v="2148"/>
    <d v="1979-02-24T00:00:00"/>
    <s v="F"/>
    <s v="Single"/>
    <s v="US Citizen"/>
    <s v="No"/>
    <s v="White"/>
    <d v="2015-03-30T00:00:00"/>
    <m/>
    <x v="0"/>
    <s v="Active"/>
    <s v="IT/IS"/>
    <s v="Simon Roup"/>
    <n v="4"/>
    <s v="Employee Referral"/>
    <s v="Fully Meets"/>
    <n v="5"/>
    <n v="3"/>
    <n v="5"/>
    <s v="2/1/2019"/>
    <n v="0"/>
    <n v="11"/>
    <s v="Normal"/>
    <s v="low Outlier"/>
    <n v="47"/>
    <n v="10"/>
    <n v="10"/>
    <s v="10+ Years"/>
    <s v="46-55"/>
    <s v="Senior (70-100K)"/>
    <n v="1"/>
    <n v="2015"/>
    <n v="3"/>
    <s v="Q1"/>
    <s v="Mar"/>
    <s v="2015-03"/>
    <s v="N/A"/>
    <s v="IT/IS"/>
    <n v="0"/>
    <n v="0"/>
    <s v="Medium"/>
    <n v="5"/>
    <s v=""/>
    <m/>
  </r>
  <r>
    <s v="Zima, Colleen"/>
    <n v="10271"/>
    <n v="0"/>
    <n v="4"/>
    <n v="0"/>
    <n v="1"/>
    <n v="5"/>
    <n v="3"/>
    <n v="0"/>
    <n v="45046"/>
    <n v="0"/>
    <n v="19"/>
    <s v="Production Technician I"/>
    <s v="MA"/>
    <n v="1730"/>
    <d v="1978-08-17T00:00:00"/>
    <s v="F"/>
    <s v="Widowed"/>
    <s v="US Citizen"/>
    <s v="No"/>
    <s v="Asian"/>
    <d v="2014-09-29T00:00:00"/>
    <m/>
    <x v="0"/>
    <s v="Active"/>
    <s v="Production       "/>
    <s v="David Stanley"/>
    <n v="14"/>
    <s v="LinkedIn"/>
    <s v="Fully Meets"/>
    <n v="4.5"/>
    <n v="5"/>
    <n v="0"/>
    <s v="1/30/2019"/>
    <n v="0"/>
    <n v="2"/>
    <s v="Normal"/>
    <s v="low Outlier"/>
    <n v="47"/>
    <n v="11"/>
    <n v="11"/>
    <s v="10+ Years"/>
    <s v="46-55"/>
    <s v="Mid (40-70K)"/>
    <n v="1"/>
    <n v="2014"/>
    <n v="9"/>
    <s v="Q3"/>
    <s v="Sep"/>
    <s v="2014-09"/>
    <s v="N/A"/>
    <s v="Production       "/>
    <n v="0"/>
    <n v="0"/>
    <s v="Medium"/>
    <n v="4.5"/>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s v="Adinolfi, Wilson  K"/>
    <n v="10026"/>
    <n v="0"/>
    <n v="0"/>
    <n v="1"/>
    <n v="1"/>
    <n v="5"/>
    <x v="0"/>
    <n v="0"/>
    <x v="0"/>
    <n v="0"/>
    <n v="19"/>
    <s v="Production Technician I"/>
    <s v="MA"/>
    <n v="1960"/>
    <d v="1983-07-10T00:00:00"/>
    <s v="M "/>
    <s v="Single"/>
    <s v="US Citizen"/>
    <s v="No"/>
    <s v="White"/>
    <d v="2011-07-05T00:00:00"/>
    <m/>
    <s v="N/A-StillEmployed"/>
    <s v="Active"/>
    <x v="0"/>
    <s v="Michael Albert"/>
    <n v="22"/>
    <s v="LinkedIn"/>
    <x v="0"/>
    <x v="0"/>
    <n v="5"/>
    <n v="0"/>
    <s v="1/17/2019"/>
    <n v="0"/>
    <n v="1"/>
    <s v="Normal"/>
    <s v="low Outlier"/>
    <n v="42"/>
    <n v="14"/>
    <n v="14"/>
    <s v="10+ Years"/>
    <s v="36-45"/>
    <s v="Mid (40-70K)"/>
    <n v="1"/>
    <x v="0"/>
    <n v="5"/>
    <s v="Q3"/>
    <s v="Jul"/>
    <s v="2011-07"/>
    <s v="N/A"/>
    <s v="Production       "/>
    <n v="40.909090909090914"/>
    <n v="0"/>
    <s v="Low"/>
  </r>
  <r>
    <s v="Ait Sidi, Karthikeyan   "/>
    <n v="10084"/>
    <n v="1"/>
    <n v="1"/>
    <n v="1"/>
    <n v="5"/>
    <n v="3"/>
    <x v="1"/>
    <n v="0"/>
    <x v="1"/>
    <n v="1"/>
    <n v="27"/>
    <s v="Sr. DBA"/>
    <s v="MA"/>
    <n v="2148"/>
    <d v="1975-05-05T00:00:00"/>
    <s v="M "/>
    <s v="Married"/>
    <s v="US Citizen"/>
    <s v="No"/>
    <s v="White"/>
    <d v="2015-03-30T00:00:00"/>
    <d v="2016-06-16T00:00:00"/>
    <s v="career change"/>
    <s v="Voluntarily Terminated"/>
    <x v="1"/>
    <s v="Simon Roup"/>
    <n v="4"/>
    <s v="Indeed"/>
    <x v="1"/>
    <x v="1"/>
    <n v="3"/>
    <n v="6"/>
    <s v="2/24/2016"/>
    <n v="0"/>
    <n v="17"/>
    <s v="Normal"/>
    <s v="low Outlier"/>
    <n v="50"/>
    <n v="11"/>
    <n v="1"/>
    <s v="10+ Years"/>
    <s v="46-55"/>
    <s v="Executive (100K+)"/>
    <n v="0"/>
    <x v="1"/>
    <n v="3"/>
    <s v="Q1"/>
    <s v="Mar"/>
    <s v="2015-03"/>
    <n v="2016"/>
    <s v="Production       "/>
    <n v="47.058823529411761"/>
    <n v="9"/>
    <s v="Medium"/>
  </r>
  <r>
    <s v="Akinkuolie, Sarah"/>
    <n v="10196"/>
    <n v="1"/>
    <n v="1"/>
    <n v="0"/>
    <n v="5"/>
    <n v="5"/>
    <x v="1"/>
    <n v="0"/>
    <x v="2"/>
    <n v="1"/>
    <n v="20"/>
    <s v="Production Technician II"/>
    <s v="MA"/>
    <n v="1810"/>
    <d v="1988-09-22T00:00:00"/>
    <s v="F"/>
    <s v="Married"/>
    <s v="US Citizen"/>
    <s v="No"/>
    <s v="White"/>
    <d v="2011-07-05T00:00:00"/>
    <d v="2012-09-24T00:00:00"/>
    <s v="hours"/>
    <s v="Voluntarily Terminated"/>
    <x v="0"/>
    <s v="Kissy Sullivan"/>
    <n v="20"/>
    <s v="LinkedIn"/>
    <x v="1"/>
    <x v="2"/>
    <n v="3"/>
    <n v="0"/>
    <s v="5/15/2012"/>
    <n v="0"/>
    <n v="3"/>
    <s v="Normal"/>
    <s v="low Outlier"/>
    <n v="37"/>
    <n v="14"/>
    <n v="1"/>
    <s v="10+ Years"/>
    <s v="36-45"/>
    <s v="Mid (40-70K)"/>
    <n v="0"/>
    <x v="0"/>
    <n v="7"/>
    <s v="Q3"/>
    <s v="Jul"/>
    <s v="2011-07"/>
    <n v="2012"/>
    <s v="Production       "/>
    <n v="54.54545454545454"/>
    <n v="8"/>
    <s v="Medium"/>
  </r>
  <r>
    <s v="Alagbe,Trina"/>
    <n v="10088"/>
    <n v="1"/>
    <n v="1"/>
    <n v="0"/>
    <n v="1"/>
    <n v="5"/>
    <x v="1"/>
    <n v="0"/>
    <x v="3"/>
    <n v="0"/>
    <n v="19"/>
    <s v="Production Technician I"/>
    <s v="MA"/>
    <n v="1886"/>
    <d v="1988-09-07T00:00:00"/>
    <s v="F"/>
    <s v="Married"/>
    <s v="US Citizen"/>
    <s v="No"/>
    <s v="White"/>
    <d v="2008-01-07T00:00:00"/>
    <m/>
    <s v="N/A-StillEmployed"/>
    <s v="Active"/>
    <x v="0"/>
    <s v="Elijiah Gray"/>
    <n v="16"/>
    <s v="Indeed"/>
    <x v="1"/>
    <x v="3"/>
    <n v="5"/>
    <n v="0"/>
    <s v="1/3/2019"/>
    <n v="0"/>
    <n v="15"/>
    <s v="Normal"/>
    <s v="low Outlier"/>
    <n v="37"/>
    <n v="18"/>
    <n v="18"/>
    <s v="10+ Years"/>
    <s v="36-45"/>
    <s v="Mid (40-70K)"/>
    <n v="1"/>
    <x v="2"/>
    <n v="1"/>
    <s v="Q1"/>
    <s v="Jan"/>
    <s v="2008-01"/>
    <s v="N/A"/>
    <s v="Production       "/>
    <n v="36.363636363636367"/>
    <n v="0"/>
    <s v="Medium"/>
  </r>
  <r>
    <s v="Anderson, Carol "/>
    <n v="10069"/>
    <n v="0"/>
    <n v="2"/>
    <n v="0"/>
    <n v="5"/>
    <n v="5"/>
    <x v="1"/>
    <n v="0"/>
    <x v="4"/>
    <n v="1"/>
    <n v="19"/>
    <s v="Production Technician I"/>
    <s v="MA"/>
    <n v="2169"/>
    <d v="1989-09-08T00:00:00"/>
    <s v="F"/>
    <s v="Divorced"/>
    <s v="US Citizen"/>
    <s v="No"/>
    <s v="White"/>
    <d v="2011-07-11T00:00:00"/>
    <d v="2016-09-06T00:00:00"/>
    <s v="return to school"/>
    <s v="Voluntarily Terminated"/>
    <x v="0"/>
    <s v="Webster Butler"/>
    <n v="39"/>
    <s v="Google Search"/>
    <x v="1"/>
    <x v="4"/>
    <n v="4"/>
    <n v="0"/>
    <s v="2/1/2016"/>
    <n v="0"/>
    <n v="2"/>
    <s v="Normal"/>
    <s v="low Outlier"/>
    <n v="36"/>
    <n v="14"/>
    <n v="5"/>
    <s v="10+ Years"/>
    <s v="36-45"/>
    <s v="Mid (40-70K)"/>
    <n v="0"/>
    <x v="0"/>
    <n v="7"/>
    <s v="Q3"/>
    <s v="Jul"/>
    <s v="2011-07"/>
    <n v="2016"/>
    <s v="Production       "/>
    <n v="61.904761904761905"/>
    <n v="5"/>
    <s v="Medium"/>
  </r>
  <r>
    <s v="Anderson, Linda  "/>
    <n v="10002"/>
    <n v="0"/>
    <n v="0"/>
    <n v="0"/>
    <n v="1"/>
    <n v="5"/>
    <x v="0"/>
    <n v="0"/>
    <x v="5"/>
    <n v="0"/>
    <n v="19"/>
    <s v="Production Technician I"/>
    <s v="MA"/>
    <n v="1844"/>
    <d v="1977-05-22T00:00:00"/>
    <s v="F"/>
    <s v="Single"/>
    <s v="US Citizen"/>
    <s v="No"/>
    <s v="White"/>
    <d v="2012-01-09T00:00:00"/>
    <m/>
    <s v="N/A-StillEmployed"/>
    <s v="Active"/>
    <x v="0"/>
    <s v="Amy Dunn"/>
    <n v="11"/>
    <s v="LinkedIn"/>
    <x v="0"/>
    <x v="4"/>
    <n v="5"/>
    <n v="0"/>
    <s v="1/7/2019"/>
    <n v="0"/>
    <n v="15"/>
    <s v="Normal"/>
    <s v="low Outlier"/>
    <n v="48"/>
    <n v="14"/>
    <n v="14"/>
    <s v="10+ Years"/>
    <s v="46-55"/>
    <s v="Mid (40-70K)"/>
    <n v="1"/>
    <x v="3"/>
    <n v="1"/>
    <s v="Q1"/>
    <s v="Jan"/>
    <s v="2012-01"/>
    <s v="N/A"/>
    <s v="Production       "/>
    <n v="61.904761904761905"/>
    <n v="0"/>
    <s v="Low"/>
  </r>
  <r>
    <s v="Andreola, Colby"/>
    <n v="10194"/>
    <n v="0"/>
    <n v="0"/>
    <n v="0"/>
    <n v="1"/>
    <n v="4"/>
    <x v="1"/>
    <n v="0"/>
    <x v="6"/>
    <n v="0"/>
    <n v="24"/>
    <s v="Software Engineer"/>
    <s v="MA"/>
    <n v="2110"/>
    <d v="1979-05-24T00:00:00"/>
    <s v="F"/>
    <s v="Single"/>
    <s v="US Citizen"/>
    <s v="No"/>
    <s v="White"/>
    <d v="2014-11-10T00:00:00"/>
    <m/>
    <s v="N/A-StillEmployed"/>
    <s v="Active"/>
    <x v="2"/>
    <s v="Alex Sweetwater"/>
    <n v="10"/>
    <s v="LinkedIn"/>
    <x v="1"/>
    <x v="5"/>
    <n v="3"/>
    <n v="4"/>
    <s v="1/2/2019"/>
    <n v="0"/>
    <n v="19"/>
    <s v="Normal"/>
    <s v="low Outlier"/>
    <n v="46"/>
    <n v="11"/>
    <n v="11"/>
    <s v="10+ Years"/>
    <s v="46-55"/>
    <s v="Senior (70-100K)"/>
    <n v="1"/>
    <x v="4"/>
    <n v="11"/>
    <s v="Q4"/>
    <s v="Nov"/>
    <s v="2014-11"/>
    <s v="N/A"/>
    <s v="Production       "/>
    <n v="33.333333333333329"/>
    <n v="0"/>
    <s v="Medium"/>
  </r>
  <r>
    <s v="Athwal, Sam"/>
    <n v="10062"/>
    <n v="0"/>
    <n v="4"/>
    <n v="1"/>
    <n v="1"/>
    <n v="5"/>
    <x v="1"/>
    <n v="0"/>
    <x v="7"/>
    <n v="0"/>
    <n v="19"/>
    <s v="Production Technician I"/>
    <s v="MA"/>
    <n v="2199"/>
    <d v="1983-02-18T00:00:00"/>
    <s v="M "/>
    <s v="Widowed"/>
    <s v="US Citizen"/>
    <s v="No"/>
    <s v="White"/>
    <d v="2013-09-30T00:00:00"/>
    <m/>
    <s v="N/A-StillEmployed"/>
    <s v="Active"/>
    <x v="0"/>
    <s v="Ketsia Liebig"/>
    <n v="19"/>
    <s v="Employee Referral"/>
    <x v="1"/>
    <x v="4"/>
    <n v="4"/>
    <n v="0"/>
    <s v="2/25/2019"/>
    <n v="0"/>
    <n v="19"/>
    <s v="Normal"/>
    <s v="low Outlier"/>
    <n v="43"/>
    <n v="12"/>
    <n v="12"/>
    <s v="10+ Years"/>
    <s v="36-45"/>
    <s v="Mid (40-70K)"/>
    <n v="1"/>
    <x v="5"/>
    <n v="9"/>
    <s v="Q3"/>
    <s v="Sep"/>
    <s v="2013-09"/>
    <s v="N/A"/>
    <s v="Production       "/>
    <n v="23.809523809523807"/>
    <n v="0"/>
    <s v="Medium"/>
  </r>
  <r>
    <s v="Bachiochi, Linda"/>
    <n v="10114"/>
    <n v="0"/>
    <n v="0"/>
    <n v="0"/>
    <n v="3"/>
    <n v="5"/>
    <x v="1"/>
    <n v="1"/>
    <x v="8"/>
    <n v="0"/>
    <n v="19"/>
    <s v="Production Technician I"/>
    <s v="MA"/>
    <n v="1902"/>
    <d v="1970-02-11T00:00:00"/>
    <s v="F"/>
    <s v="Single"/>
    <s v="US Citizen"/>
    <s v="No"/>
    <s v="Black or African American"/>
    <d v="2009-07-06T00:00:00"/>
    <m/>
    <s v="N/A-StillEmployed"/>
    <s v="Active"/>
    <x v="0"/>
    <s v="Brannon Miller"/>
    <n v="12"/>
    <s v="Diversity Job Fair"/>
    <x v="1"/>
    <x v="6"/>
    <n v="3"/>
    <n v="0"/>
    <s v="1/25/2019"/>
    <n v="0"/>
    <n v="4"/>
    <s v="Normal"/>
    <s v="low Outlier"/>
    <n v="56"/>
    <n v="16"/>
    <n v="16"/>
    <s v="10+ Years"/>
    <s v="55+"/>
    <s v="Mid (40-70K)"/>
    <n v="1"/>
    <x v="6"/>
    <n v="7"/>
    <s v="Q3"/>
    <s v="Jul"/>
    <s v="2009-07"/>
    <s v="N/A"/>
    <s v="Production       "/>
    <n v="27.27272727272727"/>
    <n v="0"/>
    <s v="Medium"/>
  </r>
  <r>
    <s v="Bacong, Alejandro "/>
    <n v="10250"/>
    <n v="0"/>
    <n v="2"/>
    <n v="1"/>
    <n v="1"/>
    <n v="3"/>
    <x v="1"/>
    <n v="0"/>
    <x v="9"/>
    <n v="0"/>
    <n v="14"/>
    <s v="IT Support"/>
    <s v="MA"/>
    <n v="1886"/>
    <d v="1988-01-07T00:00:00"/>
    <s v="M "/>
    <s v="Divorced"/>
    <s v="US Citizen"/>
    <s v="No"/>
    <s v="White"/>
    <d v="2015-01-05T00:00:00"/>
    <m/>
    <s v="N/A-StillEmployed"/>
    <s v="Active"/>
    <x v="1"/>
    <s v="Peter Monroe"/>
    <n v="7"/>
    <s v="Indeed"/>
    <x v="1"/>
    <x v="4"/>
    <n v="5"/>
    <n v="6"/>
    <s v="2/18/2019"/>
    <n v="0"/>
    <n v="16"/>
    <s v="Normal"/>
    <s v="low Outlier"/>
    <n v="38"/>
    <n v="11"/>
    <n v="11"/>
    <s v="10+ Years"/>
    <s v="36-45"/>
    <s v="Mid (40-70K)"/>
    <n v="1"/>
    <x v="1"/>
    <n v="1"/>
    <s v="Q1"/>
    <s v="Jan"/>
    <s v="2015-01"/>
    <s v="N/A"/>
    <s v="Production       "/>
    <n v="7.1428571428571423"/>
    <n v="0"/>
    <s v="Medium"/>
  </r>
  <r>
    <s v="Baczenski, Rachael  "/>
    <n v="10252"/>
    <n v="1"/>
    <n v="1"/>
    <n v="0"/>
    <n v="5"/>
    <n v="5"/>
    <x v="1"/>
    <n v="1"/>
    <x v="10"/>
    <n v="1"/>
    <n v="19"/>
    <s v="Production Technician I"/>
    <s v="MA"/>
    <n v="1902"/>
    <d v="1974-01-12T00:00:00"/>
    <s v="F"/>
    <s v="Married"/>
    <s v="US Citizen"/>
    <s v="Yes"/>
    <s v="Black or African American"/>
    <d v="2011-01-10T00:00:00"/>
    <d v="2017-01-12T00:00:00"/>
    <s v="Another position"/>
    <s v="Voluntarily Terminated"/>
    <x v="0"/>
    <s v="David Stanley"/>
    <n v="14"/>
    <s v="Diversity Job Fair"/>
    <x v="1"/>
    <x v="7"/>
    <n v="4"/>
    <n v="0"/>
    <s v="1/30/2016"/>
    <n v="0"/>
    <n v="12"/>
    <s v="Normal"/>
    <s v="low Outlier"/>
    <n v="52"/>
    <n v="15"/>
    <n v="6"/>
    <s v="10+ Years"/>
    <s v="46-55"/>
    <s v="Mid (40-70K)"/>
    <n v="0"/>
    <x v="0"/>
    <n v="1"/>
    <s v="Q1"/>
    <s v="Jan"/>
    <s v="2011-01"/>
    <n v="2017"/>
    <s v="Production       "/>
    <n v="28.571428571428569"/>
    <n v="20"/>
    <s v="Medium"/>
  </r>
  <r>
    <s v="Barbara, Thomas"/>
    <n v="10242"/>
    <n v="1"/>
    <n v="1"/>
    <n v="1"/>
    <n v="5"/>
    <n v="5"/>
    <x v="1"/>
    <n v="1"/>
    <x v="11"/>
    <n v="1"/>
    <n v="19"/>
    <s v="Production Technician I"/>
    <s v="MA"/>
    <n v="2062"/>
    <d v="1974-02-21T00:00:00"/>
    <s v="M "/>
    <s v="Married"/>
    <s v="US Citizen"/>
    <s v="Yes"/>
    <s v="Black or African American"/>
    <d v="2012-04-02T00:00:00"/>
    <d v="2016-09-19T00:00:00"/>
    <s v="unhappy"/>
    <s v="Voluntarily Terminated"/>
    <x v="0"/>
    <s v="Kissy Sullivan"/>
    <n v="20"/>
    <s v="Diversity Job Fair"/>
    <x v="1"/>
    <x v="7"/>
    <n v="3"/>
    <n v="0"/>
    <s v="5/6/2016"/>
    <n v="0"/>
    <n v="15"/>
    <s v="Normal"/>
    <s v="low Outlier"/>
    <n v="52"/>
    <n v="13"/>
    <n v="4"/>
    <s v="10+ Years"/>
    <s v="46-55"/>
    <s v="Mid (40-70K)"/>
    <n v="0"/>
    <x v="3"/>
    <n v="4"/>
    <s v="Q2"/>
    <s v="Apr"/>
    <s v="2012-04"/>
    <n v="2016"/>
    <s v="Production       "/>
    <n v="52.380952380952387"/>
    <n v="14"/>
    <s v="Medium"/>
  </r>
  <r>
    <s v="Barbossa, Hector"/>
    <n v="10012"/>
    <n v="0"/>
    <n v="2"/>
    <n v="1"/>
    <n v="1"/>
    <n v="3"/>
    <x v="0"/>
    <n v="1"/>
    <x v="12"/>
    <n v="0"/>
    <n v="9"/>
    <s v="Data Analyst"/>
    <s v="TX"/>
    <n v="78230"/>
    <d v="1988-07-04T00:00:00"/>
    <s v="M "/>
    <s v="Divorced"/>
    <s v="US Citizen"/>
    <s v="No"/>
    <s v="Black or African American"/>
    <d v="2014-11-10T00:00:00"/>
    <m/>
    <s v="N/A-StillEmployed"/>
    <s v="Active"/>
    <x v="1"/>
    <s v="Simon Roup"/>
    <n v="4"/>
    <s v="Diversity Job Fair"/>
    <x v="0"/>
    <x v="8"/>
    <n v="4"/>
    <n v="5"/>
    <s v="2/25/2019"/>
    <n v="0"/>
    <n v="9"/>
    <s v="Normal"/>
    <s v="low Outlier"/>
    <n v="37"/>
    <n v="11"/>
    <n v="11"/>
    <s v="10+ Years"/>
    <s v="36-45"/>
    <s v="Senior (70-100K)"/>
    <n v="1"/>
    <x v="4"/>
    <n v="11"/>
    <s v="Q4"/>
    <s v="Nov"/>
    <s v="2014-11"/>
    <s v="N/A"/>
    <s v="Production       "/>
    <n v="43.75"/>
    <n v="0"/>
    <s v="Low"/>
  </r>
  <r>
    <s v="Barone, Francesco  A"/>
    <n v="10265"/>
    <n v="0"/>
    <n v="0"/>
    <n v="1"/>
    <n v="1"/>
    <n v="5"/>
    <x v="1"/>
    <n v="0"/>
    <x v="13"/>
    <n v="0"/>
    <n v="19"/>
    <s v="Production Technician I"/>
    <s v="MA"/>
    <n v="1810"/>
    <d v="1983-07-20T00:00:00"/>
    <s v="M "/>
    <s v="Single"/>
    <s v="US Citizen"/>
    <s v="No"/>
    <s v="Two or more races"/>
    <d v="2012-02-20T00:00:00"/>
    <m/>
    <s v="N/A-StillEmployed"/>
    <s v="Active"/>
    <x v="0"/>
    <s v="Kelley Spirea"/>
    <n v="18"/>
    <s v="Google Search"/>
    <x v="1"/>
    <x v="0"/>
    <n v="4"/>
    <n v="0"/>
    <s v="2/14/2019"/>
    <n v="0"/>
    <n v="7"/>
    <s v="Normal"/>
    <s v="low Outlier"/>
    <n v="42"/>
    <n v="14"/>
    <n v="14"/>
    <s v="10+ Years"/>
    <s v="36-45"/>
    <s v="Mid (40-70K)"/>
    <n v="1"/>
    <x v="3"/>
    <n v="2"/>
    <s v="Q1"/>
    <s v="Feb"/>
    <s v="2012-02"/>
    <s v="N/A"/>
    <s v="Production       "/>
    <n v="27.27272727272727"/>
    <n v="0"/>
    <s v="Medium"/>
  </r>
  <r>
    <s v="Barton, Nader"/>
    <n v="10066"/>
    <n v="0"/>
    <n v="2"/>
    <n v="1"/>
    <n v="5"/>
    <n v="5"/>
    <x v="1"/>
    <n v="0"/>
    <x v="14"/>
    <n v="1"/>
    <n v="19"/>
    <s v="Production Technician I"/>
    <s v="MA"/>
    <n v="2747"/>
    <d v="1977-07-15T00:00:00"/>
    <s v="M "/>
    <s v="Divorced"/>
    <s v="US Citizen"/>
    <s v="No"/>
    <s v="White"/>
    <d v="2012-09-24T00:00:00"/>
    <d v="2017-04-06T00:00:00"/>
    <s v="Another position"/>
    <s v="Voluntarily Terminated"/>
    <x v="0"/>
    <s v="Michael Albert"/>
    <n v="22"/>
    <s v="On-line Web application"/>
    <x v="1"/>
    <x v="4"/>
    <n v="5"/>
    <n v="0"/>
    <s v="3/2/2017"/>
    <n v="0"/>
    <n v="1"/>
    <s v="Normal"/>
    <s v="low Outlier"/>
    <n v="48"/>
    <n v="13"/>
    <n v="4"/>
    <s v="10+ Years"/>
    <s v="46-55"/>
    <s v="Mid (40-70K)"/>
    <n v="0"/>
    <x v="3"/>
    <n v="9"/>
    <s v="Q3"/>
    <s v="Sep"/>
    <s v="2012-09"/>
    <n v="2017"/>
    <s v="Production       "/>
    <n v="42.857142857142854"/>
    <n v="19"/>
    <s v="Medium"/>
  </r>
  <r>
    <s v="Bates, Norman"/>
    <n v="10061"/>
    <n v="0"/>
    <n v="0"/>
    <n v="1"/>
    <n v="4"/>
    <n v="5"/>
    <x v="1"/>
    <n v="0"/>
    <x v="15"/>
    <n v="1"/>
    <n v="19"/>
    <s v="Production Technician I"/>
    <s v="MA"/>
    <n v="2050"/>
    <d v="1981-10-18T00:00:00"/>
    <s v="M "/>
    <s v="Single"/>
    <s v="US Citizen"/>
    <s v="No"/>
    <s v="White"/>
    <d v="2011-02-21T00:00:00"/>
    <d v="2017-08-04T00:00:00"/>
    <s v="attendance"/>
    <s v="Terminated for Cause"/>
    <x v="0"/>
    <s v="Kelley Spirea"/>
    <n v="18"/>
    <s v="Google Search"/>
    <x v="1"/>
    <x v="4"/>
    <n v="4"/>
    <n v="0"/>
    <s v="4/5/2017"/>
    <n v="0"/>
    <n v="20"/>
    <s v="Normal"/>
    <s v="low Outlier"/>
    <n v="44"/>
    <n v="15"/>
    <n v="6"/>
    <s v="10+ Years"/>
    <s v="36-45"/>
    <s v="Mid (40-70K)"/>
    <n v="0"/>
    <x v="0"/>
    <n v="2"/>
    <s v="Q1"/>
    <s v="Feb"/>
    <s v="2011-02"/>
    <n v="2017"/>
    <s v="Production       "/>
    <n v="28.571428571428569"/>
    <n v="7"/>
    <s v="Medium"/>
  </r>
  <r>
    <s v="Beak, Kimberly  "/>
    <n v="10023"/>
    <n v="1"/>
    <n v="1"/>
    <n v="0"/>
    <n v="2"/>
    <n v="5"/>
    <x v="0"/>
    <n v="0"/>
    <x v="16"/>
    <n v="0"/>
    <n v="20"/>
    <s v="Production Technician II"/>
    <s v="MA"/>
    <n v="2145"/>
    <d v="1966-04-17T00:00:00"/>
    <s v="F"/>
    <s v="Married"/>
    <s v="US Citizen"/>
    <s v="No"/>
    <s v="White"/>
    <d v="2016-07-21T00:00:00"/>
    <m/>
    <s v="N/A-StillEmployed"/>
    <s v="Active"/>
    <x v="0"/>
    <s v="Kelley Spirea"/>
    <n v="18"/>
    <s v="Employee Referral"/>
    <x v="0"/>
    <x v="9"/>
    <n v="3"/>
    <n v="0"/>
    <s v="1/14/2019"/>
    <n v="0"/>
    <n v="16"/>
    <s v="Normal"/>
    <s v="low Outlier"/>
    <n v="59"/>
    <n v="9"/>
    <n v="9"/>
    <s v="5-10 Years"/>
    <s v="55+"/>
    <s v="Senior (70-100K)"/>
    <n v="1"/>
    <x v="7"/>
    <n v="7"/>
    <s v="Q3"/>
    <s v="Jul"/>
    <s v="2016-07"/>
    <s v="N/A"/>
    <s v="Production       "/>
    <n v="25"/>
    <n v="0"/>
    <s v="Low"/>
  </r>
  <r>
    <s v="Beatrice, Courtney "/>
    <n v="10055"/>
    <n v="0"/>
    <n v="0"/>
    <n v="0"/>
    <n v="1"/>
    <n v="5"/>
    <x v="1"/>
    <n v="0"/>
    <x v="17"/>
    <n v="0"/>
    <n v="19"/>
    <s v="Production Technician I"/>
    <s v="MA"/>
    <n v="1915"/>
    <d v="1970-10-27T00:00:00"/>
    <s v="F"/>
    <s v="Single"/>
    <s v="Eligible NonCitizen"/>
    <s v="No"/>
    <s v="White"/>
    <d v="2011-04-04T00:00:00"/>
    <m/>
    <s v="N/A-StillEmployed"/>
    <s v="Active"/>
    <x v="0"/>
    <s v="Elijiah Gray"/>
    <n v="16"/>
    <s v="Google Search"/>
    <x v="1"/>
    <x v="4"/>
    <n v="5"/>
    <n v="0"/>
    <s v="1/14/2019"/>
    <n v="0"/>
    <n v="12"/>
    <s v="Normal"/>
    <s v="low Outlier"/>
    <n v="55"/>
    <n v="14"/>
    <n v="14"/>
    <s v="10+ Years"/>
    <s v="46-55"/>
    <s v="Mid (40-70K)"/>
    <n v="1"/>
    <x v="0"/>
    <n v="4"/>
    <s v="Q2"/>
    <s v="Apr"/>
    <s v="2011-04"/>
    <s v="N/A"/>
    <s v="Production       "/>
    <n v="38.095238095238095"/>
    <n v="0"/>
    <s v="Medium"/>
  </r>
  <r>
    <s v="Becker, Renee"/>
    <n v="10245"/>
    <n v="0"/>
    <n v="0"/>
    <n v="0"/>
    <n v="4"/>
    <n v="3"/>
    <x v="1"/>
    <n v="0"/>
    <x v="18"/>
    <n v="1"/>
    <n v="8"/>
    <s v="Database Administrator"/>
    <s v="MA"/>
    <n v="2026"/>
    <d v="1986-04-04T00:00:00"/>
    <s v="F"/>
    <s v="Single"/>
    <s v="US Citizen"/>
    <s v="Yes"/>
    <s v="White"/>
    <d v="2014-07-07T00:00:00"/>
    <d v="2015-09-12T00:00:00"/>
    <s v="performance"/>
    <s v="Terminated for Cause"/>
    <x v="1"/>
    <s v="Simon Roup"/>
    <n v="4"/>
    <s v="Google Search"/>
    <x v="1"/>
    <x v="10"/>
    <n v="4"/>
    <n v="5"/>
    <s v="1/15/2015"/>
    <n v="0"/>
    <n v="8"/>
    <s v="Normal"/>
    <s v="low Outlier"/>
    <n v="39"/>
    <n v="11"/>
    <n v="1"/>
    <s v="10+ Years"/>
    <s v="36-45"/>
    <s v="Executive (100K+)"/>
    <n v="0"/>
    <x v="4"/>
    <n v="7"/>
    <s v="Q3"/>
    <s v="Jul"/>
    <s v="2014-07"/>
    <n v="2015"/>
    <s v="Production       "/>
    <n v="46.666666666666664"/>
    <n v="4"/>
    <s v="Medium"/>
  </r>
  <r>
    <s v="Becker, Scott"/>
    <n v="10277"/>
    <n v="0"/>
    <n v="0"/>
    <n v="1"/>
    <n v="3"/>
    <n v="5"/>
    <x v="1"/>
    <n v="0"/>
    <x v="19"/>
    <n v="0"/>
    <n v="19"/>
    <s v="Production Technician I"/>
    <s v="MA"/>
    <n v="2452"/>
    <d v="1979-04-06T00:00:00"/>
    <s v="M "/>
    <s v="Single"/>
    <s v="US Citizen"/>
    <s v="No"/>
    <s v="Asian"/>
    <d v="2013-07-08T00:00:00"/>
    <m/>
    <s v="N/A-StillEmployed"/>
    <s v="Active"/>
    <x v="0"/>
    <s v="Webster Butler"/>
    <m/>
    <s v="LinkedIn"/>
    <x v="1"/>
    <x v="7"/>
    <n v="4"/>
    <n v="0"/>
    <s v="1/11/2019"/>
    <n v="0"/>
    <n v="13"/>
    <s v="Normal"/>
    <s v="low Outlier"/>
    <n v="46"/>
    <n v="12"/>
    <n v="12"/>
    <s v="10+ Years"/>
    <s v="46-55"/>
    <s v="Mid (40-70K)"/>
    <n v="1"/>
    <x v="5"/>
    <n v="7"/>
    <s v="Q3"/>
    <s v="Jul"/>
    <s v="2013-07"/>
    <s v="N/A"/>
    <s v="Production       "/>
    <n v="60"/>
    <n v="0"/>
    <s v="Medium"/>
  </r>
  <r>
    <s v="Bernstein, Sean"/>
    <n v="10046"/>
    <n v="0"/>
    <n v="0"/>
    <n v="1"/>
    <n v="1"/>
    <n v="5"/>
    <x v="1"/>
    <n v="0"/>
    <x v="20"/>
    <n v="0"/>
    <n v="19"/>
    <s v="Production Technician I"/>
    <s v="MA"/>
    <n v="2072"/>
    <d v="1970-12-22T00:00:00"/>
    <s v="M "/>
    <s v="Single"/>
    <s v="US Citizen"/>
    <s v="Yes"/>
    <s v="White"/>
    <d v="2012-04-02T00:00:00"/>
    <m/>
    <s v="N/A-StillEmployed"/>
    <s v="Active"/>
    <x v="0"/>
    <s v="Amy Dunn"/>
    <n v="11"/>
    <s v="Google Search"/>
    <x v="1"/>
    <x v="4"/>
    <n v="3"/>
    <n v="0"/>
    <s v="1/14/2019"/>
    <n v="0"/>
    <n v="13"/>
    <s v="Normal"/>
    <s v="low Outlier"/>
    <n v="55"/>
    <n v="13"/>
    <n v="13"/>
    <s v="10+ Years"/>
    <s v="46-55"/>
    <s v="Mid (40-70K)"/>
    <n v="1"/>
    <x v="3"/>
    <n v="4"/>
    <s v="Q2"/>
    <s v="Apr"/>
    <s v="2012-04"/>
    <s v="N/A"/>
    <s v="Production       "/>
    <n v="65"/>
    <n v="0"/>
    <s v="Medium"/>
  </r>
  <r>
    <s v="Biden, Lowan  M"/>
    <n v="10226"/>
    <n v="0"/>
    <n v="2"/>
    <n v="0"/>
    <n v="1"/>
    <n v="5"/>
    <x v="1"/>
    <n v="0"/>
    <x v="21"/>
    <n v="0"/>
    <n v="19"/>
    <s v="Production Technician I"/>
    <s v="MA"/>
    <n v="2027"/>
    <d v="1958-12-27T00:00:00"/>
    <s v="F"/>
    <s v="Divorced"/>
    <s v="US Citizen"/>
    <s v="No"/>
    <s v="Asian"/>
    <d v="2013-08-19T00:00:00"/>
    <m/>
    <s v="N/A-StillEmployed"/>
    <s v="Active"/>
    <x v="0"/>
    <s v="Ketsia Liebig"/>
    <n v="19"/>
    <s v="Indeed"/>
    <x v="1"/>
    <x v="7"/>
    <n v="3"/>
    <n v="0"/>
    <s v="1/10/2019"/>
    <n v="0"/>
    <n v="2"/>
    <s v="Normal"/>
    <s v="low Outlier"/>
    <n v="67"/>
    <n v="12"/>
    <n v="12"/>
    <s v="10+ Years"/>
    <s v="55+"/>
    <s v="Mid (40-70K)"/>
    <n v="1"/>
    <x v="5"/>
    <n v="8"/>
    <s v="Q3"/>
    <s v="Aug"/>
    <s v="2013-08"/>
    <s v="N/A"/>
    <s v="Production       "/>
    <n v="25"/>
    <n v="0"/>
    <s v="Medium"/>
  </r>
  <r>
    <s v="Billis, Helen"/>
    <n v="10003"/>
    <n v="1"/>
    <n v="1"/>
    <n v="0"/>
    <n v="1"/>
    <n v="5"/>
    <x v="0"/>
    <n v="0"/>
    <x v="22"/>
    <n v="0"/>
    <n v="19"/>
    <s v="Production Technician I"/>
    <s v="MA"/>
    <n v="2031"/>
    <d v="1989-09-01T00:00:00"/>
    <s v="F"/>
    <s v="Married"/>
    <s v="US Citizen"/>
    <s v="No"/>
    <s v="White"/>
    <d v="2014-07-07T00:00:00"/>
    <m/>
    <s v="N/A-StillEmployed"/>
    <s v="Active"/>
    <x v="0"/>
    <s v="Brannon Miller"/>
    <n v="12"/>
    <s v="Indeed"/>
    <x v="0"/>
    <x v="4"/>
    <n v="3"/>
    <n v="0"/>
    <s v="2/27/2019"/>
    <n v="0"/>
    <n v="19"/>
    <s v="Normal"/>
    <s v="low Outlier"/>
    <n v="36"/>
    <n v="11"/>
    <n v="11"/>
    <s v="10+ Years"/>
    <s v="36-45"/>
    <s v="Mid (40-70K)"/>
    <n v="1"/>
    <x v="4"/>
    <n v="7"/>
    <s v="Q3"/>
    <s v="Jul"/>
    <s v="2014-07"/>
    <s v="N/A"/>
    <s v="Production       "/>
    <n v="28.571428571428569"/>
    <n v="0"/>
    <s v="Low"/>
  </r>
  <r>
    <s v="Blount, Dianna"/>
    <n v="10294"/>
    <n v="0"/>
    <n v="0"/>
    <n v="0"/>
    <n v="1"/>
    <n v="5"/>
    <x v="2"/>
    <n v="0"/>
    <x v="23"/>
    <n v="0"/>
    <n v="20"/>
    <s v="Production Technician II"/>
    <s v="MA"/>
    <n v="2171"/>
    <d v="1990-09-21T00:00:00"/>
    <s v="F"/>
    <s v="Single"/>
    <s v="US Citizen"/>
    <s v="No"/>
    <s v="White"/>
    <d v="2011-04-04T00:00:00"/>
    <m/>
    <s v="N/A-StillEmployed"/>
    <s v="Active"/>
    <x v="0"/>
    <s v="Michael Albert"/>
    <n v="22"/>
    <s v="CareerBuilder"/>
    <x v="2"/>
    <x v="11"/>
    <n v="3"/>
    <n v="0"/>
    <s v="2/27/2019"/>
    <n v="2"/>
    <n v="3"/>
    <s v="Normal"/>
    <s v="low Outlier"/>
    <n v="35"/>
    <n v="14"/>
    <n v="14"/>
    <s v="10+ Years"/>
    <s v="26-35"/>
    <s v="Mid (40-70K)"/>
    <n v="1"/>
    <x v="0"/>
    <n v="4"/>
    <s v="Q2"/>
    <s v="Apr"/>
    <s v="2011-04"/>
    <s v="N/A"/>
    <s v="Production       "/>
    <n v="40"/>
    <n v="0"/>
    <s v="High"/>
  </r>
  <r>
    <s v="Bondwell, Betsy"/>
    <n v="10267"/>
    <n v="0"/>
    <n v="0"/>
    <n v="0"/>
    <n v="5"/>
    <n v="5"/>
    <x v="1"/>
    <n v="0"/>
    <x v="24"/>
    <n v="1"/>
    <n v="20"/>
    <s v="Production Technician II"/>
    <s v="MA"/>
    <n v="2210"/>
    <d v="1967-01-16T00:00:00"/>
    <s v="F"/>
    <s v="Single"/>
    <s v="US Citizen"/>
    <s v="No"/>
    <s v="White"/>
    <d v="2011-01-10T00:00:00"/>
    <d v="2014-04-04T00:00:00"/>
    <s v="career change"/>
    <s v="Voluntarily Terminated"/>
    <x v="0"/>
    <s v="Elijiah Gray"/>
    <n v="16"/>
    <s v="Google Search"/>
    <x v="1"/>
    <x v="12"/>
    <n v="5"/>
    <n v="0"/>
    <s v="3/4/2014"/>
    <n v="0"/>
    <n v="5"/>
    <s v="Normal"/>
    <s v="low Outlier"/>
    <n v="59"/>
    <n v="15"/>
    <n v="3"/>
    <s v="10+ Years"/>
    <s v="55+"/>
    <s v="Mid (40-70K)"/>
    <n v="0"/>
    <x v="0"/>
    <n v="1"/>
    <s v="Q1"/>
    <s v="Jan"/>
    <s v="2011-01"/>
    <n v="2014"/>
    <s v="Production       "/>
    <n v="40"/>
    <n v="8"/>
    <s v="Medium"/>
  </r>
  <r>
    <s v="Booth, Frank"/>
    <n v="10199"/>
    <n v="0"/>
    <n v="0"/>
    <n v="1"/>
    <n v="4"/>
    <n v="3"/>
    <x v="1"/>
    <n v="0"/>
    <x v="25"/>
    <n v="1"/>
    <n v="30"/>
    <s v="Enterprise Architect"/>
    <s v="CT"/>
    <n v="6033"/>
    <d v="1964-07-30T00:00:00"/>
    <s v="M "/>
    <s v="Single"/>
    <s v="US Citizen"/>
    <s v="No"/>
    <s v="Black or African American"/>
    <d v="2014-02-17T00:00:00"/>
    <d v="2016-02-19T00:00:00"/>
    <s v="Learned that he is a gangster"/>
    <s v="Terminated for Cause"/>
    <x v="1"/>
    <s v="Simon Roup"/>
    <n v="4"/>
    <s v="LinkedIn"/>
    <x v="1"/>
    <x v="13"/>
    <n v="5"/>
    <n v="7"/>
    <s v="1/10/2016"/>
    <n v="0"/>
    <n v="2"/>
    <s v="Normal"/>
    <s v="low Outlier"/>
    <n v="61"/>
    <n v="12"/>
    <n v="2"/>
    <s v="10+ Years"/>
    <s v="55+"/>
    <s v="Executive (100K+)"/>
    <n v="0"/>
    <x v="4"/>
    <n v="2"/>
    <s v="Q1"/>
    <s v="Feb"/>
    <s v="2014-02"/>
    <n v="2016"/>
    <s v="Production       "/>
    <n v="42.857142857142854"/>
    <n v="1"/>
    <s v="Medium"/>
  </r>
  <r>
    <s v="Boutwell, Bonalyn"/>
    <n v="10081"/>
    <n v="1"/>
    <n v="1"/>
    <n v="0"/>
    <n v="1"/>
    <n v="1"/>
    <x v="1"/>
    <n v="1"/>
    <x v="26"/>
    <n v="0"/>
    <n v="26"/>
    <s v="Sr. Accountant"/>
    <s v="MA"/>
    <n v="2468"/>
    <d v="1987-04-04T00:00:00"/>
    <s v="F"/>
    <s v="Married"/>
    <s v="US Citizen"/>
    <s v="No"/>
    <s v="Black or African American"/>
    <d v="2015-02-16T00:00:00"/>
    <m/>
    <s v="N/A-StillEmployed"/>
    <s v="Active"/>
    <x v="3"/>
    <s v="Brandon R. LeBlanc"/>
    <n v="3"/>
    <s v="Diversity Job Fair"/>
    <x v="1"/>
    <x v="4"/>
    <n v="4"/>
    <n v="3"/>
    <s v="2/18/2019"/>
    <n v="0"/>
    <n v="4"/>
    <s v="Normal"/>
    <s v="low Outlier"/>
    <n v="38"/>
    <n v="11"/>
    <n v="11"/>
    <s v="10+ Years"/>
    <s v="36-45"/>
    <s v="Executive (100K+)"/>
    <n v="1"/>
    <x v="1"/>
    <n v="2"/>
    <s v="Q1"/>
    <s v="Feb"/>
    <s v="2015-02"/>
    <s v="N/A"/>
    <s v="Production       "/>
    <n v="28.571428571428569"/>
    <n v="0"/>
    <s v="Medium"/>
  </r>
  <r>
    <s v="Bozzi, Charles"/>
    <n v="10175"/>
    <n v="0"/>
    <n v="0"/>
    <n v="1"/>
    <n v="5"/>
    <n v="5"/>
    <x v="1"/>
    <n v="0"/>
    <x v="27"/>
    <n v="1"/>
    <n v="18"/>
    <s v="Production Manager"/>
    <s v="MA"/>
    <n v="1901"/>
    <d v="1970-03-10T00:00:00"/>
    <s v="M "/>
    <s v="Single"/>
    <s v="US Citizen"/>
    <s v="No"/>
    <s v="Asian"/>
    <d v="2013-09-30T00:00:00"/>
    <d v="2014-08-07T00:00:00"/>
    <s v="retiring"/>
    <s v="Voluntarily Terminated"/>
    <x v="0"/>
    <s v="Janet King"/>
    <n v="2"/>
    <s v="Indeed"/>
    <x v="1"/>
    <x v="14"/>
    <n v="3"/>
    <n v="0"/>
    <s v="2/20/2014"/>
    <n v="0"/>
    <n v="14"/>
    <s v="Normal"/>
    <s v="low Outlier"/>
    <n v="56"/>
    <n v="12"/>
    <n v="0"/>
    <s v="10+ Years"/>
    <s v="55+"/>
    <s v="Senior (70-100K)"/>
    <n v="0"/>
    <x v="5"/>
    <n v="9"/>
    <s v="Q3"/>
    <s v="Sep"/>
    <s v="2013-09"/>
    <n v="2014"/>
    <s v="Production       "/>
    <n v="31.578947368421051"/>
    <n v="4"/>
    <s v="Medium"/>
  </r>
  <r>
    <s v="Brill, Donna"/>
    <n v="10177"/>
    <n v="1"/>
    <n v="1"/>
    <n v="0"/>
    <n v="5"/>
    <n v="5"/>
    <x v="1"/>
    <n v="0"/>
    <x v="28"/>
    <n v="1"/>
    <n v="19"/>
    <s v="Production Technician I"/>
    <s v="MA"/>
    <n v="1701"/>
    <d v="1990-08-24T00:00:00"/>
    <s v="F"/>
    <s v="Married"/>
    <s v="US Citizen"/>
    <s v="No"/>
    <s v="White"/>
    <d v="2012-04-02T00:00:00"/>
    <d v="2013-06-15T00:00:00"/>
    <s v="Another position"/>
    <s v="Voluntarily Terminated"/>
    <x v="0"/>
    <s v="David Stanley"/>
    <n v="14"/>
    <s v="Google Search"/>
    <x v="1"/>
    <x v="15"/>
    <n v="4"/>
    <n v="0"/>
    <s v="3/4/2013"/>
    <n v="0"/>
    <n v="6"/>
    <s v="Normal"/>
    <s v="low Outlier"/>
    <n v="35"/>
    <n v="13"/>
    <n v="1"/>
    <s v="10+ Years"/>
    <s v="26-35"/>
    <s v="Mid (40-70K)"/>
    <n v="0"/>
    <x v="3"/>
    <n v="4"/>
    <s v="Q2"/>
    <s v="Apr"/>
    <s v="2012-04"/>
    <n v="2013"/>
    <s v="Production       "/>
    <n v="25"/>
    <n v="18"/>
    <s v="Medium"/>
  </r>
  <r>
    <s v="Brown, Mia"/>
    <n v="10238"/>
    <n v="1"/>
    <n v="1"/>
    <n v="0"/>
    <n v="1"/>
    <n v="1"/>
    <x v="1"/>
    <n v="1"/>
    <x v="29"/>
    <n v="0"/>
    <n v="1"/>
    <s v="Accountant I"/>
    <s v="MA"/>
    <n v="1450"/>
    <d v="1987-11-24T00:00:00"/>
    <s v="F"/>
    <s v="Married"/>
    <s v="US Citizen"/>
    <s v="No"/>
    <s v="Black or African American"/>
    <d v="2008-10-27T00:00:00"/>
    <m/>
    <s v="N/A-StillEmployed"/>
    <s v="Active"/>
    <x v="3"/>
    <s v="Brandon R. LeBlanc"/>
    <n v="1"/>
    <s v="Diversity Job Fair"/>
    <x v="1"/>
    <x v="10"/>
    <n v="2"/>
    <n v="6"/>
    <s v="1/15/2019"/>
    <n v="0"/>
    <n v="14"/>
    <s v="Normal"/>
    <s v="low Outlier"/>
    <n v="38"/>
    <n v="17"/>
    <n v="17"/>
    <s v="10+ Years"/>
    <s v="36-45"/>
    <s v="Mid (40-70K)"/>
    <n v="1"/>
    <x v="2"/>
    <n v="10"/>
    <s v="Q4"/>
    <s v="Oct"/>
    <s v="2008-10"/>
    <s v="N/A"/>
    <s v="Production       "/>
    <n v="33.333333333333329"/>
    <n v="0"/>
    <s v="Medium"/>
  </r>
  <r>
    <s v="Buccheri, Joseph  "/>
    <n v="10184"/>
    <n v="0"/>
    <n v="0"/>
    <n v="1"/>
    <n v="1"/>
    <n v="5"/>
    <x v="1"/>
    <n v="0"/>
    <x v="30"/>
    <n v="0"/>
    <n v="20"/>
    <s v="Production Technician II"/>
    <s v="MA"/>
    <n v="1013"/>
    <d v="1983-07-28T00:00:00"/>
    <s v="M "/>
    <s v="Single"/>
    <s v="US Citizen"/>
    <s v="No"/>
    <s v="White"/>
    <d v="2014-09-29T00:00:00"/>
    <m/>
    <s v="N/A-StillEmployed"/>
    <s v="Active"/>
    <x v="0"/>
    <s v="Webster Butler"/>
    <m/>
    <s v="Google Search"/>
    <x v="1"/>
    <x v="16"/>
    <n v="3"/>
    <n v="0"/>
    <s v="2/1/2019"/>
    <n v="0"/>
    <n v="9"/>
    <s v="Normal"/>
    <s v="low Outlier"/>
    <n v="42"/>
    <n v="11"/>
    <n v="11"/>
    <s v="10+ Years"/>
    <s v="36-45"/>
    <s v="Mid (40-70K)"/>
    <n v="1"/>
    <x v="4"/>
    <n v="9"/>
    <s v="Q3"/>
    <s v="Sep"/>
    <s v="2014-09"/>
    <s v="N/A"/>
    <s v="Production       "/>
    <n v="63.157894736842103"/>
    <n v="0"/>
    <s v="Medium"/>
  </r>
  <r>
    <s v="Bugali, Josephine "/>
    <n v="10203"/>
    <n v="0"/>
    <n v="3"/>
    <n v="0"/>
    <n v="3"/>
    <n v="5"/>
    <x v="1"/>
    <n v="1"/>
    <x v="31"/>
    <n v="0"/>
    <n v="19"/>
    <s v="Production Technician I"/>
    <s v="MA"/>
    <n v="2043"/>
    <d v="1969-10-30T00:00:00"/>
    <s v="F"/>
    <s v="Separated"/>
    <s v="US Citizen"/>
    <s v="No"/>
    <s v="Black or African American"/>
    <d v="2013-11-11T00:00:00"/>
    <m/>
    <s v="N/A-StillEmployed"/>
    <s v="Active"/>
    <x v="0"/>
    <s v="Kissy Sullivan"/>
    <n v="20"/>
    <s v="Diversity Job Fair"/>
    <x v="1"/>
    <x v="13"/>
    <n v="5"/>
    <n v="0"/>
    <s v="1/21/2019"/>
    <n v="0"/>
    <n v="17"/>
    <s v="Normal"/>
    <s v="low Outlier"/>
    <n v="56"/>
    <n v="12"/>
    <n v="12"/>
    <s v="10+ Years"/>
    <s v="55+"/>
    <s v="Mid (40-70K)"/>
    <n v="1"/>
    <x v="5"/>
    <n v="11"/>
    <s v="Q4"/>
    <s v="Nov"/>
    <s v="2013-11"/>
    <s v="N/A"/>
    <s v="Production       "/>
    <n v="50"/>
    <n v="0"/>
    <s v="Medium"/>
  </r>
  <r>
    <s v="Bunbury, Jessica"/>
    <n v="10188"/>
    <n v="1"/>
    <n v="1"/>
    <n v="0"/>
    <n v="5"/>
    <n v="6"/>
    <x v="1"/>
    <n v="0"/>
    <x v="32"/>
    <n v="1"/>
    <n v="3"/>
    <s v="Area Sales Manager"/>
    <s v="VA"/>
    <n v="21851"/>
    <d v="1964-06-01T00:00:00"/>
    <s v="F"/>
    <s v="Married"/>
    <s v="Eligible NonCitizen"/>
    <s v="No"/>
    <s v="Black or African American"/>
    <d v="2011-08-15T00:00:00"/>
    <d v="2014-08-02T00:00:00"/>
    <s v="Another position"/>
    <s v="Voluntarily Terminated"/>
    <x v="4"/>
    <s v="John Smith"/>
    <n v="17"/>
    <s v="Google Search"/>
    <x v="1"/>
    <x v="17"/>
    <n v="5"/>
    <n v="0"/>
    <s v="2/10/2013"/>
    <n v="1"/>
    <n v="19"/>
    <s v="Normal"/>
    <s v="low Outlier"/>
    <n v="61"/>
    <n v="14"/>
    <n v="2"/>
    <s v="10+ Years"/>
    <s v="55+"/>
    <s v="Senior (70-100K)"/>
    <n v="0"/>
    <x v="0"/>
    <n v="8"/>
    <s v="Q3"/>
    <s v="Aug"/>
    <s v="2011-08"/>
    <n v="2014"/>
    <s v="Production       "/>
    <n v="21.428571428571427"/>
    <n v="17"/>
    <s v="Medium"/>
  </r>
  <r>
    <s v="Burke, Joelle"/>
    <n v="10107"/>
    <n v="0"/>
    <n v="0"/>
    <n v="0"/>
    <n v="1"/>
    <n v="5"/>
    <x v="1"/>
    <n v="0"/>
    <x v="33"/>
    <n v="0"/>
    <n v="20"/>
    <s v="Production Technician II"/>
    <s v="MA"/>
    <n v="2148"/>
    <d v="1980-03-02T00:00:00"/>
    <s v="F"/>
    <s v="Single"/>
    <s v="US Citizen"/>
    <s v="No"/>
    <s v="Black or African American"/>
    <d v="2012-03-05T00:00:00"/>
    <m/>
    <s v="N/A-StillEmployed"/>
    <s v="Active"/>
    <x v="0"/>
    <s v="Amy Dunn"/>
    <n v="11"/>
    <s v="Employee Referral"/>
    <x v="1"/>
    <x v="18"/>
    <n v="4"/>
    <n v="0"/>
    <s v="2/21/2019"/>
    <n v="0"/>
    <n v="3"/>
    <s v="Normal"/>
    <s v="low Outlier"/>
    <n v="46"/>
    <n v="14"/>
    <n v="14"/>
    <s v="10+ Years"/>
    <s v="46-55"/>
    <s v="Mid (40-70K)"/>
    <n v="1"/>
    <x v="3"/>
    <n v="3"/>
    <s v="Q1"/>
    <s v="Mar"/>
    <s v="2012-03"/>
    <s v="N/A"/>
    <s v="Production       "/>
    <n v="68.421052631578945"/>
    <n v="0"/>
    <s v="Medium"/>
  </r>
  <r>
    <s v="Burkett, Benjamin "/>
    <n v="10181"/>
    <n v="1"/>
    <n v="1"/>
    <n v="1"/>
    <n v="1"/>
    <n v="5"/>
    <x v="1"/>
    <n v="0"/>
    <x v="34"/>
    <n v="0"/>
    <n v="20"/>
    <s v="Production Technician II"/>
    <s v="MA"/>
    <n v="1890"/>
    <d v="1977-08-19T00:00:00"/>
    <s v="M "/>
    <s v="Married"/>
    <s v="US Citizen"/>
    <s v="No"/>
    <s v="White"/>
    <d v="2011-04-04T00:00:00"/>
    <m/>
    <s v="N/A-StillEmployed"/>
    <s v="Active"/>
    <x v="0"/>
    <s v="Ketsia Liebig"/>
    <n v="19"/>
    <s v="Indeed"/>
    <x v="1"/>
    <x v="19"/>
    <n v="5"/>
    <n v="0"/>
    <s v="1/14/2019"/>
    <n v="0"/>
    <n v="15"/>
    <s v="Normal"/>
    <s v="low Outlier"/>
    <n v="48"/>
    <n v="14"/>
    <n v="14"/>
    <s v="10+ Years"/>
    <s v="46-55"/>
    <s v="Mid (40-70K)"/>
    <n v="1"/>
    <x v="0"/>
    <n v="4"/>
    <s v="Q2"/>
    <s v="Apr"/>
    <s v="2011-04"/>
    <s v="N/A"/>
    <s v="Production       "/>
    <n v="26.315789473684209"/>
    <n v="0"/>
    <s v="Medium"/>
  </r>
  <r>
    <s v="Cady, Max "/>
    <n v="10150"/>
    <n v="0"/>
    <n v="0"/>
    <n v="1"/>
    <n v="1"/>
    <n v="4"/>
    <x v="1"/>
    <n v="0"/>
    <x v="35"/>
    <n v="0"/>
    <n v="25"/>
    <s v="Software Engineering Manager"/>
    <s v="MA"/>
    <n v="2184"/>
    <d v="1966-11-22T00:00:00"/>
    <s v="M "/>
    <s v="Single"/>
    <s v="US Citizen"/>
    <s v="No"/>
    <s v="White"/>
    <d v="2011-08-15T00:00:00"/>
    <m/>
    <s v="N/A-StillEmployed"/>
    <s v="Active"/>
    <x v="2"/>
    <s v="Jennifer Zamora"/>
    <n v="5"/>
    <s v="Google Search"/>
    <x v="1"/>
    <x v="20"/>
    <n v="3"/>
    <n v="5"/>
    <s v="1/21/2019"/>
    <n v="0"/>
    <n v="4"/>
    <s v="Normal"/>
    <s v="low Outlier"/>
    <n v="59"/>
    <n v="14"/>
    <n v="14"/>
    <s v="10+ Years"/>
    <s v="55+"/>
    <s v="Senior (70-100K)"/>
    <n v="1"/>
    <x v="0"/>
    <n v="8"/>
    <s v="Q3"/>
    <s v="Aug"/>
    <s v="2011-08"/>
    <s v="N/A"/>
    <s v="Production       "/>
    <n v="14.285714285714285"/>
    <n v="0"/>
    <s v="Medium"/>
  </r>
  <r>
    <s v="Candie, Calvin"/>
    <n v="10001"/>
    <n v="0"/>
    <n v="0"/>
    <n v="1"/>
    <n v="1"/>
    <n v="5"/>
    <x v="0"/>
    <n v="0"/>
    <x v="36"/>
    <n v="0"/>
    <n v="18"/>
    <s v="Production Manager"/>
    <s v="MA"/>
    <n v="2169"/>
    <d v="1983-08-09T00:00:00"/>
    <s v="M "/>
    <s v="Single"/>
    <s v="US Citizen"/>
    <s v="No"/>
    <s v="White"/>
    <d v="2016-01-28T00:00:00"/>
    <m/>
    <s v="N/A-StillEmployed"/>
    <s v="Active"/>
    <x v="0"/>
    <s v="Janet King"/>
    <n v="2"/>
    <s v="Indeed"/>
    <x v="0"/>
    <x v="4"/>
    <n v="3"/>
    <n v="0"/>
    <s v="2/22/2019"/>
    <n v="0"/>
    <n v="14"/>
    <s v="Normal"/>
    <s v="low Outlier"/>
    <n v="42"/>
    <n v="10"/>
    <n v="10"/>
    <s v="10+ Years"/>
    <s v="36-45"/>
    <s v="Senior (70-100K)"/>
    <n v="1"/>
    <x v="7"/>
    <n v="1"/>
    <s v="Q1"/>
    <s v="Jan"/>
    <s v="2016-01"/>
    <s v="N/A"/>
    <s v="Production       "/>
    <n v="27.777777777777779"/>
    <n v="0"/>
    <s v="Low"/>
  </r>
  <r>
    <s v="Carabbio, Judith"/>
    <n v="10085"/>
    <n v="0"/>
    <n v="0"/>
    <n v="0"/>
    <n v="1"/>
    <n v="4"/>
    <x v="1"/>
    <n v="0"/>
    <x v="37"/>
    <n v="0"/>
    <n v="24"/>
    <s v="Software Engineer"/>
    <s v="MA"/>
    <n v="2132"/>
    <d v="1987-04-05T00:00:00"/>
    <s v="F"/>
    <s v="Single"/>
    <s v="US Citizen"/>
    <s v="No"/>
    <s v="White"/>
    <d v="2013-11-11T00:00:00"/>
    <m/>
    <s v="N/A-StillEmployed"/>
    <s v="Active"/>
    <x v="2"/>
    <s v="Alex Sweetwater"/>
    <n v="10"/>
    <s v="Indeed"/>
    <x v="1"/>
    <x v="1"/>
    <n v="4"/>
    <n v="6"/>
    <s v="1/30/2019"/>
    <n v="0"/>
    <n v="3"/>
    <s v="Normal"/>
    <s v="low Outlier"/>
    <n v="38"/>
    <n v="12"/>
    <n v="12"/>
    <s v="10+ Years"/>
    <s v="36-45"/>
    <s v="Senior (70-100K)"/>
    <n v="1"/>
    <x v="5"/>
    <n v="11"/>
    <s v="Q4"/>
    <s v="Nov"/>
    <s v="2013-11"/>
    <s v="N/A"/>
    <s v="Production       "/>
    <n v="37.5"/>
    <n v="0"/>
    <s v="Medium"/>
  </r>
  <r>
    <s v="Carey, Michael  "/>
    <n v="10115"/>
    <n v="0"/>
    <n v="0"/>
    <n v="1"/>
    <n v="1"/>
    <n v="5"/>
    <x v="1"/>
    <n v="0"/>
    <x v="38"/>
    <n v="0"/>
    <n v="19"/>
    <s v="Production Technician I"/>
    <s v="MA"/>
    <n v="1701"/>
    <d v="1983-02-02T00:00:00"/>
    <s v="M "/>
    <s v="Single"/>
    <s v="US Citizen"/>
    <s v="No"/>
    <s v="Black or African American"/>
    <d v="2014-03-31T00:00:00"/>
    <m/>
    <s v="N/A-StillEmployed"/>
    <s v="Active"/>
    <x v="0"/>
    <s v="Kelley Spirea"/>
    <n v="18"/>
    <s v="LinkedIn"/>
    <x v="1"/>
    <x v="21"/>
    <n v="3"/>
    <n v="0"/>
    <s v="2/1/2019"/>
    <n v="0"/>
    <n v="14"/>
    <s v="Normal"/>
    <s v="low Outlier"/>
    <n v="43"/>
    <n v="12"/>
    <n v="12"/>
    <s v="10+ Years"/>
    <s v="36-45"/>
    <s v="Mid (40-70K)"/>
    <n v="1"/>
    <x v="4"/>
    <n v="3"/>
    <s v="Q1"/>
    <s v="Mar"/>
    <s v="2014-03"/>
    <s v="N/A"/>
    <s v="Production       "/>
    <n v="26.315789473684209"/>
    <n v="0"/>
    <s v="Medium"/>
  </r>
  <r>
    <s v="Carr, Claudia  N"/>
    <n v="10082"/>
    <n v="0"/>
    <n v="0"/>
    <n v="0"/>
    <n v="2"/>
    <n v="3"/>
    <x v="1"/>
    <n v="0"/>
    <x v="39"/>
    <n v="0"/>
    <n v="27"/>
    <s v="Sr. DBA"/>
    <s v="MA"/>
    <n v="1886"/>
    <d v="1986-06-06T00:00:00"/>
    <s v="F"/>
    <s v="Single"/>
    <s v="US Citizen"/>
    <s v="No"/>
    <s v="Black or African American"/>
    <d v="2016-06-30T00:00:00"/>
    <m/>
    <s v="N/A-StillEmployed"/>
    <s v="Active"/>
    <x v="1"/>
    <s v="Simon Roup"/>
    <n v="4"/>
    <s v="LinkedIn"/>
    <x v="1"/>
    <x v="4"/>
    <n v="5"/>
    <n v="6"/>
    <s v="2/18/2019"/>
    <n v="0"/>
    <n v="7"/>
    <s v="Normal"/>
    <s v="low Outlier"/>
    <n v="39"/>
    <n v="9"/>
    <n v="9"/>
    <s v="5-10 Years"/>
    <s v="36-45"/>
    <s v="Executive (100K+)"/>
    <n v="1"/>
    <x v="7"/>
    <n v="6"/>
    <s v="Q2"/>
    <s v="Jun"/>
    <s v="2016-06"/>
    <s v="N/A"/>
    <s v="Production       "/>
    <n v="38.461538461538467"/>
    <n v="0"/>
    <s v="Medium"/>
  </r>
  <r>
    <s v="Carter, Michelle "/>
    <n v="10040"/>
    <n v="0"/>
    <n v="0"/>
    <n v="0"/>
    <n v="1"/>
    <n v="6"/>
    <x v="1"/>
    <n v="0"/>
    <x v="40"/>
    <n v="0"/>
    <n v="3"/>
    <s v="Area Sales Manager"/>
    <s v="VT"/>
    <n v="5664"/>
    <d v="1963-05-15T00:00:00"/>
    <s v="F"/>
    <s v="Single"/>
    <s v="US Citizen"/>
    <s v="No"/>
    <s v="White"/>
    <d v="2014-08-18T00:00:00"/>
    <m/>
    <s v="N/A-StillEmployed"/>
    <s v="Active"/>
    <x v="4"/>
    <s v="John Smith"/>
    <n v="17"/>
    <s v="Indeed"/>
    <x v="1"/>
    <x v="4"/>
    <n v="5"/>
    <n v="0"/>
    <s v="1/21/2019"/>
    <n v="0"/>
    <n v="7"/>
    <s v="Normal"/>
    <s v="low Outlier"/>
    <n v="62"/>
    <n v="11"/>
    <n v="11"/>
    <s v="10+ Years"/>
    <s v="55+"/>
    <s v="Senior (70-100K)"/>
    <n v="1"/>
    <x v="4"/>
    <n v="8"/>
    <s v="Q3"/>
    <s v="Aug"/>
    <s v="2014-08"/>
    <s v="N/A"/>
    <s v="Production       "/>
    <n v="15.384615384615385"/>
    <n v="0"/>
    <s v="Medium"/>
  </r>
  <r>
    <s v="Chace, Beatrice "/>
    <n v="10067"/>
    <n v="0"/>
    <n v="0"/>
    <n v="0"/>
    <n v="1"/>
    <n v="5"/>
    <x v="1"/>
    <n v="0"/>
    <x v="41"/>
    <n v="0"/>
    <n v="19"/>
    <s v="Production Technician I"/>
    <s v="MA"/>
    <n v="2763"/>
    <d v="1951-01-02T00:00:00"/>
    <s v="F"/>
    <s v="Single"/>
    <s v="US Citizen"/>
    <s v="No"/>
    <s v="White"/>
    <d v="2014-09-29T00:00:00"/>
    <m/>
    <s v="N/A-StillEmployed"/>
    <s v="Active"/>
    <x v="0"/>
    <s v="Michael Albert"/>
    <n v="22"/>
    <s v="Google Search"/>
    <x v="1"/>
    <x v="4"/>
    <n v="4"/>
    <n v="0"/>
    <s v="2/12/2019"/>
    <n v="0"/>
    <n v="11"/>
    <s v="Normal"/>
    <s v="low Outlier"/>
    <n v="75"/>
    <n v="11"/>
    <n v="11"/>
    <s v="10+ Years"/>
    <s v="55+"/>
    <s v="Mid (40-70K)"/>
    <n v="1"/>
    <x v="4"/>
    <n v="9"/>
    <s v="Q3"/>
    <s v="Sep"/>
    <s v="2014-09"/>
    <s v="N/A"/>
    <s v="Production       "/>
    <n v="42.105263157894733"/>
    <n v="0"/>
    <s v="Medium"/>
  </r>
  <r>
    <s v="Champaigne, Brian"/>
    <n v="10108"/>
    <n v="1"/>
    <n v="1"/>
    <n v="1"/>
    <n v="1"/>
    <n v="3"/>
    <x v="1"/>
    <n v="0"/>
    <x v="42"/>
    <n v="0"/>
    <n v="5"/>
    <s v="BI Director"/>
    <s v="MA"/>
    <n v="2045"/>
    <d v="1972-02-09T00:00:00"/>
    <s v="M "/>
    <s v="Married"/>
    <s v="US Citizen"/>
    <s v="No"/>
    <s v="White"/>
    <d v="2016-09-06T00:00:00"/>
    <m/>
    <s v="N/A-StillEmployed"/>
    <s v="Active"/>
    <x v="1"/>
    <s v="Jennifer Zamora"/>
    <n v="5"/>
    <s v="Indeed"/>
    <x v="1"/>
    <x v="10"/>
    <n v="5"/>
    <n v="7"/>
    <s v="1/15/2019"/>
    <n v="0"/>
    <n v="8"/>
    <s v="Normal"/>
    <s v="low Outlier"/>
    <n v="54"/>
    <n v="9"/>
    <n v="9"/>
    <s v="5-10 Years"/>
    <s v="46-55"/>
    <s v="Executive (100K+)"/>
    <n v="1"/>
    <x v="7"/>
    <n v="9"/>
    <s v="Q3"/>
    <s v="Sep"/>
    <s v="2016-09"/>
    <s v="N/A"/>
    <s v="Production       "/>
    <n v="16.666666666666664"/>
    <n v="0"/>
    <s v="Medium"/>
  </r>
  <r>
    <s v="Chan, Lin"/>
    <n v="10210"/>
    <n v="0"/>
    <n v="0"/>
    <n v="0"/>
    <n v="1"/>
    <n v="5"/>
    <x v="1"/>
    <n v="0"/>
    <x v="43"/>
    <n v="0"/>
    <n v="19"/>
    <s v="Production Technician I"/>
    <s v="MA"/>
    <n v="2170"/>
    <d v="1979-02-12T00:00:00"/>
    <s v="F"/>
    <s v="Single"/>
    <s v="US Citizen"/>
    <s v="No"/>
    <s v="White"/>
    <d v="2014-05-12T00:00:00"/>
    <m/>
    <s v="N/A-StillEmployed"/>
    <s v="Active"/>
    <x v="0"/>
    <s v="Elijiah Gray"/>
    <n v="16"/>
    <s v="Indeed"/>
    <x v="1"/>
    <x v="22"/>
    <n v="4"/>
    <n v="0"/>
    <s v="2/19/2019"/>
    <n v="0"/>
    <n v="11"/>
    <s v="Normal"/>
    <s v="low Outlier"/>
    <n v="47"/>
    <n v="11"/>
    <n v="11"/>
    <s v="10+ Years"/>
    <s v="46-55"/>
    <s v="Mid (40-70K)"/>
    <n v="1"/>
    <x v="4"/>
    <n v="5"/>
    <s v="Q2"/>
    <s v="May"/>
    <s v="2014-05"/>
    <s v="N/A"/>
    <s v="Production       "/>
    <n v="36.84210526315789"/>
    <n v="0"/>
    <s v="Medium"/>
  </r>
  <r>
    <s v="Chang, Donovan  E"/>
    <n v="10154"/>
    <n v="0"/>
    <n v="0"/>
    <n v="1"/>
    <n v="1"/>
    <n v="5"/>
    <x v="1"/>
    <n v="0"/>
    <x v="44"/>
    <n v="0"/>
    <n v="19"/>
    <s v="Production Technician I"/>
    <s v="MA"/>
    <n v="1845"/>
    <d v="1983-08-24T00:00:00"/>
    <s v="M "/>
    <s v="Single"/>
    <s v="US Citizen"/>
    <s v="No"/>
    <s v="White"/>
    <d v="2013-07-08T00:00:00"/>
    <m/>
    <s v="N/A-StillEmployed"/>
    <s v="Active"/>
    <x v="0"/>
    <s v="Webster Butler"/>
    <m/>
    <s v="LinkedIn"/>
    <x v="1"/>
    <x v="23"/>
    <n v="5"/>
    <n v="0"/>
    <s v="1/14/2019"/>
    <n v="0"/>
    <n v="4"/>
    <s v="Normal"/>
    <s v="low Outlier"/>
    <n v="42"/>
    <n v="12"/>
    <n v="12"/>
    <s v="10+ Years"/>
    <s v="36-45"/>
    <s v="Mid (40-70K)"/>
    <n v="1"/>
    <x v="5"/>
    <n v="7"/>
    <s v="Q3"/>
    <s v="Jul"/>
    <s v="2013-07"/>
    <s v="N/A"/>
    <s v="Production       "/>
    <n v="66.666666666666657"/>
    <n v="0"/>
    <s v="Medium"/>
  </r>
  <r>
    <s v="Chigurh, Anton"/>
    <n v="10200"/>
    <n v="0"/>
    <n v="0"/>
    <n v="1"/>
    <n v="1"/>
    <n v="6"/>
    <x v="1"/>
    <n v="0"/>
    <x v="45"/>
    <n v="0"/>
    <n v="3"/>
    <s v="Area Sales Manager"/>
    <s v="TX"/>
    <n v="78207"/>
    <d v="1970-06-11T00:00:00"/>
    <s v="M "/>
    <s v="Single"/>
    <s v="Eligible NonCitizen"/>
    <s v="No"/>
    <s v="Black or African American"/>
    <d v="2012-05-14T00:00:00"/>
    <m/>
    <s v="N/A-StillEmployed"/>
    <s v="Active"/>
    <x v="4"/>
    <s v="Lynn Daneault"/>
    <n v="21"/>
    <s v="Employee Referral"/>
    <x v="1"/>
    <x v="24"/>
    <n v="5"/>
    <n v="0"/>
    <s v="1/19/2019"/>
    <n v="0"/>
    <n v="17"/>
    <s v="Normal"/>
    <s v="low Outlier"/>
    <n v="55"/>
    <n v="13"/>
    <n v="13"/>
    <s v="10+ Years"/>
    <s v="46-55"/>
    <s v="Mid (40-70K)"/>
    <n v="1"/>
    <x v="3"/>
    <n v="5"/>
    <s v="Q2"/>
    <s v="May"/>
    <s v="2012-05"/>
    <s v="N/A"/>
    <s v="Production       "/>
    <n v="7.6923076923076925"/>
    <n v="0"/>
    <s v="Medium"/>
  </r>
  <r>
    <s v="Chivukula, Enola"/>
    <n v="10240"/>
    <n v="0"/>
    <n v="0"/>
    <n v="0"/>
    <n v="5"/>
    <n v="5"/>
    <x v="1"/>
    <n v="0"/>
    <x v="46"/>
    <n v="1"/>
    <n v="19"/>
    <s v="Production Technician I"/>
    <s v="MA"/>
    <n v="1775"/>
    <d v="1983-08-27T00:00:00"/>
    <s v="F"/>
    <s v="Single"/>
    <s v="US Citizen"/>
    <s v="No"/>
    <s v="White"/>
    <d v="2011-06-27T00:00:00"/>
    <d v="2015-11-15T00:00:00"/>
    <s v="relocation out of area"/>
    <s v="Voluntarily Terminated"/>
    <x v="0"/>
    <s v="Amy Dunn"/>
    <n v="11"/>
    <s v="Indeed"/>
    <x v="1"/>
    <x v="25"/>
    <n v="4"/>
    <n v="0"/>
    <s v="3/10/2015"/>
    <n v="0"/>
    <n v="3"/>
    <s v="Normal"/>
    <s v="low Outlier"/>
    <n v="42"/>
    <n v="14"/>
    <n v="4"/>
    <s v="10+ Years"/>
    <s v="36-45"/>
    <s v="Mid (40-70K)"/>
    <n v="0"/>
    <x v="0"/>
    <n v="6"/>
    <s v="Q2"/>
    <s v="Jun"/>
    <s v="2011-06"/>
    <n v="2015"/>
    <s v="Production       "/>
    <n v="72.222222222222214"/>
    <n v="5"/>
    <s v="Medium"/>
  </r>
  <r>
    <s v="Cierpiszewski, Caroline  "/>
    <n v="10168"/>
    <n v="0"/>
    <n v="0"/>
    <n v="0"/>
    <n v="1"/>
    <n v="5"/>
    <x v="1"/>
    <n v="0"/>
    <x v="47"/>
    <n v="0"/>
    <n v="19"/>
    <s v="Production Technician I"/>
    <s v="MA"/>
    <n v="2044"/>
    <d v="1988-05-31T00:00:00"/>
    <s v="F"/>
    <s v="Single"/>
    <s v="Non-Citizen"/>
    <s v="No"/>
    <s v="Black or African American"/>
    <d v="2011-10-03T00:00:00"/>
    <m/>
    <s v="N/A-StillEmployed"/>
    <s v="Active"/>
    <x v="0"/>
    <s v="Ketsia Liebig"/>
    <n v="19"/>
    <s v="Indeed"/>
    <x v="1"/>
    <x v="26"/>
    <n v="5"/>
    <n v="0"/>
    <s v="1/30/2019"/>
    <n v="0"/>
    <n v="3"/>
    <s v="Normal"/>
    <s v="low Outlier"/>
    <n v="37"/>
    <n v="14"/>
    <n v="14"/>
    <s v="10+ Years"/>
    <s v="36-45"/>
    <s v="Mid (40-70K)"/>
    <n v="1"/>
    <x v="0"/>
    <n v="10"/>
    <s v="Q4"/>
    <s v="Oct"/>
    <s v="2011-10"/>
    <s v="N/A"/>
    <s v="Production       "/>
    <n v="27.777777777777779"/>
    <n v="0"/>
    <s v="Medium"/>
  </r>
  <r>
    <s v="Clayton, Rick"/>
    <n v="10220"/>
    <n v="0"/>
    <n v="0"/>
    <n v="1"/>
    <n v="1"/>
    <n v="3"/>
    <x v="1"/>
    <n v="0"/>
    <x v="48"/>
    <n v="0"/>
    <n v="14"/>
    <s v="IT Support"/>
    <s v="MA"/>
    <n v="2170"/>
    <d v="1985-09-05T00:00:00"/>
    <s v="M "/>
    <s v="Single"/>
    <s v="US Citizen"/>
    <s v="No"/>
    <s v="White"/>
    <d v="2012-09-05T00:00:00"/>
    <m/>
    <s v="N/A-StillEmployed"/>
    <s v="Active"/>
    <x v="1"/>
    <s v="Eric Dougall"/>
    <n v="6"/>
    <s v="Indeed"/>
    <x v="1"/>
    <x v="27"/>
    <n v="3"/>
    <n v="6"/>
    <s v="2/27/2019"/>
    <n v="0"/>
    <n v="2"/>
    <s v="Normal"/>
    <s v="low Outlier"/>
    <n v="40"/>
    <n v="13"/>
    <n v="13"/>
    <s v="10+ Years"/>
    <s v="36-45"/>
    <s v="Mid (40-70K)"/>
    <n v="1"/>
    <x v="3"/>
    <n v="9"/>
    <s v="Q3"/>
    <s v="Sep"/>
    <s v="2012-09"/>
    <s v="N/A"/>
    <s v="Production       "/>
    <n v="0"/>
    <n v="0"/>
    <s v="Medium"/>
  </r>
  <r>
    <s v="Cloninger, Jennifer"/>
    <n v="10275"/>
    <n v="1"/>
    <n v="1"/>
    <n v="0"/>
    <n v="5"/>
    <n v="5"/>
    <x v="1"/>
    <n v="0"/>
    <x v="49"/>
    <n v="1"/>
    <n v="20"/>
    <s v="Production Technician II"/>
    <s v="MA"/>
    <n v="1752"/>
    <d v="1981-08-31T00:00:00"/>
    <s v="F"/>
    <s v="Married"/>
    <s v="US Citizen"/>
    <s v="No"/>
    <s v="White"/>
    <d v="2011-05-16T00:00:00"/>
    <d v="2013-01-07T00:00:00"/>
    <s v="unhappy"/>
    <s v="Voluntarily Terminated"/>
    <x v="0"/>
    <s v="Brannon Miller"/>
    <n v="12"/>
    <s v="Google Search"/>
    <x v="1"/>
    <x v="7"/>
    <n v="5"/>
    <n v="0"/>
    <s v="5/3/2012"/>
    <n v="0"/>
    <n v="9"/>
    <s v="Normal"/>
    <s v="low Outlier"/>
    <n v="44"/>
    <n v="14"/>
    <n v="1"/>
    <s v="10+ Years"/>
    <s v="36-45"/>
    <s v="Mid (40-70K)"/>
    <n v="0"/>
    <x v="0"/>
    <n v="5"/>
    <s v="Q2"/>
    <s v="May"/>
    <s v="2011-05"/>
    <n v="2013"/>
    <s v="Production       "/>
    <n v="30"/>
    <n v="13"/>
    <s v="Medium"/>
  </r>
  <r>
    <s v="Close, Phil"/>
    <n v="10269"/>
    <n v="1"/>
    <n v="1"/>
    <n v="1"/>
    <n v="5"/>
    <n v="5"/>
    <x v="1"/>
    <n v="0"/>
    <x v="50"/>
    <n v="1"/>
    <n v="20"/>
    <s v="Production Technician II"/>
    <s v="MA"/>
    <n v="2169"/>
    <d v="1978-11-25T00:00:00"/>
    <s v="M "/>
    <s v="Married"/>
    <s v="US Citizen"/>
    <s v="No"/>
    <s v="White"/>
    <d v="2010-08-30T00:00:00"/>
    <d v="2011-09-26T00:00:00"/>
    <s v="career change"/>
    <s v="Voluntarily Terminated"/>
    <x v="0"/>
    <s v="David Stanley"/>
    <n v="14"/>
    <s v="Indeed"/>
    <x v="1"/>
    <x v="7"/>
    <n v="4"/>
    <n v="0"/>
    <s v="5/4/2011"/>
    <n v="0"/>
    <n v="6"/>
    <s v="Normal"/>
    <s v="low Outlier"/>
    <n v="47"/>
    <n v="15"/>
    <n v="1"/>
    <s v="10+ Years"/>
    <s v="46-55"/>
    <s v="Mid (40-70K)"/>
    <n v="0"/>
    <x v="8"/>
    <n v="8"/>
    <s v="Q3"/>
    <s v="Aug"/>
    <s v="2010-08"/>
    <n v="2011"/>
    <s v="Production       "/>
    <n v="21.052631578947366"/>
    <n v="7"/>
    <s v="Medium"/>
  </r>
  <r>
    <s v="Clukey, Elijian"/>
    <n v="10029"/>
    <n v="1"/>
    <n v="1"/>
    <n v="1"/>
    <n v="2"/>
    <n v="5"/>
    <x v="0"/>
    <n v="0"/>
    <x v="51"/>
    <n v="0"/>
    <n v="19"/>
    <s v="Production Technician I"/>
    <s v="MA"/>
    <n v="2134"/>
    <d v="1980-08-26T00:00:00"/>
    <s v="M "/>
    <s v="Married"/>
    <s v="US Citizen"/>
    <s v="No"/>
    <s v="White"/>
    <d v="2016-07-06T00:00:00"/>
    <m/>
    <s v="N/A-StillEmployed"/>
    <s v="Active"/>
    <x v="0"/>
    <s v="Brannon Miller"/>
    <n v="12"/>
    <s v="Employee Referral"/>
    <x v="0"/>
    <x v="28"/>
    <n v="4"/>
    <n v="0"/>
    <s v="2/28/2019"/>
    <n v="0"/>
    <n v="5"/>
    <s v="Normal"/>
    <s v="low Outlier"/>
    <n v="45"/>
    <n v="9"/>
    <n v="9"/>
    <s v="5-10 Years"/>
    <s v="36-45"/>
    <s v="Mid (40-70K)"/>
    <n v="1"/>
    <x v="7"/>
    <n v="7"/>
    <s v="Q3"/>
    <s v="Jul"/>
    <s v="2016-07"/>
    <s v="N/A"/>
    <s v="Production       "/>
    <n v="26.315789473684209"/>
    <n v="0"/>
    <s v="Low"/>
  </r>
  <r>
    <s v="Cockel, James"/>
    <n v="10261"/>
    <n v="0"/>
    <n v="0"/>
    <n v="1"/>
    <n v="1"/>
    <n v="5"/>
    <x v="1"/>
    <n v="0"/>
    <x v="52"/>
    <n v="0"/>
    <n v="19"/>
    <s v="Production Technician I"/>
    <s v="MA"/>
    <n v="2452"/>
    <d v="1977-09-08T00:00:00"/>
    <s v="M "/>
    <s v="Single"/>
    <s v="US Citizen"/>
    <s v="No"/>
    <s v="White"/>
    <d v="2013-07-08T00:00:00"/>
    <m/>
    <s v="N/A-StillEmployed"/>
    <s v="Active"/>
    <x v="0"/>
    <s v="David Stanley"/>
    <n v="14"/>
    <s v="Employee Referral"/>
    <x v="1"/>
    <x v="9"/>
    <n v="5"/>
    <n v="0"/>
    <s v="1/14/2019"/>
    <n v="0"/>
    <n v="3"/>
    <s v="Normal"/>
    <s v="low Outlier"/>
    <n v="48"/>
    <n v="12"/>
    <n v="12"/>
    <s v="10+ Years"/>
    <s v="46-55"/>
    <s v="Mid (40-70K)"/>
    <n v="1"/>
    <x v="5"/>
    <n v="7"/>
    <s v="Q3"/>
    <s v="Jul"/>
    <s v="2013-07"/>
    <s v="N/A"/>
    <s v="Production       "/>
    <n v="16.666666666666664"/>
    <n v="0"/>
    <s v="Medium"/>
  </r>
  <r>
    <s v="Cole, Spencer"/>
    <n v="10292"/>
    <n v="0"/>
    <n v="0"/>
    <n v="1"/>
    <n v="4"/>
    <n v="5"/>
    <x v="2"/>
    <n v="0"/>
    <x v="53"/>
    <n v="1"/>
    <n v="19"/>
    <s v="Production Technician I"/>
    <s v="MA"/>
    <n v="1880"/>
    <d v="1979-08-12T00:00:00"/>
    <s v="M "/>
    <s v="Single"/>
    <s v="US Citizen"/>
    <s v="No"/>
    <s v="Black or African American"/>
    <d v="2011-07-11T00:00:00"/>
    <d v="2016-09-23T00:00:00"/>
    <s v="performance"/>
    <s v="Terminated for Cause"/>
    <x v="0"/>
    <s v="Kissy Sullivan"/>
    <n v="20"/>
    <s v="LinkedIn"/>
    <x v="2"/>
    <x v="11"/>
    <n v="3"/>
    <n v="0"/>
    <s v="5/1/2016"/>
    <n v="5"/>
    <n v="16"/>
    <s v="Normal"/>
    <s v="low Outlier"/>
    <n v="46"/>
    <n v="14"/>
    <n v="5"/>
    <s v="10+ Years"/>
    <s v="46-55"/>
    <s v="Mid (40-70K)"/>
    <n v="0"/>
    <x v="0"/>
    <n v="7"/>
    <s v="Q3"/>
    <s v="Jul"/>
    <s v="2011-07"/>
    <n v="2016"/>
    <s v="Production       "/>
    <n v="52.631578947368418"/>
    <n v="3"/>
    <s v="High"/>
  </r>
  <r>
    <s v="Corleone, Michael"/>
    <n v="10282"/>
    <n v="0"/>
    <n v="2"/>
    <n v="1"/>
    <n v="1"/>
    <n v="5"/>
    <x v="2"/>
    <n v="0"/>
    <x v="54"/>
    <n v="0"/>
    <n v="18"/>
    <s v="Production Manager"/>
    <s v="MA"/>
    <n v="1803"/>
    <d v="1975-12-17T00:00:00"/>
    <s v="M "/>
    <s v="Divorced"/>
    <s v="US Citizen"/>
    <s v="No"/>
    <s v="White"/>
    <d v="2010-07-20T00:00:00"/>
    <m/>
    <s v="N/A-StillEmployed"/>
    <s v="Active"/>
    <x v="0"/>
    <s v="Janet King"/>
    <n v="2"/>
    <s v="CareerBuilder"/>
    <x v="2"/>
    <x v="29"/>
    <n v="2"/>
    <n v="0"/>
    <s v="1/14/2019"/>
    <n v="3"/>
    <n v="3"/>
    <s v="Normal"/>
    <s v="low Outlier"/>
    <n v="50"/>
    <n v="15"/>
    <n v="15"/>
    <s v="10+ Years"/>
    <s v="46-55"/>
    <s v="Mid (40-70K)"/>
    <n v="1"/>
    <x v="8"/>
    <n v="7"/>
    <s v="Q3"/>
    <s v="Jul"/>
    <s v="2010-07"/>
    <s v="N/A"/>
    <s v="Production       "/>
    <n v="29.411764705882355"/>
    <n v="0"/>
    <s v="High"/>
  </r>
  <r>
    <s v="Corleone, Vito"/>
    <n v="10019"/>
    <n v="0"/>
    <n v="0"/>
    <n v="1"/>
    <n v="1"/>
    <n v="5"/>
    <x v="0"/>
    <n v="0"/>
    <x v="55"/>
    <n v="0"/>
    <n v="10"/>
    <s v="Director of Operations"/>
    <s v="MA"/>
    <n v="2030"/>
    <d v="1983-03-19T00:00:00"/>
    <s v="M "/>
    <s v="Single"/>
    <s v="US Citizen"/>
    <s v="No"/>
    <s v="Black or African American"/>
    <d v="2009-01-05T00:00:00"/>
    <m/>
    <s v="N/A-StillEmployed"/>
    <s v="Active"/>
    <x v="0"/>
    <s v="Janet King"/>
    <n v="2"/>
    <s v="Indeed"/>
    <x v="0"/>
    <x v="30"/>
    <n v="5"/>
    <n v="0"/>
    <s v="2/4/2019"/>
    <n v="0"/>
    <n v="15"/>
    <s v=" high Outlier"/>
    <s v="low Outlier"/>
    <n v="43"/>
    <n v="17"/>
    <n v="17"/>
    <s v="10+ Years"/>
    <s v="36-45"/>
    <s v="Executive (100K+)"/>
    <n v="1"/>
    <x v="6"/>
    <n v="1"/>
    <s v="Q1"/>
    <s v="Jan"/>
    <s v="2009-01"/>
    <s v="N/A"/>
    <s v="Production       "/>
    <n v="31.25"/>
    <n v="0"/>
    <s v="Medium"/>
  </r>
  <r>
    <s v="Cornett, Lisa "/>
    <n v="10094"/>
    <n v="1"/>
    <n v="1"/>
    <n v="0"/>
    <n v="1"/>
    <n v="5"/>
    <x v="1"/>
    <n v="0"/>
    <x v="56"/>
    <n v="0"/>
    <n v="19"/>
    <s v="Production Technician I"/>
    <s v="MA"/>
    <n v="2189"/>
    <d v="1977-03-31T00:00:00"/>
    <s v="F"/>
    <s v="Married"/>
    <s v="US Citizen"/>
    <s v="Yes"/>
    <s v="White"/>
    <d v="2015-01-05T00:00:00"/>
    <m/>
    <s v="N/A-StillEmployed"/>
    <s v="Active"/>
    <x v="0"/>
    <s v="Kelley Spirea"/>
    <n v="18"/>
    <s v="Indeed"/>
    <x v="1"/>
    <x v="31"/>
    <n v="5"/>
    <n v="0"/>
    <s v="2/14/2019"/>
    <n v="0"/>
    <n v="6"/>
    <s v="Normal"/>
    <s v="low Outlier"/>
    <n v="49"/>
    <n v="11"/>
    <n v="11"/>
    <s v="10+ Years"/>
    <s v="46-55"/>
    <s v="Mid (40-70K)"/>
    <n v="1"/>
    <x v="1"/>
    <n v="1"/>
    <s v="Q1"/>
    <s v="Jan"/>
    <s v="2015-01"/>
    <s v="N/A"/>
    <s v="Production       "/>
    <n v="27.777777777777779"/>
    <n v="0"/>
    <s v="Medium"/>
  </r>
  <r>
    <s v="Costello, Frank"/>
    <n v="10193"/>
    <n v="1"/>
    <n v="1"/>
    <n v="1"/>
    <n v="1"/>
    <n v="3"/>
    <x v="1"/>
    <n v="0"/>
    <x v="57"/>
    <n v="0"/>
    <n v="9"/>
    <s v="Data Analyst"/>
    <s v="MA"/>
    <n v="1810"/>
    <d v="1986-08-26T00:00:00"/>
    <s v="M "/>
    <s v="Married"/>
    <s v="US Citizen"/>
    <s v="No"/>
    <s v="White"/>
    <d v="2015-03-30T00:00:00"/>
    <m/>
    <s v="N/A-StillEmployed"/>
    <s v="Active"/>
    <x v="1"/>
    <s v="Simon Roup"/>
    <n v="4"/>
    <s v="Indeed"/>
    <x v="1"/>
    <x v="5"/>
    <n v="3"/>
    <n v="6"/>
    <s v="1/22/2019"/>
    <n v="0"/>
    <n v="2"/>
    <s v="Normal"/>
    <s v="low Outlier"/>
    <n v="39"/>
    <n v="11"/>
    <n v="11"/>
    <s v="10+ Years"/>
    <s v="36-45"/>
    <s v="Senior (70-100K)"/>
    <n v="1"/>
    <x v="1"/>
    <n v="3"/>
    <s v="Q1"/>
    <s v="Mar"/>
    <s v="2015-03"/>
    <s v="N/A"/>
    <s v="Production       "/>
    <n v="41.666666666666671"/>
    <n v="0"/>
    <s v="Medium"/>
  </r>
  <r>
    <s v="Crimmings,   Jean"/>
    <n v="10132"/>
    <n v="0"/>
    <n v="0"/>
    <n v="0"/>
    <n v="2"/>
    <n v="5"/>
    <x v="1"/>
    <n v="0"/>
    <x v="58"/>
    <n v="0"/>
    <n v="19"/>
    <s v="Production Technician I"/>
    <s v="MA"/>
    <n v="1821"/>
    <d v="1987-04-10T00:00:00"/>
    <s v="F"/>
    <s v="Single"/>
    <s v="US Citizen"/>
    <s v="No"/>
    <s v="White"/>
    <d v="2016-07-06T00:00:00"/>
    <m/>
    <s v="N/A-StillEmployed"/>
    <s v="Active"/>
    <x v="0"/>
    <s v="Michael Albert"/>
    <n v="22"/>
    <s v="LinkedIn"/>
    <x v="1"/>
    <x v="32"/>
    <n v="5"/>
    <n v="0"/>
    <s v="1/28/2019"/>
    <n v="0"/>
    <n v="15"/>
    <s v="Normal"/>
    <s v="low Outlier"/>
    <n v="38"/>
    <n v="9"/>
    <n v="9"/>
    <s v="5-10 Years"/>
    <s v="36-45"/>
    <s v="Mid (40-70K)"/>
    <n v="1"/>
    <x v="7"/>
    <n v="7"/>
    <s v="Q3"/>
    <s v="Jul"/>
    <s v="2016-07"/>
    <s v="N/A"/>
    <s v="Production       "/>
    <n v="44.444444444444443"/>
    <n v="0"/>
    <s v="Medium"/>
  </r>
  <r>
    <s v="Cross, Noah"/>
    <n v="10083"/>
    <n v="0"/>
    <n v="0"/>
    <n v="1"/>
    <n v="1"/>
    <n v="3"/>
    <x v="1"/>
    <n v="0"/>
    <x v="59"/>
    <n v="0"/>
    <n v="28"/>
    <s v="Sr. Network Engineer"/>
    <s v="CT"/>
    <n v="6278"/>
    <d v="1965-09-09T00:00:00"/>
    <s v="M "/>
    <s v="Single"/>
    <s v="US Citizen"/>
    <s v="No"/>
    <s v="White"/>
    <d v="2014-11-10T00:00:00"/>
    <m/>
    <s v="N/A-StillEmployed"/>
    <s v="Active"/>
    <x v="1"/>
    <s v="Peter Monroe"/>
    <n v="7"/>
    <s v="Employee Referral"/>
    <x v="1"/>
    <x v="4"/>
    <n v="3"/>
    <n v="4"/>
    <s v="1/2/2019"/>
    <n v="0"/>
    <n v="5"/>
    <s v="Normal"/>
    <s v="low Outlier"/>
    <n v="60"/>
    <n v="11"/>
    <n v="11"/>
    <s v="10+ Years"/>
    <s v="55+"/>
    <s v="Senior (70-100K)"/>
    <n v="1"/>
    <x v="4"/>
    <n v="11"/>
    <s v="Q4"/>
    <s v="Nov"/>
    <s v="2014-11"/>
    <s v="N/A"/>
    <s v="Production       "/>
    <n v="7.6923076923076925"/>
    <n v="0"/>
    <s v="Medium"/>
  </r>
  <r>
    <s v="Daneault, Lynn"/>
    <n v="10099"/>
    <n v="0"/>
    <n v="0"/>
    <n v="0"/>
    <n v="1"/>
    <n v="6"/>
    <x v="1"/>
    <n v="0"/>
    <x v="60"/>
    <n v="0"/>
    <n v="21"/>
    <s v="Sales Manager"/>
    <s v="VT"/>
    <n v="5473"/>
    <d v="1990-04-19T00:00:00"/>
    <s v="F"/>
    <s v="Single"/>
    <s v="US Citizen"/>
    <s v="No"/>
    <s v="White"/>
    <d v="2014-05-05T00:00:00"/>
    <m/>
    <s v="N/A-StillEmployed"/>
    <s v="Active"/>
    <x v="4"/>
    <s v="Debra Houlihan"/>
    <n v="15"/>
    <s v="Indeed"/>
    <x v="1"/>
    <x v="33"/>
    <n v="4"/>
    <n v="0"/>
    <s v="1/24/2019"/>
    <n v="0"/>
    <n v="8"/>
    <s v="Normal"/>
    <s v="low Outlier"/>
    <n v="35"/>
    <n v="11"/>
    <n v="11"/>
    <s v="10+ Years"/>
    <s v="26-35"/>
    <s v="Mid (40-70K)"/>
    <n v="1"/>
    <x v="4"/>
    <n v="5"/>
    <s v="Q2"/>
    <s v="May"/>
    <s v="2014-05"/>
    <s v="N/A"/>
    <s v="Production       "/>
    <n v="33.333333333333329"/>
    <n v="0"/>
    <s v="Medium"/>
  </r>
  <r>
    <s v="Daniele, Ann  "/>
    <n v="10212"/>
    <n v="1"/>
    <n v="1"/>
    <n v="0"/>
    <n v="3"/>
    <n v="3"/>
    <x v="1"/>
    <n v="0"/>
    <x v="61"/>
    <n v="0"/>
    <n v="28"/>
    <s v="Sr. Network Engineer"/>
    <s v="CT"/>
    <n v="6033"/>
    <d v="1952-01-18T00:00:00"/>
    <s v="F"/>
    <s v="Married"/>
    <s v="US Citizen"/>
    <s v="No"/>
    <s v="White"/>
    <d v="2014-11-10T00:00:00"/>
    <m/>
    <s v="N/A-StillEmployed"/>
    <s v="Active"/>
    <x v="1"/>
    <s v="Peter Monroe"/>
    <n v="7"/>
    <s v="LinkedIn"/>
    <x v="1"/>
    <x v="34"/>
    <n v="5"/>
    <n v="8"/>
    <s v="2/12/2019"/>
    <n v="0"/>
    <n v="19"/>
    <s v="Normal"/>
    <s v="low Outlier"/>
    <n v="74"/>
    <n v="11"/>
    <n v="11"/>
    <s v="10+ Years"/>
    <s v="55+"/>
    <s v="Senior (70-100K)"/>
    <n v="1"/>
    <x v="4"/>
    <n v="11"/>
    <s v="Q4"/>
    <s v="Nov"/>
    <s v="2014-11"/>
    <s v="N/A"/>
    <s v="Production       "/>
    <n v="8.3333333333333321"/>
    <n v="0"/>
    <s v="Medium"/>
  </r>
  <r>
    <s v="Darson, Jene'ya "/>
    <n v="10056"/>
    <n v="1"/>
    <n v="1"/>
    <n v="0"/>
    <n v="1"/>
    <n v="5"/>
    <x v="1"/>
    <n v="0"/>
    <x v="62"/>
    <n v="0"/>
    <n v="19"/>
    <s v="Production Technician I"/>
    <s v="MA"/>
    <n v="2110"/>
    <d v="1978-11-05T00:00:00"/>
    <s v="F"/>
    <s v="Married"/>
    <s v="US Citizen"/>
    <s v="No"/>
    <s v="White"/>
    <d v="2012-07-02T00:00:00"/>
    <m/>
    <s v="N/A-StillEmployed"/>
    <s v="Active"/>
    <x v="0"/>
    <s v="Elijiah Gray"/>
    <n v="16"/>
    <s v="Indeed"/>
    <x v="1"/>
    <x v="4"/>
    <n v="3"/>
    <n v="0"/>
    <s v="2/25/2019"/>
    <n v="0"/>
    <n v="1"/>
    <s v="Normal"/>
    <s v="low Outlier"/>
    <n v="47"/>
    <n v="13"/>
    <n v="13"/>
    <s v="10+ Years"/>
    <s v="46-55"/>
    <s v="Mid (40-70K)"/>
    <n v="1"/>
    <x v="3"/>
    <n v="7"/>
    <s v="Q3"/>
    <s v="Jul"/>
    <s v="2012-07"/>
    <s v="N/A"/>
    <s v="Production       "/>
    <n v="38.888888888888893"/>
    <n v="0"/>
    <s v="Medium"/>
  </r>
  <r>
    <s v="Davis, Daniel"/>
    <n v="10143"/>
    <n v="0"/>
    <n v="0"/>
    <n v="1"/>
    <n v="1"/>
    <n v="5"/>
    <x v="1"/>
    <n v="0"/>
    <x v="63"/>
    <n v="0"/>
    <n v="20"/>
    <s v="Production Technician II"/>
    <s v="MA"/>
    <n v="2458"/>
    <d v="1979-09-14T00:00:00"/>
    <s v="M "/>
    <s v="Single"/>
    <s v="Eligible NonCitizen"/>
    <s v="No"/>
    <s v="Two or more races"/>
    <d v="2011-11-07T00:00:00"/>
    <m/>
    <s v="N/A-StillEmployed"/>
    <s v="Active"/>
    <x v="0"/>
    <s v="Kissy Sullivan"/>
    <n v="20"/>
    <s v="LinkedIn"/>
    <x v="1"/>
    <x v="35"/>
    <n v="4"/>
    <n v="0"/>
    <s v="2/27/2019"/>
    <n v="0"/>
    <n v="6"/>
    <s v="Normal"/>
    <s v="low Outlier"/>
    <n v="46"/>
    <n v="14"/>
    <n v="14"/>
    <s v="10+ Years"/>
    <s v="46-55"/>
    <s v="Mid (40-70K)"/>
    <n v="1"/>
    <x v="0"/>
    <n v="11"/>
    <s v="Q4"/>
    <s v="Nov"/>
    <s v="2011-11"/>
    <s v="N/A"/>
    <s v="Production       "/>
    <n v="50"/>
    <n v="0"/>
    <s v="Medium"/>
  </r>
  <r>
    <s v="Dee, Randy"/>
    <n v="10311"/>
    <n v="1"/>
    <n v="1"/>
    <n v="1"/>
    <n v="1"/>
    <n v="6"/>
    <x v="3"/>
    <n v="0"/>
    <x v="64"/>
    <n v="0"/>
    <n v="19"/>
    <s v="Production Technician I"/>
    <s v="MA"/>
    <n v="2138"/>
    <d v="1988-04-15T00:00:00"/>
    <s v="M "/>
    <s v="Married"/>
    <s v="US Citizen"/>
    <s v="No"/>
    <s v="White"/>
    <d v="2018-07-09T00:00:00"/>
    <m/>
    <s v="N/A-StillEmployed"/>
    <s v="Active"/>
    <x v="0"/>
    <s v="Brannon Miller"/>
    <n v="12"/>
    <s v="Indeed"/>
    <x v="1"/>
    <x v="25"/>
    <n v="4"/>
    <n v="3"/>
    <s v="1/31/2019"/>
    <n v="2"/>
    <n v="2"/>
    <s v="Normal"/>
    <s v="low Outlier"/>
    <n v="37"/>
    <n v="7"/>
    <n v="7"/>
    <s v="5-10 Years"/>
    <s v="36-45"/>
    <s v="Mid (40-70K)"/>
    <n v="1"/>
    <x v="9"/>
    <n v="7"/>
    <s v="Q3"/>
    <s v="Jul"/>
    <s v="2018-07"/>
    <s v="N/A"/>
    <s v="Production       "/>
    <n v="27.777777777777779"/>
    <n v="0"/>
    <s v="Medium"/>
  </r>
  <r>
    <s v="DeGweck,  James"/>
    <n v="10070"/>
    <n v="1"/>
    <n v="1"/>
    <n v="1"/>
    <n v="5"/>
    <n v="5"/>
    <x v="1"/>
    <n v="0"/>
    <x v="65"/>
    <n v="1"/>
    <n v="19"/>
    <s v="Production Technician I"/>
    <s v="MA"/>
    <n v="1810"/>
    <d v="1977-10-31T00:00:00"/>
    <s v="M "/>
    <s v="Married"/>
    <s v="US Citizen"/>
    <s v="No"/>
    <s v="White"/>
    <d v="2011-05-16T00:00:00"/>
    <d v="2016-06-08T00:00:00"/>
    <s v="unhappy"/>
    <s v="Voluntarily Terminated"/>
    <x v="0"/>
    <s v="Webster Butler"/>
    <n v="39"/>
    <s v="Indeed"/>
    <x v="1"/>
    <x v="4"/>
    <n v="4"/>
    <n v="0"/>
    <s v="4/2/2016"/>
    <n v="0"/>
    <n v="14"/>
    <s v="Normal"/>
    <s v="low Outlier"/>
    <n v="48"/>
    <n v="14"/>
    <n v="5"/>
    <s v="10+ Years"/>
    <s v="46-55"/>
    <s v="Mid (40-70K)"/>
    <n v="0"/>
    <x v="0"/>
    <n v="5"/>
    <s v="Q2"/>
    <s v="May"/>
    <s v="2011-05"/>
    <n v="2016"/>
    <s v="Production       "/>
    <n v="70.588235294117652"/>
    <n v="12"/>
    <s v="Medium"/>
  </r>
  <r>
    <s v="Del Bosque, Keyla"/>
    <n v="10155"/>
    <n v="0"/>
    <n v="0"/>
    <n v="0"/>
    <n v="1"/>
    <n v="4"/>
    <x v="1"/>
    <n v="0"/>
    <x v="66"/>
    <n v="0"/>
    <n v="24"/>
    <s v="Software Engineer"/>
    <s v="MA"/>
    <n v="2176"/>
    <d v="1979-07-05T00:00:00"/>
    <s v="F"/>
    <s v="Single"/>
    <s v="US Citizen"/>
    <s v="No"/>
    <s v="Black or African American"/>
    <d v="2012-01-09T00:00:00"/>
    <m/>
    <s v="N/A-StillEmployed"/>
    <s v="Active"/>
    <x v="2"/>
    <s v="Alex Sweetwater"/>
    <n v="10"/>
    <s v="CareerBuilder"/>
    <x v="1"/>
    <x v="36"/>
    <n v="5"/>
    <n v="5"/>
    <s v="1/25/2019"/>
    <n v="0"/>
    <n v="8"/>
    <s v="Normal"/>
    <s v="low Outlier"/>
    <n v="46"/>
    <n v="14"/>
    <n v="14"/>
    <s v="10+ Years"/>
    <s v="46-55"/>
    <s v="Executive (100K+)"/>
    <n v="1"/>
    <x v="3"/>
    <n v="1"/>
    <s v="Q1"/>
    <s v="Jan"/>
    <s v="2012-01"/>
    <s v="N/A"/>
    <s v="Production       "/>
    <n v="42.857142857142854"/>
    <n v="0"/>
    <s v="Medium"/>
  </r>
  <r>
    <s v="Delarge, Alex"/>
    <n v="10306"/>
    <n v="0"/>
    <n v="0"/>
    <n v="1"/>
    <n v="1"/>
    <n v="6"/>
    <x v="3"/>
    <n v="0"/>
    <x v="67"/>
    <n v="0"/>
    <n v="3"/>
    <s v="Area Sales Manager"/>
    <s v="AL"/>
    <n v="36006"/>
    <d v="1975-11-02T00:00:00"/>
    <s v="M "/>
    <s v="Single"/>
    <s v="US Citizen"/>
    <s v="No"/>
    <s v="Two or more races"/>
    <d v="2014-09-29T00:00:00"/>
    <m/>
    <s v="N/A-StillEmployed"/>
    <s v="Active"/>
    <x v="4"/>
    <s v="John Smith"/>
    <n v="17"/>
    <s v="Indeed"/>
    <x v="3"/>
    <x v="37"/>
    <n v="3"/>
    <n v="0"/>
    <s v="1/30/2019"/>
    <n v="6"/>
    <n v="5"/>
    <s v="Normal"/>
    <s v="low Outlier"/>
    <n v="50"/>
    <n v="11"/>
    <n v="11"/>
    <s v="10+ Years"/>
    <s v="46-55"/>
    <s v="Mid (40-70K)"/>
    <n v="1"/>
    <x v="4"/>
    <n v="9"/>
    <s v="Q3"/>
    <s v="Sep"/>
    <s v="2014-09"/>
    <s v="N/A"/>
    <s v="Production       "/>
    <n v="16.666666666666664"/>
    <n v="0"/>
    <s v="High"/>
  </r>
  <r>
    <s v="Demita, Carla"/>
    <n v="10100"/>
    <n v="0"/>
    <n v="3"/>
    <n v="0"/>
    <n v="5"/>
    <n v="5"/>
    <x v="1"/>
    <n v="0"/>
    <x v="68"/>
    <n v="1"/>
    <n v="20"/>
    <s v="Production Technician II"/>
    <s v="MA"/>
    <n v="2343"/>
    <d v="1951-02-25T00:00:00"/>
    <s v="F"/>
    <s v="Separated"/>
    <s v="US Citizen"/>
    <s v="No"/>
    <s v="Black or African American"/>
    <d v="2011-04-04T00:00:00"/>
    <d v="2015-11-04T00:00:00"/>
    <s v="more money"/>
    <s v="Voluntarily Terminated"/>
    <x v="0"/>
    <s v="Kelley Spirea"/>
    <n v="18"/>
    <s v="Google Search"/>
    <x v="1"/>
    <x v="33"/>
    <n v="5"/>
    <n v="0"/>
    <s v="5/6/2015"/>
    <n v="0"/>
    <n v="1"/>
    <s v="Normal"/>
    <s v="low Outlier"/>
    <n v="75"/>
    <n v="14"/>
    <n v="4"/>
    <s v="10+ Years"/>
    <s v="55+"/>
    <s v="Mid (40-70K)"/>
    <n v="0"/>
    <x v="0"/>
    <n v="4"/>
    <s v="Q2"/>
    <s v="Apr"/>
    <s v="2011-04"/>
    <n v="2015"/>
    <s v="Production       "/>
    <n v="29.411764705882355"/>
    <n v="11"/>
    <s v="Medium"/>
  </r>
  <r>
    <s v="Desimone, Carl "/>
    <n v="10310"/>
    <n v="1"/>
    <n v="1"/>
    <n v="1"/>
    <n v="1"/>
    <n v="5"/>
    <x v="3"/>
    <n v="0"/>
    <x v="69"/>
    <n v="0"/>
    <n v="19"/>
    <s v="Production Technician I"/>
    <s v="MA"/>
    <n v="2061"/>
    <d v="1967-04-19T00:00:00"/>
    <s v="M "/>
    <s v="Married"/>
    <s v="US Citizen"/>
    <s v="No"/>
    <s v="White"/>
    <d v="2014-07-07T00:00:00"/>
    <m/>
    <s v="N/A-StillEmployed"/>
    <s v="Active"/>
    <x v="0"/>
    <s v="Amy Dunn"/>
    <n v="11"/>
    <s v="Indeed"/>
    <x v="3"/>
    <x v="38"/>
    <n v="2"/>
    <n v="0"/>
    <s v="1/31/2019"/>
    <n v="4"/>
    <n v="9"/>
    <s v="Normal"/>
    <s v="low Outlier"/>
    <n v="58"/>
    <n v="11"/>
    <n v="11"/>
    <s v="10+ Years"/>
    <s v="55+"/>
    <s v="Mid (40-70K)"/>
    <n v="1"/>
    <x v="4"/>
    <n v="7"/>
    <s v="Q3"/>
    <s v="Jul"/>
    <s v="2014-07"/>
    <s v="N/A"/>
    <s v="Production       "/>
    <n v="70.588235294117652"/>
    <n v="0"/>
    <s v="High"/>
  </r>
  <r>
    <s v="DeVito, Tommy"/>
    <n v="10197"/>
    <n v="0"/>
    <n v="0"/>
    <n v="1"/>
    <n v="1"/>
    <n v="3"/>
    <x v="1"/>
    <n v="0"/>
    <x v="70"/>
    <n v="0"/>
    <n v="4"/>
    <s v="BI Developer"/>
    <s v="MA"/>
    <n v="2045"/>
    <d v="1983-09-04T00:00:00"/>
    <s v="M "/>
    <s v="Single"/>
    <s v="US Citizen"/>
    <s v="No"/>
    <s v="White"/>
    <d v="2017-02-15T00:00:00"/>
    <m/>
    <s v="N/A-StillEmployed"/>
    <s v="Active"/>
    <x v="1"/>
    <s v="Brian Champaigne"/>
    <n v="13"/>
    <s v="Indeed"/>
    <x v="1"/>
    <x v="39"/>
    <n v="5"/>
    <n v="7"/>
    <s v="1/23/2019"/>
    <n v="0"/>
    <n v="15"/>
    <s v="Normal"/>
    <s v="low Outlier"/>
    <n v="42"/>
    <n v="9"/>
    <n v="9"/>
    <s v="5-10 Years"/>
    <s v="36-45"/>
    <s v="Senior (70-100K)"/>
    <n v="1"/>
    <x v="10"/>
    <n v="2"/>
    <s v="Q1"/>
    <s v="Feb"/>
    <s v="2017-02"/>
    <s v="N/A"/>
    <s v="Production       "/>
    <n v="0"/>
    <n v="0"/>
    <s v="Medium"/>
  </r>
  <r>
    <s v="Dickinson, Geoff "/>
    <n v="10276"/>
    <n v="0"/>
    <n v="0"/>
    <n v="1"/>
    <n v="1"/>
    <n v="5"/>
    <x v="1"/>
    <n v="0"/>
    <x v="71"/>
    <n v="0"/>
    <n v="19"/>
    <s v="Production Technician I"/>
    <s v="MA"/>
    <n v="2180"/>
    <d v="1982-11-15T00:00:00"/>
    <s v="M "/>
    <s v="Single"/>
    <s v="US Citizen"/>
    <s v="No"/>
    <s v="White"/>
    <d v="2014-05-12T00:00:00"/>
    <m/>
    <s v="N/A-StillEmployed"/>
    <s v="Active"/>
    <x v="0"/>
    <s v="Ketsia Liebig"/>
    <n v="19"/>
    <s v="Indeed"/>
    <x v="1"/>
    <x v="25"/>
    <n v="4"/>
    <n v="0"/>
    <s v="2/19/2019"/>
    <n v="0"/>
    <n v="1"/>
    <s v="Normal"/>
    <s v="low Outlier"/>
    <n v="43"/>
    <n v="11"/>
    <n v="11"/>
    <s v="10+ Years"/>
    <s v="36-45"/>
    <s v="Mid (40-70K)"/>
    <n v="1"/>
    <x v="4"/>
    <n v="5"/>
    <s v="Q2"/>
    <s v="May"/>
    <s v="2014-05"/>
    <s v="N/A"/>
    <s v="Production       "/>
    <n v="29.411764705882355"/>
    <n v="0"/>
    <s v="Medium"/>
  </r>
  <r>
    <s v="Dietrich, Jenna  "/>
    <n v="10304"/>
    <n v="0"/>
    <n v="0"/>
    <n v="0"/>
    <n v="1"/>
    <n v="6"/>
    <x v="3"/>
    <n v="0"/>
    <x v="72"/>
    <n v="0"/>
    <n v="3"/>
    <s v="Area Sales Manager"/>
    <s v="WA"/>
    <n v="98052"/>
    <d v="1987-05-14T00:00:00"/>
    <s v="F"/>
    <s v="Single"/>
    <s v="US Citizen"/>
    <s v="Yes"/>
    <s v="White"/>
    <d v="2012-02-20T00:00:00"/>
    <m/>
    <s v="N/A-StillEmployed"/>
    <s v="Active"/>
    <x v="4"/>
    <s v="John Smith"/>
    <n v="17"/>
    <s v="Website"/>
    <x v="3"/>
    <x v="40"/>
    <n v="1"/>
    <n v="0"/>
    <s v="1/29/2019"/>
    <n v="2"/>
    <n v="17"/>
    <s v="Normal"/>
    <s v="low Outlier"/>
    <n v="38"/>
    <n v="14"/>
    <n v="14"/>
    <s v="10+ Years"/>
    <s v="36-45"/>
    <s v="Mid (40-70K)"/>
    <n v="1"/>
    <x v="3"/>
    <n v="2"/>
    <s v="Q1"/>
    <s v="Feb"/>
    <s v="2012-02"/>
    <s v="N/A"/>
    <s v="Production       "/>
    <n v="18.181818181818183"/>
    <n v="0"/>
    <s v="High"/>
  </r>
  <r>
    <s v="DiNocco, Lily "/>
    <n v="10284"/>
    <n v="1"/>
    <n v="1"/>
    <n v="0"/>
    <n v="1"/>
    <n v="5"/>
    <x v="2"/>
    <n v="0"/>
    <x v="73"/>
    <n v="0"/>
    <n v="19"/>
    <s v="Production Technician I"/>
    <s v="MA"/>
    <n v="2351"/>
    <d v="1978-12-02T00:00:00"/>
    <s v="F"/>
    <s v="Married"/>
    <s v="US Citizen"/>
    <s v="No"/>
    <s v="Black or African American"/>
    <d v="2013-01-07T00:00:00"/>
    <m/>
    <s v="N/A-StillEmployed"/>
    <s v="Active"/>
    <x v="0"/>
    <s v="Brannon Miller"/>
    <n v="12"/>
    <s v="Indeed"/>
    <x v="2"/>
    <x v="41"/>
    <n v="4"/>
    <n v="0"/>
    <s v="1/18/2019"/>
    <n v="0"/>
    <n v="6"/>
    <s v="Normal"/>
    <s v="low Outlier"/>
    <n v="47"/>
    <n v="13"/>
    <n v="13"/>
    <s v="10+ Years"/>
    <s v="46-55"/>
    <s v="Mid (40-70K)"/>
    <n v="1"/>
    <x v="5"/>
    <n v="1"/>
    <s v="Q1"/>
    <s v="Jan"/>
    <s v="2013-01"/>
    <s v="N/A"/>
    <s v="Production       "/>
    <n v="29.411764705882355"/>
    <n v="0"/>
    <s v="High"/>
  </r>
  <r>
    <s v="Dobrin, Denisa  S"/>
    <n v="10207"/>
    <n v="0"/>
    <n v="0"/>
    <n v="0"/>
    <n v="1"/>
    <n v="5"/>
    <x v="1"/>
    <n v="0"/>
    <x v="74"/>
    <n v="0"/>
    <n v="19"/>
    <s v="Production Technician I"/>
    <s v="MA"/>
    <n v="2125"/>
    <d v="1986-10-07T00:00:00"/>
    <s v="F"/>
    <s v="Single"/>
    <s v="US Citizen"/>
    <s v="Yes"/>
    <s v="White"/>
    <d v="2012-04-02T00:00:00"/>
    <m/>
    <s v="N/A-StillEmployed"/>
    <s v="Active"/>
    <x v="0"/>
    <s v="David Stanley"/>
    <n v="14"/>
    <s v="CareerBuilder"/>
    <x v="1"/>
    <x v="42"/>
    <n v="5"/>
    <n v="0"/>
    <s v="2/19/2019"/>
    <n v="0"/>
    <n v="15"/>
    <s v="Normal"/>
    <s v="low Outlier"/>
    <n v="39"/>
    <n v="13"/>
    <n v="13"/>
    <s v="10+ Years"/>
    <s v="36-45"/>
    <s v="Mid (40-70K)"/>
    <n v="1"/>
    <x v="3"/>
    <n v="4"/>
    <s v="Q2"/>
    <s v="Apr"/>
    <s v="2012-04"/>
    <s v="N/A"/>
    <s v="Production       "/>
    <n v="17.647058823529413"/>
    <n v="0"/>
    <s v="Medium"/>
  </r>
  <r>
    <s v="Dolan, Linda"/>
    <n v="10133"/>
    <n v="1"/>
    <n v="1"/>
    <n v="0"/>
    <n v="1"/>
    <n v="3"/>
    <x v="1"/>
    <n v="0"/>
    <x v="75"/>
    <n v="0"/>
    <n v="14"/>
    <s v="IT Support"/>
    <s v="MA"/>
    <n v="2119"/>
    <d v="1988-07-18T00:00:00"/>
    <s v="F"/>
    <s v="Married"/>
    <s v="US Citizen"/>
    <s v="No"/>
    <s v="White"/>
    <d v="2015-01-05T00:00:00"/>
    <m/>
    <s v="N/A-StillEmployed"/>
    <s v="Active"/>
    <x v="1"/>
    <s v="Peter Monroe"/>
    <n v="7"/>
    <s v="Employee Referral"/>
    <x v="1"/>
    <x v="43"/>
    <n v="4"/>
    <n v="6"/>
    <s v="2/25/2019"/>
    <n v="0"/>
    <n v="16"/>
    <s v="Normal"/>
    <s v="low Outlier"/>
    <n v="37"/>
    <n v="11"/>
    <n v="11"/>
    <s v="10+ Years"/>
    <s v="36-45"/>
    <s v="Senior (70-100K)"/>
    <n v="1"/>
    <x v="1"/>
    <n v="1"/>
    <s v="Q1"/>
    <s v="Jan"/>
    <s v="2015-01"/>
    <s v="N/A"/>
    <s v="Production       "/>
    <n v="9.0909090909090917"/>
    <n v="0"/>
    <s v="Medium"/>
  </r>
  <r>
    <s v="Dougall, Eric"/>
    <n v="10028"/>
    <n v="0"/>
    <n v="0"/>
    <n v="1"/>
    <n v="1"/>
    <n v="3"/>
    <x v="0"/>
    <n v="0"/>
    <x v="76"/>
    <n v="0"/>
    <n v="13"/>
    <s v="IT Manager - Support"/>
    <s v="MA"/>
    <n v="1886"/>
    <d v="1970-07-09T00:00:00"/>
    <s v="M "/>
    <s v="Single"/>
    <s v="US Citizen"/>
    <s v="No"/>
    <s v="Black or African American"/>
    <d v="2014-01-05T00:00:00"/>
    <m/>
    <s v="N/A-StillEmployed"/>
    <s v="Active"/>
    <x v="1"/>
    <s v="Jennifer Zamora"/>
    <n v="5"/>
    <s v="Indeed"/>
    <x v="0"/>
    <x v="25"/>
    <n v="5"/>
    <n v="5"/>
    <s v="1/4/2019"/>
    <n v="0"/>
    <n v="4"/>
    <s v=" high Outlier"/>
    <s v="low Outlier"/>
    <n v="55"/>
    <n v="12"/>
    <n v="12"/>
    <s v="10+ Years"/>
    <s v="46-55"/>
    <s v="Executive (100K+)"/>
    <n v="1"/>
    <x v="4"/>
    <n v="1"/>
    <s v="Q1"/>
    <s v="Jan"/>
    <s v="2014-01"/>
    <s v="N/A"/>
    <s v="Production       "/>
    <n v="20"/>
    <n v="0"/>
    <s v="Low"/>
  </r>
  <r>
    <s v="Driver, Elle"/>
    <n v="10006"/>
    <n v="0"/>
    <n v="0"/>
    <n v="0"/>
    <n v="1"/>
    <n v="6"/>
    <x v="0"/>
    <n v="0"/>
    <x v="77"/>
    <n v="0"/>
    <n v="3"/>
    <s v="Area Sales Manager"/>
    <s v="CA"/>
    <n v="90007"/>
    <d v="1988-11-08T00:00:00"/>
    <s v="F"/>
    <s v="Single"/>
    <s v="US Citizen"/>
    <s v="No"/>
    <s v="White"/>
    <d v="2011-01-10T00:00:00"/>
    <m/>
    <s v="N/A-StillEmployed"/>
    <s v="Active"/>
    <x v="4"/>
    <s v="Lynn Daneault"/>
    <n v="21"/>
    <s v="Indeed"/>
    <x v="0"/>
    <x v="44"/>
    <n v="5"/>
    <n v="0"/>
    <s v="1/27/2019"/>
    <n v="0"/>
    <n v="14"/>
    <s v="Normal"/>
    <s v="low Outlier"/>
    <n v="37"/>
    <n v="15"/>
    <n v="15"/>
    <s v="10+ Years"/>
    <s v="36-45"/>
    <s v="Senior (70-100K)"/>
    <n v="1"/>
    <x v="0"/>
    <n v="1"/>
    <s v="Q1"/>
    <s v="Jan"/>
    <s v="2011-01"/>
    <s v="N/A"/>
    <s v="Production       "/>
    <n v="8.3333333333333321"/>
    <n v="0"/>
    <s v="Low"/>
  </r>
  <r>
    <s v="Dunn, Amy  "/>
    <n v="10105"/>
    <n v="0"/>
    <n v="0"/>
    <n v="0"/>
    <n v="1"/>
    <n v="5"/>
    <x v="1"/>
    <n v="0"/>
    <x v="78"/>
    <n v="0"/>
    <n v="18"/>
    <s v="Production Manager"/>
    <s v="MA"/>
    <n v="1731"/>
    <d v="1973-11-28T00:00:00"/>
    <s v="F"/>
    <s v="Single"/>
    <s v="US Citizen"/>
    <s v="No"/>
    <s v="White"/>
    <d v="2014-09-18T00:00:00"/>
    <m/>
    <s v="N/A-StillEmployed"/>
    <s v="Active"/>
    <x v="0"/>
    <s v="Janet King"/>
    <n v="2"/>
    <s v="Google Search"/>
    <x v="1"/>
    <x v="45"/>
    <n v="4"/>
    <n v="0"/>
    <s v="1/15/2019"/>
    <n v="0"/>
    <n v="4"/>
    <s v="Normal"/>
    <s v="low Outlier"/>
    <n v="52"/>
    <n v="11"/>
    <n v="11"/>
    <s v="10+ Years"/>
    <s v="46-55"/>
    <s v="Senior (70-100K)"/>
    <n v="1"/>
    <x v="4"/>
    <n v="9"/>
    <s v="Q3"/>
    <s v="Sep"/>
    <s v="2014-09"/>
    <s v="N/A"/>
    <s v="Production       "/>
    <n v="33.333333333333329"/>
    <n v="0"/>
    <s v="Medium"/>
  </r>
  <r>
    <s v="Dunne, Amy"/>
    <n v="10211"/>
    <n v="1"/>
    <n v="1"/>
    <n v="0"/>
    <n v="1"/>
    <n v="5"/>
    <x v="1"/>
    <n v="0"/>
    <x v="79"/>
    <n v="0"/>
    <n v="19"/>
    <s v="Production Technician I"/>
    <s v="MA"/>
    <n v="1749"/>
    <d v="1973-09-23T00:00:00"/>
    <s v="F"/>
    <s v="Married"/>
    <s v="US Citizen"/>
    <s v="No"/>
    <s v="White"/>
    <d v="2010-04-26T00:00:00"/>
    <m/>
    <s v="N/A-StillEmployed"/>
    <s v="Active"/>
    <x v="0"/>
    <s v="Ketsia Liebig"/>
    <n v="19"/>
    <s v="Google Search"/>
    <x v="1"/>
    <x v="46"/>
    <n v="3"/>
    <n v="0"/>
    <s v="1/21/2019"/>
    <n v="0"/>
    <n v="6"/>
    <s v="Normal"/>
    <s v="low Outlier"/>
    <n v="52"/>
    <n v="15"/>
    <n v="15"/>
    <s v="10+ Years"/>
    <s v="46-55"/>
    <s v="Mid (40-70K)"/>
    <n v="1"/>
    <x v="8"/>
    <n v="4"/>
    <s v="Q2"/>
    <s v="Apr"/>
    <s v="2010-04"/>
    <s v="N/A"/>
    <s v="Production       "/>
    <n v="31.25"/>
    <n v="0"/>
    <s v="Medium"/>
  </r>
  <r>
    <s v="Eaton, Marianne"/>
    <n v="10064"/>
    <n v="1"/>
    <n v="1"/>
    <n v="0"/>
    <n v="5"/>
    <n v="5"/>
    <x v="1"/>
    <n v="0"/>
    <x v="80"/>
    <n v="1"/>
    <n v="19"/>
    <s v="Production Technician I"/>
    <s v="MA"/>
    <n v="2343"/>
    <d v="1991-09-05T00:00:00"/>
    <s v="F"/>
    <s v="Married"/>
    <s v="US Citizen"/>
    <s v="No"/>
    <s v="White"/>
    <d v="2011-04-04T00:00:00"/>
    <d v="2017-06-06T00:00:00"/>
    <s v="military"/>
    <s v="Voluntarily Terminated"/>
    <x v="0"/>
    <s v="Kissy Sullivan"/>
    <n v="20"/>
    <s v="Google Search"/>
    <x v="1"/>
    <x v="4"/>
    <n v="3"/>
    <n v="0"/>
    <s v="4/9/2017"/>
    <n v="0"/>
    <n v="7"/>
    <s v="Normal"/>
    <s v="low Outlier"/>
    <n v="34"/>
    <n v="14"/>
    <n v="6"/>
    <s v="10+ Years"/>
    <s v="26-35"/>
    <s v="Mid (40-70K)"/>
    <n v="0"/>
    <x v="0"/>
    <n v="4"/>
    <s v="Q2"/>
    <s v="Apr"/>
    <s v="2011-04"/>
    <n v="2017"/>
    <s v="Production       "/>
    <n v="52.941176470588239"/>
    <n v="4"/>
    <s v="Medium"/>
  </r>
  <r>
    <s v="Engdahl, Jean"/>
    <n v="10247"/>
    <n v="0"/>
    <n v="0"/>
    <n v="1"/>
    <n v="1"/>
    <n v="5"/>
    <x v="1"/>
    <n v="0"/>
    <x v="81"/>
    <n v="0"/>
    <n v="19"/>
    <s v="Production Technician I"/>
    <s v="MA"/>
    <n v="2026"/>
    <d v="1974-05-31T00:00:00"/>
    <s v="M "/>
    <s v="Single"/>
    <s v="US Citizen"/>
    <s v="No"/>
    <s v="White"/>
    <d v="2014-11-10T00:00:00"/>
    <m/>
    <s v="N/A-StillEmployed"/>
    <s v="Active"/>
    <x v="0"/>
    <s v="Kelley Spirea"/>
    <n v="18"/>
    <s v="LinkedIn"/>
    <x v="1"/>
    <x v="27"/>
    <n v="5"/>
    <n v="0"/>
    <s v="2/13/2019"/>
    <n v="0"/>
    <n v="8"/>
    <s v="Normal"/>
    <s v="low Outlier"/>
    <n v="51"/>
    <n v="11"/>
    <n v="11"/>
    <s v="10+ Years"/>
    <s v="46-55"/>
    <s v="Mid (40-70K)"/>
    <n v="1"/>
    <x v="4"/>
    <n v="11"/>
    <s v="Q4"/>
    <s v="Nov"/>
    <s v="2014-11"/>
    <s v="N/A"/>
    <s v="Production       "/>
    <n v="25"/>
    <n v="0"/>
    <s v="Medium"/>
  </r>
  <r>
    <s v="England, Rex"/>
    <n v="10235"/>
    <n v="1"/>
    <n v="1"/>
    <n v="1"/>
    <n v="1"/>
    <n v="5"/>
    <x v="1"/>
    <n v="0"/>
    <x v="82"/>
    <n v="0"/>
    <n v="19"/>
    <s v="Production Technician I"/>
    <s v="MA"/>
    <n v="2045"/>
    <d v="1978-08-25T00:00:00"/>
    <s v="M "/>
    <s v="Married"/>
    <s v="US Citizen"/>
    <s v="No"/>
    <s v="White"/>
    <d v="2014-03-31T00:00:00"/>
    <m/>
    <s v="N/A-StillEmployed"/>
    <s v="Active"/>
    <x v="0"/>
    <s v="Kelley Spirea"/>
    <n v="18"/>
    <s v="Employee Referral"/>
    <x v="1"/>
    <x v="7"/>
    <n v="3"/>
    <n v="0"/>
    <s v="1/11/2019"/>
    <n v="0"/>
    <n v="3"/>
    <s v="Normal"/>
    <s v="low Outlier"/>
    <n v="47"/>
    <n v="12"/>
    <n v="12"/>
    <s v="10+ Years"/>
    <s v="46-55"/>
    <s v="Mid (40-70K)"/>
    <n v="1"/>
    <x v="4"/>
    <n v="3"/>
    <s v="Q1"/>
    <s v="Mar"/>
    <s v="2014-03"/>
    <s v="N/A"/>
    <s v="Production       "/>
    <n v="26.666666666666668"/>
    <n v="0"/>
    <s v="Medium"/>
  </r>
  <r>
    <s v="Erilus, Angela"/>
    <n v="10299"/>
    <n v="0"/>
    <n v="3"/>
    <n v="0"/>
    <n v="1"/>
    <n v="5"/>
    <x v="3"/>
    <n v="0"/>
    <x v="83"/>
    <n v="0"/>
    <n v="20"/>
    <s v="Production Technician II"/>
    <s v="MA"/>
    <n v="2133"/>
    <d v="1989-08-25T00:00:00"/>
    <s v="F"/>
    <s v="Separated"/>
    <s v="US Citizen"/>
    <s v="No"/>
    <s v="White"/>
    <d v="2014-07-07T00:00:00"/>
    <m/>
    <s v="N/A-StillEmployed"/>
    <s v="Active"/>
    <x v="0"/>
    <s v="Michael Albert"/>
    <n v="22"/>
    <s v="Indeed"/>
    <x v="3"/>
    <x v="24"/>
    <n v="1"/>
    <n v="0"/>
    <s v="2/25/2019"/>
    <n v="2"/>
    <n v="5"/>
    <s v="Normal"/>
    <s v="low Outlier"/>
    <n v="36"/>
    <n v="11"/>
    <n v="11"/>
    <s v="10+ Years"/>
    <s v="36-45"/>
    <s v="Mid (40-70K)"/>
    <n v="1"/>
    <x v="4"/>
    <n v="7"/>
    <s v="Q3"/>
    <s v="Jul"/>
    <s v="2014-07"/>
    <s v="N/A"/>
    <s v="Production       "/>
    <n v="47.058823529411761"/>
    <n v="0"/>
    <s v="High"/>
  </r>
  <r>
    <s v="Estremera, Miguel"/>
    <n v="10280"/>
    <n v="0"/>
    <n v="0"/>
    <n v="1"/>
    <n v="4"/>
    <n v="5"/>
    <x v="2"/>
    <n v="0"/>
    <x v="84"/>
    <n v="1"/>
    <n v="19"/>
    <s v="Production Technician I"/>
    <s v="MA"/>
    <n v="2129"/>
    <d v="1983-09-02T00:00:00"/>
    <s v="M "/>
    <s v="Single"/>
    <s v="US Citizen"/>
    <s v="No"/>
    <s v="White"/>
    <d v="2012-04-02T00:00:00"/>
    <d v="2018-09-27T00:00:00"/>
    <s v="attendance"/>
    <s v="Terminated for Cause"/>
    <x v="0"/>
    <s v="Michael Albert"/>
    <n v="22"/>
    <s v="Google Search"/>
    <x v="2"/>
    <x v="4"/>
    <n v="4"/>
    <n v="0"/>
    <s v="4/12/2018"/>
    <n v="5"/>
    <n v="16"/>
    <s v="Normal"/>
    <s v="low Outlier"/>
    <n v="42"/>
    <n v="13"/>
    <n v="6"/>
    <s v="10+ Years"/>
    <s v="36-45"/>
    <s v="Mid (40-70K)"/>
    <n v="0"/>
    <x v="3"/>
    <n v="4"/>
    <s v="Q2"/>
    <s v="Apr"/>
    <s v="2012-04"/>
    <n v="2018"/>
    <s v="Production       "/>
    <n v="50"/>
    <n v="6"/>
    <s v="High"/>
  </r>
  <r>
    <s v="Evensen, April"/>
    <n v="10296"/>
    <n v="0"/>
    <n v="0"/>
    <n v="0"/>
    <n v="4"/>
    <n v="5"/>
    <x v="2"/>
    <n v="0"/>
    <x v="85"/>
    <n v="1"/>
    <n v="19"/>
    <s v="Production Technician I"/>
    <s v="MA"/>
    <n v="2458"/>
    <d v="1989-05-06T00:00:00"/>
    <s v="F"/>
    <s v="Single"/>
    <s v="US Citizen"/>
    <s v="No"/>
    <s v="White"/>
    <d v="2014-02-17T00:00:00"/>
    <d v="2018-02-25T00:00:00"/>
    <s v="no-call, no-show"/>
    <s v="Terminated for Cause"/>
    <x v="0"/>
    <s v="Elijiah Gray"/>
    <n v="16"/>
    <s v="Google Search"/>
    <x v="2"/>
    <x v="40"/>
    <n v="3"/>
    <n v="0"/>
    <s v="1/15/2017"/>
    <n v="5"/>
    <n v="19"/>
    <s v="Normal"/>
    <s v="low Outlier"/>
    <n v="36"/>
    <n v="12"/>
    <n v="4"/>
    <s v="10+ Years"/>
    <s v="36-45"/>
    <s v="Mid (40-70K)"/>
    <n v="0"/>
    <x v="4"/>
    <n v="2"/>
    <s v="Q1"/>
    <s v="Feb"/>
    <s v="2014-02"/>
    <n v="2018"/>
    <s v="Production       "/>
    <n v="41.17647058823529"/>
    <n v="4"/>
    <s v="High"/>
  </r>
  <r>
    <s v="Exantus, Susan"/>
    <n v="10290"/>
    <n v="1"/>
    <n v="1"/>
    <n v="0"/>
    <n v="4"/>
    <n v="4"/>
    <x v="2"/>
    <n v="0"/>
    <x v="86"/>
    <n v="1"/>
    <n v="24"/>
    <s v="Software Engineer"/>
    <s v="MA"/>
    <n v="1749"/>
    <d v="1987-05-15T00:00:00"/>
    <s v="F"/>
    <s v="Married"/>
    <s v="US Citizen"/>
    <s v="No"/>
    <s v="Black or African American"/>
    <d v="2011-05-02T00:00:00"/>
    <d v="2013-06-05T00:00:00"/>
    <s v="attendance"/>
    <s v="Terminated for Cause"/>
    <x v="2"/>
    <s v="Alex Sweetwater"/>
    <n v="10"/>
    <s v="Indeed"/>
    <x v="2"/>
    <x v="47"/>
    <n v="5"/>
    <n v="4"/>
    <s v="8/10/2012"/>
    <n v="4"/>
    <n v="19"/>
    <s v="Normal"/>
    <s v="low Outlier"/>
    <n v="38"/>
    <n v="14"/>
    <n v="2"/>
    <s v="10+ Years"/>
    <s v="36-45"/>
    <s v="Senior (70-100K)"/>
    <n v="0"/>
    <x v="0"/>
    <n v="5"/>
    <s v="Q2"/>
    <s v="May"/>
    <s v="2011-05"/>
    <n v="2013"/>
    <s v="Production       "/>
    <n v="50"/>
    <n v="5"/>
    <s v="High"/>
  </r>
  <r>
    <s v="Faller, Megan "/>
    <n v="10263"/>
    <n v="1"/>
    <n v="1"/>
    <n v="0"/>
    <n v="1"/>
    <n v="5"/>
    <x v="1"/>
    <n v="0"/>
    <x v="87"/>
    <n v="0"/>
    <n v="20"/>
    <s v="Production Technician II"/>
    <s v="MA"/>
    <n v="1824"/>
    <d v="1978-09-22T00:00:00"/>
    <s v="F"/>
    <s v="Married"/>
    <s v="US Citizen"/>
    <s v="No"/>
    <s v="Black or African American"/>
    <d v="2014-07-07T00:00:00"/>
    <m/>
    <s v="N/A-StillEmployed"/>
    <s v="Active"/>
    <x v="0"/>
    <s v="Elijiah Gray"/>
    <n v="16"/>
    <s v="LinkedIn"/>
    <x v="1"/>
    <x v="9"/>
    <n v="5"/>
    <n v="0"/>
    <s v="2/22/2019"/>
    <n v="0"/>
    <n v="17"/>
    <s v="Normal"/>
    <s v="low Outlier"/>
    <n v="47"/>
    <n v="11"/>
    <n v="11"/>
    <s v="10+ Years"/>
    <s v="46-55"/>
    <s v="Senior (70-100K)"/>
    <n v="1"/>
    <x v="4"/>
    <n v="7"/>
    <s v="Q3"/>
    <s v="Jul"/>
    <s v="2014-07"/>
    <s v="N/A"/>
    <s v="Production       "/>
    <n v="37.5"/>
    <n v="0"/>
    <s v="Medium"/>
  </r>
  <r>
    <s v="Fancett, Nicole"/>
    <n v="10136"/>
    <n v="0"/>
    <n v="0"/>
    <n v="0"/>
    <n v="1"/>
    <n v="5"/>
    <x v="1"/>
    <n v="0"/>
    <x v="88"/>
    <n v="0"/>
    <n v="20"/>
    <s v="Production Technician II"/>
    <s v="MA"/>
    <n v="2324"/>
    <d v="1987-09-27T00:00:00"/>
    <s v="F"/>
    <s v="Single"/>
    <s v="US Citizen"/>
    <s v="No"/>
    <s v="Black or African American"/>
    <d v="2014-02-17T00:00:00"/>
    <m/>
    <s v="N/A-StillEmployed"/>
    <s v="Active"/>
    <x v="0"/>
    <s v="Webster Butler"/>
    <m/>
    <s v="LinkedIn"/>
    <x v="1"/>
    <x v="48"/>
    <n v="4"/>
    <n v="0"/>
    <s v="1/7/2019"/>
    <n v="0"/>
    <n v="7"/>
    <s v="Normal"/>
    <s v="low Outlier"/>
    <n v="38"/>
    <n v="12"/>
    <n v="12"/>
    <s v="10+ Years"/>
    <s v="36-45"/>
    <s v="Mid (40-70K)"/>
    <n v="1"/>
    <x v="4"/>
    <n v="2"/>
    <s v="Q1"/>
    <s v="Feb"/>
    <s v="2014-02"/>
    <s v="N/A"/>
    <s v="Production       "/>
    <n v="68.75"/>
    <n v="0"/>
    <s v="Medium"/>
  </r>
  <r>
    <s v="Ferguson, Susan"/>
    <n v="10189"/>
    <n v="1"/>
    <n v="1"/>
    <n v="0"/>
    <n v="5"/>
    <n v="5"/>
    <x v="1"/>
    <n v="0"/>
    <x v="89"/>
    <n v="1"/>
    <n v="19"/>
    <s v="Production Technician I"/>
    <s v="MA"/>
    <n v="2176"/>
    <d v="1955-04-14T00:00:00"/>
    <s v="F"/>
    <s v="Married"/>
    <s v="US Citizen"/>
    <s v="No"/>
    <s v="White"/>
    <d v="2011-11-07T00:00:00"/>
    <d v="2016-05-17T00:00:00"/>
    <s v="military"/>
    <s v="Voluntarily Terminated"/>
    <x v="0"/>
    <s v="Webster Butler"/>
    <n v="39"/>
    <s v="Google Search"/>
    <x v="1"/>
    <x v="49"/>
    <n v="3"/>
    <n v="0"/>
    <s v="2/4/2016"/>
    <n v="0"/>
    <n v="16"/>
    <s v="Normal"/>
    <s v="low Outlier"/>
    <n v="70"/>
    <n v="14"/>
    <n v="4"/>
    <s v="10+ Years"/>
    <s v="55+"/>
    <s v="Mid (40-70K)"/>
    <n v="0"/>
    <x v="0"/>
    <n v="11"/>
    <s v="Q4"/>
    <s v="Nov"/>
    <s v="2011-11"/>
    <n v="2016"/>
    <s v="Production       "/>
    <n v="73.333333333333329"/>
    <n v="3"/>
    <s v="Medium"/>
  </r>
  <r>
    <s v="Fernandes, Nilson  "/>
    <n v="10308"/>
    <n v="1"/>
    <n v="1"/>
    <n v="1"/>
    <n v="1"/>
    <n v="5"/>
    <x v="3"/>
    <n v="0"/>
    <x v="90"/>
    <n v="0"/>
    <n v="19"/>
    <s v="Production Technician I"/>
    <s v="MA"/>
    <n v="2132"/>
    <d v="1989-10-18T00:00:00"/>
    <s v="M "/>
    <s v="Married"/>
    <s v="US Citizen"/>
    <s v="No"/>
    <s v="White"/>
    <d v="2015-05-11T00:00:00"/>
    <m/>
    <s v="N/A-StillEmployed"/>
    <s v="Active"/>
    <x v="0"/>
    <s v="Amy Dunn"/>
    <n v="11"/>
    <s v="Indeed"/>
    <x v="3"/>
    <x v="50"/>
    <n v="5"/>
    <n v="0"/>
    <s v="1/3/2019"/>
    <n v="6"/>
    <n v="15"/>
    <s v="Normal"/>
    <s v="low Outlier"/>
    <n v="36"/>
    <n v="10"/>
    <n v="10"/>
    <s v="10+ Years"/>
    <s v="36-45"/>
    <s v="Mid (40-70K)"/>
    <n v="1"/>
    <x v="1"/>
    <n v="5"/>
    <s v="Q2"/>
    <s v="May"/>
    <s v="2015-05"/>
    <s v="N/A"/>
    <s v="Production       "/>
    <n v="75"/>
    <n v="0"/>
    <s v="High"/>
  </r>
  <r>
    <s v="Fett, Boba"/>
    <n v="10309"/>
    <n v="0"/>
    <n v="0"/>
    <n v="1"/>
    <n v="1"/>
    <n v="3"/>
    <x v="3"/>
    <n v="0"/>
    <x v="91"/>
    <n v="0"/>
    <n v="15"/>
    <s v="Network Engineer"/>
    <s v="MA"/>
    <n v="2138"/>
    <d v="1987-06-18T00:00:00"/>
    <s v="M "/>
    <s v="Single"/>
    <s v="US Citizen"/>
    <s v="No"/>
    <s v="White"/>
    <d v="2015-03-30T00:00:00"/>
    <m/>
    <s v="N/A-StillEmployed"/>
    <s v="Active"/>
    <x v="1"/>
    <s v="Peter Monroe"/>
    <n v="7"/>
    <s v="LinkedIn"/>
    <x v="3"/>
    <x v="51"/>
    <n v="3"/>
    <n v="6"/>
    <s v="2/4/2019"/>
    <n v="3"/>
    <n v="2"/>
    <s v="Normal"/>
    <s v="low Outlier"/>
    <n v="38"/>
    <n v="11"/>
    <n v="11"/>
    <s v="10+ Years"/>
    <s v="36-45"/>
    <s v="Mid (40-70K)"/>
    <n v="1"/>
    <x v="1"/>
    <n v="3"/>
    <s v="Q1"/>
    <s v="Mar"/>
    <s v="2015-03"/>
    <s v="N/A"/>
    <s v="Production       "/>
    <n v="10"/>
    <n v="0"/>
    <s v="High"/>
  </r>
  <r>
    <s v="Fidelia,  Libby"/>
    <n v="10049"/>
    <n v="1"/>
    <n v="1"/>
    <n v="0"/>
    <n v="1"/>
    <n v="5"/>
    <x v="1"/>
    <n v="0"/>
    <x v="92"/>
    <n v="0"/>
    <n v="19"/>
    <s v="Production Technician I"/>
    <s v="MA"/>
    <n v="2155"/>
    <d v="1981-03-16T00:00:00"/>
    <s v="F"/>
    <s v="Married"/>
    <s v="US Citizen"/>
    <s v="No"/>
    <s v="White"/>
    <d v="2012-01-09T00:00:00"/>
    <m/>
    <s v="N/A-StillEmployed"/>
    <s v="Active"/>
    <x v="0"/>
    <s v="Brannon Miller"/>
    <n v="12"/>
    <s v="Google Search"/>
    <x v="1"/>
    <x v="4"/>
    <n v="5"/>
    <n v="0"/>
    <s v="1/29/2019"/>
    <n v="0"/>
    <n v="19"/>
    <s v="Normal"/>
    <s v="low Outlier"/>
    <n v="45"/>
    <n v="14"/>
    <n v="14"/>
    <s v="10+ Years"/>
    <s v="36-45"/>
    <s v="Mid (40-70K)"/>
    <n v="1"/>
    <x v="3"/>
    <n v="1"/>
    <s v="Q1"/>
    <s v="Jan"/>
    <s v="2012-01"/>
    <s v="N/A"/>
    <s v="Production       "/>
    <n v="31.25"/>
    <n v="0"/>
    <s v="Medium"/>
  </r>
  <r>
    <s v="Fitzpatrick, Michael  J"/>
    <n v="10093"/>
    <n v="0"/>
    <n v="0"/>
    <n v="1"/>
    <n v="5"/>
    <n v="5"/>
    <x v="1"/>
    <n v="0"/>
    <x v="93"/>
    <n v="1"/>
    <n v="20"/>
    <s v="Production Technician II"/>
    <s v="MA"/>
    <n v="2143"/>
    <d v="1981-10-01T00:00:00"/>
    <s v="M "/>
    <s v="Single"/>
    <s v="US Citizen"/>
    <s v="Yes"/>
    <s v="White"/>
    <d v="2011-05-16T00:00:00"/>
    <d v="2013-06-24T00:00:00"/>
    <s v="hours"/>
    <s v="Voluntarily Terminated"/>
    <x v="0"/>
    <s v="Amy Dunn"/>
    <n v="11"/>
    <s v="Google Search"/>
    <x v="1"/>
    <x v="52"/>
    <n v="5"/>
    <n v="0"/>
    <s v="4/5/2013"/>
    <n v="0"/>
    <n v="20"/>
    <s v="Normal"/>
    <s v="low Outlier"/>
    <n v="44"/>
    <n v="14"/>
    <n v="2"/>
    <s v="10+ Years"/>
    <s v="36-45"/>
    <s v="Senior (70-100K)"/>
    <n v="0"/>
    <x v="0"/>
    <n v="5"/>
    <s v="Q2"/>
    <s v="May"/>
    <s v="2011-05"/>
    <n v="2013"/>
    <s v="Production       "/>
    <n v="80"/>
    <n v="7"/>
    <s v="Medium"/>
  </r>
  <r>
    <s v="Foreman, Tanya"/>
    <n v="10163"/>
    <n v="1"/>
    <n v="1"/>
    <n v="0"/>
    <n v="5"/>
    <n v="5"/>
    <x v="1"/>
    <n v="0"/>
    <x v="94"/>
    <n v="1"/>
    <n v="20"/>
    <s v="Production Technician II"/>
    <s v="MA"/>
    <n v="2170"/>
    <d v="1983-11-08T00:00:00"/>
    <s v="F"/>
    <s v="Married"/>
    <s v="US Citizen"/>
    <s v="No"/>
    <s v="White"/>
    <d v="2011-04-04T00:00:00"/>
    <d v="2013-01-09T00:00:00"/>
    <s v="career change"/>
    <s v="Voluntarily Terminated"/>
    <x v="0"/>
    <s v="Ketsia Liebig"/>
    <n v="19"/>
    <s v="Google Search"/>
    <x v="1"/>
    <x v="53"/>
    <n v="3"/>
    <n v="0"/>
    <s v="1/7/2012"/>
    <n v="0"/>
    <n v="6"/>
    <s v="Normal"/>
    <s v="low Outlier"/>
    <n v="42"/>
    <n v="14"/>
    <n v="1"/>
    <s v="10+ Years"/>
    <s v="36-45"/>
    <s v="Mid (40-70K)"/>
    <n v="0"/>
    <x v="0"/>
    <n v="4"/>
    <s v="Q2"/>
    <s v="Apr"/>
    <s v="2011-04"/>
    <n v="2013"/>
    <s v="Production       "/>
    <n v="33.333333333333329"/>
    <n v="6"/>
    <s v="Medium"/>
  </r>
  <r>
    <s v="Forrest, Alex"/>
    <n v="10305"/>
    <n v="1"/>
    <n v="1"/>
    <n v="1"/>
    <n v="1"/>
    <n v="6"/>
    <x v="1"/>
    <n v="0"/>
    <x v="95"/>
    <n v="1"/>
    <n v="3"/>
    <s v="Area Sales Manager"/>
    <s v="MA"/>
    <n v="2330"/>
    <d v="1975-07-07T00:00:00"/>
    <s v="M "/>
    <s v="Married"/>
    <s v="US Citizen"/>
    <s v="No"/>
    <s v="White"/>
    <d v="2014-09-29T00:00:00"/>
    <d v="2018-08-19T00:00:00"/>
    <s v="Fatal attraction"/>
    <s v="Terminated for Cause"/>
    <x v="4"/>
    <s v="Lynn Daneault"/>
    <n v="21"/>
    <s v="Employee Referral"/>
    <x v="3"/>
    <x v="11"/>
    <n v="5"/>
    <n v="0"/>
    <s v="1/28/2019"/>
    <n v="4"/>
    <n v="7"/>
    <s v="Normal"/>
    <s v="low Outlier"/>
    <n v="50"/>
    <n v="11"/>
    <n v="3"/>
    <s v="10+ Years"/>
    <s v="46-55"/>
    <s v="Senior (70-100K)"/>
    <n v="0"/>
    <x v="4"/>
    <n v="9"/>
    <s v="Q3"/>
    <s v="Sep"/>
    <s v="2014-09"/>
    <n v="2018"/>
    <s v="Production       "/>
    <n v="9.0909090909090917"/>
    <n v="1"/>
    <s v="High"/>
  </r>
  <r>
    <s v="Foss, Jason"/>
    <n v="10015"/>
    <n v="0"/>
    <n v="0"/>
    <n v="1"/>
    <n v="1"/>
    <n v="3"/>
    <x v="0"/>
    <n v="0"/>
    <x v="96"/>
    <n v="0"/>
    <n v="12"/>
    <s v="IT Director"/>
    <s v="MA"/>
    <n v="1460"/>
    <d v="1980-07-05T00:00:00"/>
    <s v="M "/>
    <s v="Single"/>
    <s v="US Citizen"/>
    <s v="No"/>
    <s v="Black or African American"/>
    <d v="2011-04-15T00:00:00"/>
    <m/>
    <s v="N/A-StillEmployed"/>
    <s v="Active"/>
    <x v="1"/>
    <s v="Jennifer Zamora"/>
    <n v="5"/>
    <s v="Indeed"/>
    <x v="0"/>
    <x v="4"/>
    <n v="5"/>
    <n v="5"/>
    <s v="1/7/2019"/>
    <n v="0"/>
    <n v="15"/>
    <s v=" high Outlier"/>
    <s v="low Outlier"/>
    <n v="45"/>
    <n v="14"/>
    <n v="14"/>
    <s v="10+ Years"/>
    <s v="36-45"/>
    <s v="Executive (100K+)"/>
    <n v="1"/>
    <x v="0"/>
    <n v="4"/>
    <s v="Q2"/>
    <s v="Apr"/>
    <s v="2011-04"/>
    <s v="N/A"/>
    <s v="Production       "/>
    <n v="25"/>
    <n v="0"/>
    <s v="Low"/>
  </r>
  <r>
    <s v="Foster-Baker, Amy"/>
    <n v="10080"/>
    <n v="1"/>
    <n v="1"/>
    <n v="0"/>
    <n v="1"/>
    <n v="1"/>
    <x v="1"/>
    <n v="0"/>
    <x v="97"/>
    <n v="0"/>
    <n v="26"/>
    <s v="Sr. Accountant"/>
    <s v="MA"/>
    <n v="2050"/>
    <d v="1979-04-16T00:00:00"/>
    <s v="F"/>
    <s v="Married"/>
    <s v="US Citizen"/>
    <s v="No"/>
    <s v="White"/>
    <d v="2009-01-05T00:00:00"/>
    <m/>
    <s v="N/A-StillEmployed"/>
    <s v="Active"/>
    <x v="3"/>
    <s v="Board of Directors"/>
    <n v="9"/>
    <s v="Other"/>
    <x v="1"/>
    <x v="4"/>
    <n v="3"/>
    <n v="2"/>
    <s v="2/8/2019"/>
    <n v="0"/>
    <n v="3"/>
    <s v="Normal"/>
    <s v="low Outlier"/>
    <n v="46"/>
    <n v="17"/>
    <n v="17"/>
    <s v="10+ Years"/>
    <s v="46-55"/>
    <s v="Senior (70-100K)"/>
    <n v="1"/>
    <x v="6"/>
    <n v="1"/>
    <s v="Q1"/>
    <s v="Jan"/>
    <s v="2009-01"/>
    <s v="N/A"/>
    <s v="Production       "/>
    <n v="0"/>
    <n v="0"/>
    <s v="Medium"/>
  </r>
  <r>
    <s v="Fraval, Maruk "/>
    <n v="10258"/>
    <n v="0"/>
    <n v="0"/>
    <n v="1"/>
    <n v="1"/>
    <n v="6"/>
    <x v="1"/>
    <n v="0"/>
    <x v="98"/>
    <n v="0"/>
    <n v="3"/>
    <s v="Area Sales Manager"/>
    <s v="CT"/>
    <n v="6050"/>
    <d v="1963-08-28T00:00:00"/>
    <s v="M "/>
    <s v="Single"/>
    <s v="US Citizen"/>
    <s v="No"/>
    <s v="Black or African American"/>
    <d v="2011-09-06T00:00:00"/>
    <m/>
    <s v="N/A-StillEmployed"/>
    <s v="Active"/>
    <x v="4"/>
    <s v="Lynn Daneault"/>
    <n v="21"/>
    <s v="CareerBuilder"/>
    <x v="1"/>
    <x v="25"/>
    <n v="3"/>
    <n v="0"/>
    <s v="1/27/2019"/>
    <n v="2"/>
    <n v="7"/>
    <s v="Normal"/>
    <s v="low Outlier"/>
    <n v="62"/>
    <n v="14"/>
    <n v="14"/>
    <s v="10+ Years"/>
    <s v="55+"/>
    <s v="Mid (40-70K)"/>
    <n v="1"/>
    <x v="0"/>
    <n v="9"/>
    <s v="Q3"/>
    <s v="Sep"/>
    <s v="2011-09"/>
    <s v="N/A"/>
    <s v="Production       "/>
    <n v="0"/>
    <n v="0"/>
    <s v="Medium"/>
  </r>
  <r>
    <s v="Galia, Lisa"/>
    <n v="10273"/>
    <n v="0"/>
    <n v="0"/>
    <n v="0"/>
    <n v="1"/>
    <n v="3"/>
    <x v="1"/>
    <n v="0"/>
    <x v="99"/>
    <n v="0"/>
    <n v="14"/>
    <s v="IT Support"/>
    <s v="CT"/>
    <n v="6040"/>
    <d v="1968-07-06T00:00:00"/>
    <s v="F"/>
    <s v="Single"/>
    <s v="US Citizen"/>
    <s v="No"/>
    <s v="White"/>
    <d v="2010-05-01T00:00:00"/>
    <m/>
    <s v="N/A-StillEmployed"/>
    <s v="Active"/>
    <x v="1"/>
    <s v="Eric Dougall"/>
    <n v="6"/>
    <s v="LinkedIn"/>
    <x v="1"/>
    <x v="27"/>
    <n v="4"/>
    <n v="5"/>
    <s v="2/1/2019"/>
    <n v="0"/>
    <n v="1"/>
    <s v="Normal"/>
    <s v="low Outlier"/>
    <n v="57"/>
    <n v="15"/>
    <n v="15"/>
    <s v="10+ Years"/>
    <s v="55+"/>
    <s v="Mid (40-70K)"/>
    <n v="1"/>
    <x v="8"/>
    <n v="5"/>
    <s v="Q2"/>
    <s v="May"/>
    <s v="2010-05"/>
    <s v="N/A"/>
    <s v="Production       "/>
    <n v="0"/>
    <n v="0"/>
    <s v="Medium"/>
  </r>
  <r>
    <s v="Garcia, Raul"/>
    <n v="10111"/>
    <n v="0"/>
    <n v="0"/>
    <n v="1"/>
    <n v="1"/>
    <n v="5"/>
    <x v="1"/>
    <n v="0"/>
    <x v="100"/>
    <n v="0"/>
    <n v="19"/>
    <s v="Production Technician I"/>
    <s v="MA"/>
    <n v="1905"/>
    <d v="1985-09-15T00:00:00"/>
    <s v="M "/>
    <s v="Single"/>
    <s v="US Citizen"/>
    <s v="Yes"/>
    <s v="White"/>
    <d v="2015-03-30T00:00:00"/>
    <m/>
    <s v="N/A-StillEmployed"/>
    <s v="Active"/>
    <x v="0"/>
    <s v="David Stanley"/>
    <n v="14"/>
    <s v="Employee Referral"/>
    <x v="1"/>
    <x v="10"/>
    <n v="3"/>
    <n v="0"/>
    <s v="2/18/2019"/>
    <n v="0"/>
    <n v="5"/>
    <s v="Normal"/>
    <s v="low Outlier"/>
    <n v="40"/>
    <n v="11"/>
    <n v="11"/>
    <s v="10+ Years"/>
    <s v="36-45"/>
    <s v="Mid (40-70K)"/>
    <n v="1"/>
    <x v="1"/>
    <n v="3"/>
    <s v="Q1"/>
    <s v="Mar"/>
    <s v="2015-03"/>
    <s v="N/A"/>
    <s v="Production       "/>
    <n v="18.75"/>
    <n v="0"/>
    <s v="Medium"/>
  </r>
  <r>
    <s v="Gaul, Barbara"/>
    <n v="10257"/>
    <n v="0"/>
    <n v="0"/>
    <n v="0"/>
    <n v="1"/>
    <n v="5"/>
    <x v="1"/>
    <n v="0"/>
    <x v="101"/>
    <n v="0"/>
    <n v="19"/>
    <s v="Production Technician I"/>
    <s v="MA"/>
    <n v="2121"/>
    <d v="1983-12-02T00:00:00"/>
    <s v="F"/>
    <s v="Single"/>
    <s v="US Citizen"/>
    <s v="Yes"/>
    <s v="Black or African American"/>
    <d v="2011-05-16T00:00:00"/>
    <m/>
    <s v="N/A-StillEmployed"/>
    <s v="Active"/>
    <x v="0"/>
    <s v="Kelley Spirea"/>
    <n v="18"/>
    <s v="LinkedIn"/>
    <x v="1"/>
    <x v="7"/>
    <n v="4"/>
    <n v="0"/>
    <s v="2/26/2019"/>
    <n v="0"/>
    <n v="12"/>
    <s v="Normal"/>
    <s v="low Outlier"/>
    <n v="42"/>
    <n v="14"/>
    <n v="14"/>
    <s v="10+ Years"/>
    <s v="36-45"/>
    <s v="Mid (40-70K)"/>
    <n v="1"/>
    <x v="0"/>
    <n v="5"/>
    <s v="Q2"/>
    <s v="May"/>
    <s v="2011-05"/>
    <s v="N/A"/>
    <s v="Production       "/>
    <n v="28.571428571428569"/>
    <n v="0"/>
    <s v="Medium"/>
  </r>
  <r>
    <s v="Gentry, Mildred"/>
    <n v="10159"/>
    <n v="1"/>
    <n v="1"/>
    <n v="0"/>
    <n v="1"/>
    <n v="5"/>
    <x v="1"/>
    <n v="0"/>
    <x v="102"/>
    <n v="0"/>
    <n v="19"/>
    <s v="Production Technician I"/>
    <s v="MA"/>
    <n v="2145"/>
    <d v="1990-10-01T00:00:00"/>
    <s v="F"/>
    <s v="Married"/>
    <s v="US Citizen"/>
    <s v="No"/>
    <s v="Black or African American"/>
    <d v="2015-03-30T00:00:00"/>
    <m/>
    <s v="N/A-StillEmployed"/>
    <s v="Active"/>
    <x v="0"/>
    <s v="Michael Albert"/>
    <n v="22"/>
    <s v="LinkedIn"/>
    <x v="1"/>
    <x v="54"/>
    <n v="3"/>
    <n v="0"/>
    <s v="1/16/2019"/>
    <n v="0"/>
    <n v="19"/>
    <s v="Normal"/>
    <s v="low Outlier"/>
    <n v="35"/>
    <n v="11"/>
    <n v="11"/>
    <s v="10+ Years"/>
    <s v="26-35"/>
    <s v="Mid (40-70K)"/>
    <n v="1"/>
    <x v="1"/>
    <n v="3"/>
    <s v="Q1"/>
    <s v="Mar"/>
    <s v="2015-03"/>
    <s v="N/A"/>
    <s v="Production       "/>
    <n v="46.666666666666664"/>
    <n v="0"/>
    <s v="Medium"/>
  </r>
  <r>
    <s v="Gerke, Melisa"/>
    <n v="10122"/>
    <n v="0"/>
    <n v="2"/>
    <n v="0"/>
    <n v="5"/>
    <n v="5"/>
    <x v="1"/>
    <n v="1"/>
    <x v="103"/>
    <n v="1"/>
    <n v="19"/>
    <s v="Production Technician I"/>
    <s v="MA"/>
    <n v="2330"/>
    <d v="1970-05-15T00:00:00"/>
    <s v="F"/>
    <s v="Divorced"/>
    <s v="US Citizen"/>
    <s v="No"/>
    <s v="Black or African American"/>
    <d v="2011-11-07T00:00:00"/>
    <d v="2016-11-15T00:00:00"/>
    <s v="hours"/>
    <s v="Voluntarily Terminated"/>
    <x v="0"/>
    <s v="Elijiah Gray"/>
    <n v="16"/>
    <s v="Diversity Job Fair"/>
    <x v="1"/>
    <x v="55"/>
    <n v="4"/>
    <n v="0"/>
    <s v="4/29/2016"/>
    <n v="0"/>
    <n v="2"/>
    <s v="Normal"/>
    <s v="low Outlier"/>
    <n v="55"/>
    <n v="14"/>
    <n v="5"/>
    <s v="10+ Years"/>
    <s v="46-55"/>
    <s v="Mid (40-70K)"/>
    <n v="0"/>
    <x v="0"/>
    <n v="11"/>
    <s v="Q4"/>
    <s v="Nov"/>
    <s v="2011-11"/>
    <n v="2016"/>
    <s v="Production       "/>
    <n v="40"/>
    <n v="6"/>
    <s v="Medium"/>
  </r>
  <r>
    <s v="Gill, Whitney  "/>
    <n v="10142"/>
    <n v="0"/>
    <n v="4"/>
    <n v="0"/>
    <n v="4"/>
    <n v="6"/>
    <x v="1"/>
    <n v="0"/>
    <x v="104"/>
    <n v="1"/>
    <n v="3"/>
    <s v="Area Sales Manager"/>
    <s v="OH"/>
    <n v="43050"/>
    <d v="1971-07-10T00:00:00"/>
    <s v="F"/>
    <s v="Widowed"/>
    <s v="US Citizen"/>
    <s v="No"/>
    <s v="Black or African American"/>
    <d v="2014-07-07T00:00:00"/>
    <d v="2015-09-05T00:00:00"/>
    <s v="attendance"/>
    <s v="Terminated for Cause"/>
    <x v="4"/>
    <s v="John Smith"/>
    <n v="17"/>
    <s v="CareerBuilder"/>
    <x v="1"/>
    <x v="56"/>
    <n v="4"/>
    <n v="0"/>
    <s v="1/15/2014"/>
    <n v="0"/>
    <n v="7"/>
    <s v="Normal"/>
    <s v="low Outlier"/>
    <n v="54"/>
    <n v="11"/>
    <n v="1"/>
    <s v="10+ Years"/>
    <s v="46-55"/>
    <s v="Mid (40-70K)"/>
    <n v="0"/>
    <x v="4"/>
    <n v="7"/>
    <s v="Q3"/>
    <s v="Jul"/>
    <s v="2014-07"/>
    <n v="2015"/>
    <s v="Production       "/>
    <n v="20"/>
    <n v="4"/>
    <s v="Medium"/>
  </r>
  <r>
    <s v="Gilles, Alex"/>
    <n v="10283"/>
    <n v="1"/>
    <n v="1"/>
    <n v="1"/>
    <n v="5"/>
    <n v="5"/>
    <x v="2"/>
    <n v="1"/>
    <x v="105"/>
    <n v="1"/>
    <n v="19"/>
    <s v="Production Technician I"/>
    <s v="MA"/>
    <n v="2062"/>
    <d v="1974-08-09T00:00:00"/>
    <s v="M "/>
    <s v="Married"/>
    <s v="US Citizen"/>
    <s v="No"/>
    <s v="Black or African American"/>
    <d v="2012-04-02T00:00:00"/>
    <d v="2015-06-25T00:00:00"/>
    <s v="military"/>
    <s v="Voluntarily Terminated"/>
    <x v="0"/>
    <s v="Webster Butler"/>
    <n v="39"/>
    <s v="Diversity Job Fair"/>
    <x v="2"/>
    <x v="56"/>
    <n v="4"/>
    <n v="0"/>
    <s v="1/20/2015"/>
    <n v="3"/>
    <n v="15"/>
    <s v="Normal"/>
    <s v="low Outlier"/>
    <n v="51"/>
    <n v="13"/>
    <n v="3"/>
    <s v="10+ Years"/>
    <s v="46-55"/>
    <s v="Mid (40-70K)"/>
    <n v="0"/>
    <x v="3"/>
    <n v="4"/>
    <s v="Q2"/>
    <s v="Apr"/>
    <s v="2012-04"/>
    <n v="2015"/>
    <s v="Production       "/>
    <n v="71.428571428571431"/>
    <n v="2"/>
    <s v="High"/>
  </r>
  <r>
    <s v="Girifalco, Evelyn"/>
    <n v="10018"/>
    <n v="0"/>
    <n v="0"/>
    <n v="0"/>
    <n v="1"/>
    <n v="5"/>
    <x v="0"/>
    <n v="0"/>
    <x v="24"/>
    <n v="0"/>
    <n v="19"/>
    <s v="Production Technician I"/>
    <s v="MA"/>
    <n v="2451"/>
    <d v="1980-05-08T00:00:00"/>
    <s v="F"/>
    <s v="Single"/>
    <s v="US Citizen"/>
    <s v="Yes"/>
    <s v="Two or more races"/>
    <d v="2014-09-29T00:00:00"/>
    <m/>
    <s v="N/A-StillEmployed"/>
    <s v="Active"/>
    <x v="0"/>
    <s v="Amy Dunn"/>
    <n v="11"/>
    <s v="Indeed"/>
    <x v="0"/>
    <x v="57"/>
    <n v="4"/>
    <n v="0"/>
    <s v="2/7/2019"/>
    <n v="0"/>
    <n v="3"/>
    <s v="Normal"/>
    <s v="low Outlier"/>
    <n v="45"/>
    <n v="11"/>
    <n v="11"/>
    <s v="10+ Years"/>
    <s v="36-45"/>
    <s v="Mid (40-70K)"/>
    <n v="1"/>
    <x v="4"/>
    <n v="9"/>
    <s v="Q3"/>
    <s v="Sep"/>
    <s v="2014-09"/>
    <s v="N/A"/>
    <s v="Production       "/>
    <n v="78.571428571428569"/>
    <n v="0"/>
    <s v="Medium"/>
  </r>
  <r>
    <s v="Givens, Myriam"/>
    <n v="10255"/>
    <n v="0"/>
    <n v="0"/>
    <n v="0"/>
    <n v="1"/>
    <n v="6"/>
    <x v="1"/>
    <n v="0"/>
    <x v="106"/>
    <n v="0"/>
    <n v="3"/>
    <s v="Area Sales Manager"/>
    <s v="IN"/>
    <n v="46204"/>
    <d v="1989-09-22T00:00:00"/>
    <s v="F"/>
    <s v="Single"/>
    <s v="US Citizen"/>
    <s v="No"/>
    <s v="White"/>
    <d v="2015-02-16T00:00:00"/>
    <m/>
    <s v="N/A-StillEmployed"/>
    <s v="Active"/>
    <x v="4"/>
    <s v="Lynn Daneault"/>
    <n v="21"/>
    <s v="Indeed"/>
    <x v="1"/>
    <x v="10"/>
    <n v="5"/>
    <n v="0"/>
    <s v="1/25/2019"/>
    <n v="0"/>
    <n v="20"/>
    <s v="Normal"/>
    <s v="low Outlier"/>
    <n v="36"/>
    <n v="11"/>
    <n v="11"/>
    <s v="10+ Years"/>
    <s v="36-45"/>
    <s v="Mid (40-70K)"/>
    <n v="1"/>
    <x v="1"/>
    <n v="2"/>
    <s v="Q1"/>
    <s v="Feb"/>
    <s v="2015-02"/>
    <s v="N/A"/>
    <s v="Production       "/>
    <n v="0"/>
    <n v="0"/>
    <s v="Medium"/>
  </r>
  <r>
    <s v="Goble, Taisha"/>
    <n v="10246"/>
    <n v="0"/>
    <n v="0"/>
    <n v="0"/>
    <n v="4"/>
    <n v="3"/>
    <x v="1"/>
    <n v="0"/>
    <x v="107"/>
    <n v="1"/>
    <n v="8"/>
    <s v="Database Administrator"/>
    <s v="MA"/>
    <n v="2127"/>
    <d v="1971-10-23T00:00:00"/>
    <s v="F"/>
    <s v="Single"/>
    <s v="US Citizen"/>
    <s v="No"/>
    <s v="White"/>
    <d v="2015-02-16T00:00:00"/>
    <d v="2015-03-15T00:00:00"/>
    <s v="no-call, no-show"/>
    <s v="Terminated for Cause"/>
    <x v="1"/>
    <s v="Simon Roup"/>
    <n v="4"/>
    <s v="Indeed"/>
    <x v="1"/>
    <x v="0"/>
    <n v="4"/>
    <n v="4"/>
    <s v="1/20/2015"/>
    <n v="0"/>
    <n v="10"/>
    <s v="Normal"/>
    <s v="low Outlier"/>
    <n v="54"/>
    <n v="11"/>
    <n v="0"/>
    <s v="10+ Years"/>
    <s v="46-55"/>
    <s v="Executive (100K+)"/>
    <n v="0"/>
    <x v="1"/>
    <n v="2"/>
    <s v="Q1"/>
    <s v="Feb"/>
    <s v="2015-02"/>
    <n v="2015"/>
    <s v="Production       "/>
    <n v="45.454545454545453"/>
    <n v="3"/>
    <s v="Medium"/>
  </r>
  <r>
    <s v="Goeth, Amon"/>
    <n v="10228"/>
    <n v="1"/>
    <n v="1"/>
    <n v="1"/>
    <n v="1"/>
    <n v="3"/>
    <x v="1"/>
    <n v="0"/>
    <x v="108"/>
    <n v="0"/>
    <n v="14"/>
    <s v="IT Support"/>
    <s v="MA"/>
    <n v="2135"/>
    <d v="1989-11-24T00:00:00"/>
    <s v="M "/>
    <s v="Married"/>
    <s v="US Citizen"/>
    <s v="Yes"/>
    <s v="White"/>
    <d v="2015-03-30T00:00:00"/>
    <m/>
    <s v="N/A-StillEmployed"/>
    <s v="Active"/>
    <x v="1"/>
    <s v="Peter Monroe"/>
    <n v="7"/>
    <s v="LinkedIn"/>
    <x v="1"/>
    <x v="25"/>
    <n v="5"/>
    <n v="7"/>
    <s v="1/10/2019"/>
    <n v="0"/>
    <n v="20"/>
    <s v="Normal"/>
    <s v="low Outlier"/>
    <n v="36"/>
    <n v="11"/>
    <n v="11"/>
    <s v="10+ Years"/>
    <s v="36-45"/>
    <s v="Senior (70-100K)"/>
    <n v="1"/>
    <x v="1"/>
    <n v="3"/>
    <s v="Q1"/>
    <s v="Mar"/>
    <s v="2015-03"/>
    <s v="N/A"/>
    <s v="Production       "/>
    <n v="11.111111111111111"/>
    <n v="0"/>
    <s v="Medium"/>
  </r>
  <r>
    <s v="Gold, Shenice  "/>
    <n v="10243"/>
    <n v="0"/>
    <n v="0"/>
    <n v="0"/>
    <n v="1"/>
    <n v="5"/>
    <x v="1"/>
    <n v="0"/>
    <x v="109"/>
    <n v="0"/>
    <n v="19"/>
    <s v="Production Technician I"/>
    <s v="MA"/>
    <n v="2451"/>
    <d v="1992-06-18T00:00:00"/>
    <s v="F"/>
    <s v="Single"/>
    <s v="US Citizen"/>
    <s v="Yes"/>
    <s v="White"/>
    <d v="2013-11-11T00:00:00"/>
    <m/>
    <s v="N/A-StillEmployed"/>
    <s v="Active"/>
    <x v="0"/>
    <s v="Ketsia Liebig"/>
    <n v="19"/>
    <s v="Indeed"/>
    <x v="1"/>
    <x v="25"/>
    <n v="5"/>
    <n v="0"/>
    <s v="2/18/2019"/>
    <n v="0"/>
    <n v="7"/>
    <s v="Normal"/>
    <s v="low Outlier"/>
    <n v="33"/>
    <n v="12"/>
    <n v="12"/>
    <s v="10+ Years"/>
    <s v="26-35"/>
    <s v="Mid (40-70K)"/>
    <n v="1"/>
    <x v="5"/>
    <n v="11"/>
    <s v="Q4"/>
    <s v="Nov"/>
    <s v="2013-11"/>
    <s v="N/A"/>
    <s v="Production       "/>
    <n v="28.571428571428569"/>
    <n v="0"/>
    <s v="Medium"/>
  </r>
  <r>
    <s v="Gonzalez, Cayo"/>
    <n v="10031"/>
    <n v="0"/>
    <n v="2"/>
    <n v="1"/>
    <n v="1"/>
    <n v="5"/>
    <x v="0"/>
    <n v="1"/>
    <x v="110"/>
    <n v="0"/>
    <n v="19"/>
    <s v="Production Technician I"/>
    <s v="MA"/>
    <n v="2108"/>
    <d v="1969-09-29T00:00:00"/>
    <s v="M "/>
    <s v="Divorced"/>
    <s v="US Citizen"/>
    <s v="No"/>
    <s v="Black or African American"/>
    <d v="2011-07-11T00:00:00"/>
    <m/>
    <s v="N/A-StillEmployed"/>
    <s v="Active"/>
    <x v="0"/>
    <s v="Brannon Miller"/>
    <n v="12"/>
    <s v="Diversity Job Fair"/>
    <x v="0"/>
    <x v="10"/>
    <n v="4"/>
    <n v="0"/>
    <s v="2/18/2019"/>
    <n v="0"/>
    <n v="1"/>
    <s v="Normal"/>
    <s v="low Outlier"/>
    <n v="56"/>
    <n v="14"/>
    <n v="14"/>
    <s v="10+ Years"/>
    <s v="55+"/>
    <s v="Mid (40-70K)"/>
    <n v="1"/>
    <x v="0"/>
    <n v="7"/>
    <s v="Q3"/>
    <s v="Jul"/>
    <s v="2011-07"/>
    <s v="N/A"/>
    <s v="Production       "/>
    <n v="33.333333333333329"/>
    <n v="0"/>
    <s v="Low"/>
  </r>
  <r>
    <s v="Gonzalez, Juan"/>
    <n v="10300"/>
    <n v="1"/>
    <n v="1"/>
    <n v="1"/>
    <n v="5"/>
    <n v="5"/>
    <x v="3"/>
    <n v="1"/>
    <x v="111"/>
    <n v="1"/>
    <n v="20"/>
    <s v="Production Technician II"/>
    <s v="MA"/>
    <n v="2128"/>
    <d v="1964-10-12T00:00:00"/>
    <s v="M "/>
    <s v="Married"/>
    <s v="US Citizen"/>
    <s v="No"/>
    <s v="Black or African American"/>
    <d v="2010-04-26T00:00:00"/>
    <d v="2011-05-30T00:00:00"/>
    <s v="career change"/>
    <s v="Voluntarily Terminated"/>
    <x v="0"/>
    <s v="Brannon Miller"/>
    <n v="12"/>
    <s v="Diversity Job Fair"/>
    <x v="3"/>
    <x v="24"/>
    <n v="3"/>
    <n v="0"/>
    <s v="3/6/2011"/>
    <n v="3"/>
    <n v="10"/>
    <s v="Normal"/>
    <s v="low Outlier"/>
    <n v="61"/>
    <n v="15"/>
    <n v="1"/>
    <s v="10+ Years"/>
    <s v="55+"/>
    <s v="Mid (40-70K)"/>
    <n v="0"/>
    <x v="8"/>
    <n v="4"/>
    <s v="Q2"/>
    <s v="Apr"/>
    <s v="2010-04"/>
    <n v="2011"/>
    <s v="Production       "/>
    <n v="35.714285714285715"/>
    <n v="5"/>
    <s v="High"/>
  </r>
  <r>
    <s v="Gonzalez, Maria"/>
    <n v="10101"/>
    <n v="0"/>
    <n v="3"/>
    <n v="0"/>
    <n v="1"/>
    <n v="3"/>
    <x v="1"/>
    <n v="0"/>
    <x v="112"/>
    <n v="0"/>
    <n v="14"/>
    <s v="IT Support"/>
    <s v="MA"/>
    <n v="2472"/>
    <d v="1981-04-16T00:00:00"/>
    <s v="F"/>
    <s v="Separated"/>
    <s v="US Citizen"/>
    <s v="Yes"/>
    <s v="White"/>
    <d v="2015-01-05T00:00:00"/>
    <m/>
    <s v="N/A-StillEmployed"/>
    <s v="Active"/>
    <x v="1"/>
    <s v="Peter Monroe"/>
    <n v="7"/>
    <s v="Employee Referral"/>
    <x v="1"/>
    <x v="58"/>
    <n v="4"/>
    <n v="5"/>
    <s v="1/28/2019"/>
    <n v="0"/>
    <n v="11"/>
    <s v="Normal"/>
    <s v="low Outlier"/>
    <n v="44"/>
    <n v="11"/>
    <n v="11"/>
    <s v="10+ Years"/>
    <s v="36-45"/>
    <s v="Mid (40-70K)"/>
    <n v="1"/>
    <x v="1"/>
    <n v="1"/>
    <s v="Q1"/>
    <s v="Jan"/>
    <s v="2015-01"/>
    <s v="N/A"/>
    <s v="Production       "/>
    <n v="12.5"/>
    <n v="0"/>
    <s v="Medium"/>
  </r>
  <r>
    <s v="Good, Susan"/>
    <n v="10237"/>
    <n v="1"/>
    <n v="1"/>
    <n v="0"/>
    <n v="3"/>
    <n v="5"/>
    <x v="1"/>
    <n v="0"/>
    <x v="113"/>
    <n v="0"/>
    <n v="20"/>
    <s v="Production Technician II"/>
    <s v="MA"/>
    <n v="1886"/>
    <d v="1986-05-25T00:00:00"/>
    <s v="F"/>
    <s v="Married"/>
    <s v="US Citizen"/>
    <s v="No"/>
    <s v="White"/>
    <d v="2014-05-12T00:00:00"/>
    <m/>
    <s v="N/A-StillEmployed"/>
    <s v="Active"/>
    <x v="0"/>
    <s v="David Stanley"/>
    <n v="14"/>
    <s v="LinkedIn"/>
    <x v="1"/>
    <x v="0"/>
    <n v="3"/>
    <n v="0"/>
    <s v="2/7/2019"/>
    <n v="0"/>
    <n v="20"/>
    <s v="Normal"/>
    <s v="low Outlier"/>
    <n v="39"/>
    <n v="11"/>
    <n v="11"/>
    <s v="10+ Years"/>
    <s v="36-45"/>
    <s v="Mid (40-70K)"/>
    <n v="1"/>
    <x v="4"/>
    <n v="5"/>
    <s v="Q2"/>
    <s v="May"/>
    <s v="2014-05"/>
    <s v="N/A"/>
    <s v="Production       "/>
    <n v="20"/>
    <n v="0"/>
    <s v="Medium"/>
  </r>
  <r>
    <s v="Gordon, David"/>
    <n v="10051"/>
    <n v="1"/>
    <n v="1"/>
    <n v="1"/>
    <n v="1"/>
    <n v="5"/>
    <x v="1"/>
    <n v="0"/>
    <x v="114"/>
    <n v="0"/>
    <n v="19"/>
    <s v="Production Technician I"/>
    <s v="MA"/>
    <n v="2169"/>
    <d v="1979-05-21T00:00:00"/>
    <s v="M "/>
    <s v="Married"/>
    <s v="US Citizen"/>
    <s v="No"/>
    <s v="White"/>
    <d v="2012-07-02T00:00:00"/>
    <m/>
    <s v="N/A-StillEmployed"/>
    <s v="Active"/>
    <x v="0"/>
    <s v="David Stanley"/>
    <n v="14"/>
    <s v="LinkedIn"/>
    <x v="1"/>
    <x v="4"/>
    <n v="3"/>
    <n v="0"/>
    <s v="1/14/2019"/>
    <n v="0"/>
    <n v="2"/>
    <s v="Normal"/>
    <s v="low Outlier"/>
    <n v="46"/>
    <n v="13"/>
    <n v="13"/>
    <s v="10+ Years"/>
    <s v="46-55"/>
    <s v="Mid (40-70K)"/>
    <n v="1"/>
    <x v="3"/>
    <n v="7"/>
    <s v="Q3"/>
    <s v="Jul"/>
    <s v="2012-07"/>
    <s v="N/A"/>
    <s v="Production       "/>
    <n v="21.428571428571427"/>
    <n v="0"/>
    <s v="Medium"/>
  </r>
  <r>
    <s v="Gosciminski, Phylicia  "/>
    <n v="10218"/>
    <n v="0"/>
    <n v="3"/>
    <n v="0"/>
    <n v="3"/>
    <n v="5"/>
    <x v="1"/>
    <n v="0"/>
    <x v="115"/>
    <n v="0"/>
    <n v="20"/>
    <s v="Production Technician II"/>
    <s v="MA"/>
    <n v="1824"/>
    <d v="1983-12-08T00:00:00"/>
    <s v="F"/>
    <s v="Separated"/>
    <s v="US Citizen"/>
    <s v="No"/>
    <s v="American Indian or Alaska Native"/>
    <d v="2013-09-30T00:00:00"/>
    <m/>
    <s v="N/A-StillEmployed"/>
    <s v="Active"/>
    <x v="0"/>
    <s v="Kissy Sullivan"/>
    <n v="20"/>
    <s v="Google Search"/>
    <x v="1"/>
    <x v="9"/>
    <n v="5"/>
    <n v="0"/>
    <s v="2/21/2019"/>
    <n v="0"/>
    <n v="1"/>
    <s v="Normal"/>
    <s v="low Outlier"/>
    <n v="42"/>
    <n v="12"/>
    <n v="12"/>
    <s v="10+ Years"/>
    <s v="36-45"/>
    <s v="Mid (40-70K)"/>
    <n v="1"/>
    <x v="5"/>
    <n v="9"/>
    <s v="Q3"/>
    <s v="Sep"/>
    <s v="2013-09"/>
    <s v="N/A"/>
    <s v="Production       "/>
    <n v="50"/>
    <n v="0"/>
    <s v="Medium"/>
  </r>
  <r>
    <s v="Goyal, Roxana"/>
    <n v="10256"/>
    <n v="1"/>
    <n v="1"/>
    <n v="0"/>
    <n v="3"/>
    <n v="5"/>
    <x v="1"/>
    <n v="0"/>
    <x v="116"/>
    <n v="0"/>
    <n v="19"/>
    <s v="Production Technician I"/>
    <s v="MA"/>
    <n v="1864"/>
    <d v="1974-10-09T00:00:00"/>
    <s v="F"/>
    <s v="Married"/>
    <s v="US Citizen"/>
    <s v="No"/>
    <s v="Asian"/>
    <d v="2013-08-19T00:00:00"/>
    <m/>
    <s v="N/A-StillEmployed"/>
    <s v="Active"/>
    <x v="0"/>
    <s v="Kissy Sullivan"/>
    <n v="20"/>
    <s v="LinkedIn"/>
    <x v="1"/>
    <x v="28"/>
    <n v="5"/>
    <n v="0"/>
    <s v="2/15/2019"/>
    <n v="0"/>
    <n v="3"/>
    <s v="Normal"/>
    <s v="low Outlier"/>
    <n v="51"/>
    <n v="12"/>
    <n v="12"/>
    <s v="10+ Years"/>
    <s v="46-55"/>
    <s v="Mid (40-70K)"/>
    <n v="1"/>
    <x v="5"/>
    <n v="8"/>
    <s v="Q3"/>
    <s v="Aug"/>
    <s v="2013-08"/>
    <s v="N/A"/>
    <s v="Production       "/>
    <n v="53.333333333333336"/>
    <n v="0"/>
    <s v="Medium"/>
  </r>
  <r>
    <s v="Gray, Elijiah  "/>
    <n v="10098"/>
    <n v="0"/>
    <n v="2"/>
    <n v="1"/>
    <n v="1"/>
    <n v="5"/>
    <x v="1"/>
    <n v="0"/>
    <x v="117"/>
    <n v="0"/>
    <n v="18"/>
    <s v="Production Manager"/>
    <s v="MA"/>
    <n v="1752"/>
    <d v="1981-07-11T00:00:00"/>
    <s v="M "/>
    <s v="Divorced"/>
    <s v="US Citizen"/>
    <s v="No"/>
    <s v="White"/>
    <d v="2015-06-02T00:00:00"/>
    <m/>
    <s v="N/A-StillEmployed"/>
    <s v="Active"/>
    <x v="0"/>
    <s v="Janet King"/>
    <n v="2"/>
    <s v="Employee Referral"/>
    <x v="1"/>
    <x v="59"/>
    <n v="3"/>
    <n v="0"/>
    <s v="1/4/2019"/>
    <n v="0"/>
    <n v="2"/>
    <s v="Normal"/>
    <s v="low Outlier"/>
    <n v="44"/>
    <n v="10"/>
    <n v="10"/>
    <s v="10+ Years"/>
    <s v="36-45"/>
    <s v="Mid (40-70K)"/>
    <n v="1"/>
    <x v="1"/>
    <n v="6"/>
    <s v="Q2"/>
    <s v="Jun"/>
    <s v="2015-06"/>
    <s v="N/A"/>
    <s v="Production       "/>
    <n v="35.714285714285715"/>
    <n v="0"/>
    <s v="Medium"/>
  </r>
  <r>
    <s v="Gross, Paula"/>
    <n v="10059"/>
    <n v="0"/>
    <n v="2"/>
    <n v="0"/>
    <n v="5"/>
    <n v="5"/>
    <x v="1"/>
    <n v="0"/>
    <x v="118"/>
    <n v="1"/>
    <n v="19"/>
    <s v="Production Technician I"/>
    <s v="MA"/>
    <n v="2176"/>
    <d v="1983-05-21T00:00:00"/>
    <s v="F"/>
    <s v="Divorced"/>
    <s v="US Citizen"/>
    <s v="No"/>
    <s v="White"/>
    <d v="2011-02-21T00:00:00"/>
    <d v="2014-01-11T00:00:00"/>
    <s v="more money"/>
    <s v="Voluntarily Terminated"/>
    <x v="0"/>
    <s v="Kelley Spirea"/>
    <n v="18"/>
    <s v="CareerBuilder"/>
    <x v="1"/>
    <x v="4"/>
    <n v="5"/>
    <n v="0"/>
    <s v="6/3/2013"/>
    <n v="0"/>
    <n v="17"/>
    <s v="Normal"/>
    <s v="low Outlier"/>
    <n v="42"/>
    <n v="15"/>
    <n v="2"/>
    <s v="10+ Years"/>
    <s v="36-45"/>
    <s v="Mid (40-70K)"/>
    <n v="0"/>
    <x v="0"/>
    <n v="2"/>
    <s v="Q1"/>
    <s v="Feb"/>
    <s v="2011-02"/>
    <n v="2014"/>
    <s v="Production       "/>
    <n v="30.76923076923077"/>
    <n v="10"/>
    <s v="Medium"/>
  </r>
  <r>
    <s v="Gruber, Hans"/>
    <n v="10234"/>
    <n v="1"/>
    <n v="1"/>
    <n v="1"/>
    <n v="1"/>
    <n v="3"/>
    <x v="1"/>
    <n v="0"/>
    <x v="119"/>
    <n v="0"/>
    <n v="4"/>
    <s v="BI Developer"/>
    <s v="MA"/>
    <n v="2134"/>
    <d v="1989-06-30T00:00:00"/>
    <s v="M "/>
    <s v="Married"/>
    <s v="US Citizen"/>
    <s v="No"/>
    <s v="Black or African American"/>
    <d v="2017-04-20T00:00:00"/>
    <m/>
    <s v="N/A-StillEmployed"/>
    <s v="Active"/>
    <x v="1"/>
    <s v="Brian Champaigne"/>
    <n v="13"/>
    <s v="Indeed"/>
    <x v="1"/>
    <x v="7"/>
    <n v="5"/>
    <n v="5"/>
    <s v="1/28/2019"/>
    <n v="0"/>
    <n v="8"/>
    <s v="Normal"/>
    <s v="low Outlier"/>
    <n v="36"/>
    <n v="8"/>
    <n v="8"/>
    <s v="5-10 Years"/>
    <s v="36-45"/>
    <s v="Senior (70-100K)"/>
    <n v="1"/>
    <x v="10"/>
    <n v="4"/>
    <s v="Q2"/>
    <s v="Apr"/>
    <s v="2017-04"/>
    <s v="N/A"/>
    <s v="Production       "/>
    <n v="0"/>
    <n v="0"/>
    <s v="Medium"/>
  </r>
  <r>
    <s v="Guilianno, Mike"/>
    <n v="10109"/>
    <n v="0"/>
    <n v="0"/>
    <n v="1"/>
    <n v="5"/>
    <n v="6"/>
    <x v="1"/>
    <n v="0"/>
    <x v="120"/>
    <n v="1"/>
    <n v="3"/>
    <s v="Area Sales Manager"/>
    <s v="TN"/>
    <n v="37129"/>
    <d v="1969-02-09T00:00:00"/>
    <s v="M "/>
    <s v="Single"/>
    <s v="US Citizen"/>
    <s v="No"/>
    <s v="Two or more races"/>
    <d v="2012-03-07T00:00:00"/>
    <d v="2014-10-31T00:00:00"/>
    <s v="relocation out of area"/>
    <s v="Voluntarily Terminated"/>
    <x v="4"/>
    <s v="John Smith"/>
    <n v="17"/>
    <s v="LinkedIn"/>
    <x v="1"/>
    <x v="10"/>
    <n v="5"/>
    <n v="0"/>
    <s v="2/1/2013"/>
    <n v="0"/>
    <n v="20"/>
    <s v="Normal"/>
    <s v="low Outlier"/>
    <n v="57"/>
    <n v="14"/>
    <n v="2"/>
    <s v="10+ Years"/>
    <s v="55+"/>
    <s v="Senior (70-100K)"/>
    <n v="0"/>
    <x v="3"/>
    <n v="3"/>
    <s v="Q1"/>
    <s v="Mar"/>
    <s v="2012-03"/>
    <n v="2014"/>
    <s v="Production       "/>
    <n v="11.111111111111111"/>
    <n v="4"/>
    <s v="Medium"/>
  </r>
  <r>
    <s v="Handschiegl, Joanne"/>
    <n v="10125"/>
    <n v="1"/>
    <n v="1"/>
    <n v="0"/>
    <n v="1"/>
    <n v="5"/>
    <x v="1"/>
    <n v="0"/>
    <x v="121"/>
    <n v="0"/>
    <n v="19"/>
    <s v="Production Technician I"/>
    <s v="MA"/>
    <n v="2127"/>
    <d v="1977-03-23T00:00:00"/>
    <s v="F"/>
    <s v="Married"/>
    <s v="US Citizen"/>
    <s v="No"/>
    <s v="White"/>
    <d v="2011-11-28T00:00:00"/>
    <m/>
    <s v="N/A-StillEmployed"/>
    <s v="Active"/>
    <x v="0"/>
    <s v="Michael Albert"/>
    <n v="22"/>
    <s v="Google Search"/>
    <x v="1"/>
    <x v="7"/>
    <n v="4"/>
    <n v="0"/>
    <s v="2/22/2019"/>
    <n v="0"/>
    <n v="13"/>
    <s v="Normal"/>
    <s v="low Outlier"/>
    <n v="49"/>
    <n v="14"/>
    <n v="14"/>
    <s v="10+ Years"/>
    <s v="46-55"/>
    <s v="Mid (40-70K)"/>
    <n v="1"/>
    <x v="0"/>
    <n v="11"/>
    <s v="Q4"/>
    <s v="Nov"/>
    <s v="2011-11"/>
    <s v="N/A"/>
    <s v="Production       "/>
    <n v="50"/>
    <n v="0"/>
    <s v="Medium"/>
  </r>
  <r>
    <s v="Hankard, Earnest"/>
    <n v="10074"/>
    <n v="0"/>
    <n v="0"/>
    <n v="1"/>
    <n v="1"/>
    <n v="5"/>
    <x v="1"/>
    <n v="0"/>
    <x v="122"/>
    <n v="0"/>
    <n v="20"/>
    <s v="Production Technician II"/>
    <s v="MA"/>
    <n v="2155"/>
    <d v="1988-08-10T00:00:00"/>
    <s v="M "/>
    <s v="Single"/>
    <s v="US Citizen"/>
    <s v="Yes"/>
    <s v="White"/>
    <d v="2013-11-11T00:00:00"/>
    <m/>
    <s v="N/A-StillEmployed"/>
    <s v="Active"/>
    <x v="0"/>
    <s v="Kelley Spirea"/>
    <n v="18"/>
    <s v="LinkedIn"/>
    <x v="1"/>
    <x v="4"/>
    <n v="3"/>
    <n v="0"/>
    <s v="1/8/2019"/>
    <n v="0"/>
    <n v="20"/>
    <s v="Normal"/>
    <s v="low Outlier"/>
    <n v="37"/>
    <n v="12"/>
    <n v="12"/>
    <s v="10+ Years"/>
    <s v="36-45"/>
    <s v="Mid (40-70K)"/>
    <n v="1"/>
    <x v="5"/>
    <n v="11"/>
    <s v="Q4"/>
    <s v="Nov"/>
    <s v="2013-11"/>
    <s v="N/A"/>
    <s v="Production       "/>
    <n v="25"/>
    <n v="0"/>
    <s v="Medium"/>
  </r>
  <r>
    <s v="Harrington, Christie "/>
    <n v="10097"/>
    <n v="0"/>
    <n v="0"/>
    <n v="0"/>
    <n v="5"/>
    <n v="5"/>
    <x v="1"/>
    <n v="0"/>
    <x v="123"/>
    <n v="1"/>
    <n v="19"/>
    <s v="Production Technician I"/>
    <s v="MA"/>
    <n v="2324"/>
    <d v="1952-08-18T00:00:00"/>
    <s v="F"/>
    <s v="Single"/>
    <s v="US Citizen"/>
    <s v="No"/>
    <s v="White"/>
    <d v="2012-01-09T00:00:00"/>
    <d v="2015-12-15T00:00:00"/>
    <s v="retiring"/>
    <s v="Voluntarily Terminated"/>
    <x v="0"/>
    <s v="Webster Butler"/>
    <n v="39"/>
    <s v="CareerBuilder"/>
    <x v="1"/>
    <x v="60"/>
    <n v="4"/>
    <n v="0"/>
    <s v="5/2/2015"/>
    <n v="0"/>
    <n v="8"/>
    <s v="Normal"/>
    <s v="low Outlier"/>
    <n v="73"/>
    <n v="14"/>
    <n v="3"/>
    <s v="10+ Years"/>
    <s v="55+"/>
    <s v="Mid (40-70K)"/>
    <n v="0"/>
    <x v="3"/>
    <n v="1"/>
    <s v="Q1"/>
    <s v="Jan"/>
    <s v="2012-01"/>
    <n v="2015"/>
    <s v="Production       "/>
    <n v="69.230769230769226"/>
    <n v="3"/>
    <s v="Medium"/>
  </r>
  <r>
    <s v="Harrison, Kara"/>
    <n v="10007"/>
    <n v="1"/>
    <n v="1"/>
    <n v="0"/>
    <n v="1"/>
    <n v="5"/>
    <x v="0"/>
    <n v="0"/>
    <x v="124"/>
    <n v="0"/>
    <n v="19"/>
    <s v="Production Technician I"/>
    <s v="MA"/>
    <n v="1886"/>
    <d v="1974-05-02T00:00:00"/>
    <s v="F"/>
    <s v="Married"/>
    <s v="US Citizen"/>
    <s v="No"/>
    <s v="White"/>
    <d v="2014-05-12T00:00:00"/>
    <m/>
    <s v="N/A-StillEmployed"/>
    <s v="Active"/>
    <x v="0"/>
    <s v="Amy Dunn"/>
    <n v="11"/>
    <s v="CareerBuilder"/>
    <x v="0"/>
    <x v="52"/>
    <n v="4"/>
    <n v="0"/>
    <s v="2/15/2019"/>
    <n v="0"/>
    <n v="5"/>
    <s v="Normal"/>
    <s v="low Outlier"/>
    <n v="51"/>
    <n v="11"/>
    <n v="11"/>
    <s v="10+ Years"/>
    <s v="46-55"/>
    <s v="Mid (40-70K)"/>
    <n v="1"/>
    <x v="4"/>
    <n v="5"/>
    <s v="Q2"/>
    <s v="May"/>
    <s v="2014-05"/>
    <s v="N/A"/>
    <s v="Production       "/>
    <n v="84.615384615384613"/>
    <n v="0"/>
    <s v="Low"/>
  </r>
  <r>
    <s v="Heitzman, Anthony"/>
    <n v="10129"/>
    <n v="0"/>
    <n v="0"/>
    <n v="1"/>
    <n v="1"/>
    <n v="5"/>
    <x v="1"/>
    <n v="0"/>
    <x v="125"/>
    <n v="0"/>
    <n v="19"/>
    <s v="Production Technician I"/>
    <s v="MA"/>
    <n v="2149"/>
    <d v="1984-01-04T00:00:00"/>
    <s v="M "/>
    <s v="Single"/>
    <s v="US Citizen"/>
    <s v="No"/>
    <s v="White"/>
    <d v="2012-08-13T00:00:00"/>
    <m/>
    <s v="N/A-StillEmployed"/>
    <s v="Active"/>
    <x v="0"/>
    <s v="Ketsia Liebig"/>
    <n v="19"/>
    <s v="Google Search"/>
    <x v="1"/>
    <x v="61"/>
    <n v="4"/>
    <n v="0"/>
    <s v="2/11/2019"/>
    <n v="0"/>
    <n v="1"/>
    <s v="Normal"/>
    <s v="low Outlier"/>
    <n v="42"/>
    <n v="13"/>
    <n v="13"/>
    <s v="10+ Years"/>
    <s v="36-45"/>
    <s v="Mid (40-70K)"/>
    <n v="1"/>
    <x v="3"/>
    <n v="8"/>
    <s v="Q3"/>
    <s v="Aug"/>
    <s v="2012-08"/>
    <s v="N/A"/>
    <s v="Production       "/>
    <n v="30.76923076923077"/>
    <n v="0"/>
    <s v="Medium"/>
  </r>
  <r>
    <s v="Hendrickson, Trina"/>
    <n v="10075"/>
    <n v="0"/>
    <n v="0"/>
    <n v="0"/>
    <n v="5"/>
    <n v="5"/>
    <x v="1"/>
    <n v="0"/>
    <x v="126"/>
    <n v="1"/>
    <n v="20"/>
    <s v="Production Technician II"/>
    <s v="MA"/>
    <n v="2021"/>
    <d v="1972-08-27T00:00:00"/>
    <s v="F"/>
    <s v="Single"/>
    <s v="US Citizen"/>
    <s v="No"/>
    <s v="White"/>
    <d v="2011-01-10T00:00:00"/>
    <d v="2013-06-18T00:00:00"/>
    <s v="hours"/>
    <s v="Voluntarily Terminated"/>
    <x v="0"/>
    <s v="Kelley Spirea"/>
    <n v="18"/>
    <s v="CareerBuilder"/>
    <x v="1"/>
    <x v="4"/>
    <n v="3"/>
    <n v="0"/>
    <s v="1/30/2013"/>
    <n v="0"/>
    <n v="15"/>
    <s v="Normal"/>
    <s v="low Outlier"/>
    <n v="53"/>
    <n v="15"/>
    <n v="2"/>
    <s v="10+ Years"/>
    <s v="46-55"/>
    <s v="Mid (40-70K)"/>
    <n v="0"/>
    <x v="0"/>
    <n v="1"/>
    <s v="Q1"/>
    <s v="Jan"/>
    <s v="2011-01"/>
    <n v="2013"/>
    <s v="Production       "/>
    <n v="27.27272727272727"/>
    <n v="5"/>
    <s v="Medium"/>
  </r>
  <r>
    <s v="Hitchcock, Alfred"/>
    <n v="10167"/>
    <n v="1"/>
    <n v="1"/>
    <n v="1"/>
    <n v="1"/>
    <n v="6"/>
    <x v="1"/>
    <n v="0"/>
    <x v="127"/>
    <n v="0"/>
    <n v="3"/>
    <s v="Area Sales Manager"/>
    <s v="NH"/>
    <n v="3062"/>
    <d v="1988-09-14T00:00:00"/>
    <s v="M "/>
    <s v="Married"/>
    <s v="US Citizen"/>
    <s v="No"/>
    <s v="American Indian or Alaska Native"/>
    <d v="2014-08-18T00:00:00"/>
    <m/>
    <s v="N/A-StillEmployed"/>
    <s v="Active"/>
    <x v="4"/>
    <s v="John Smith"/>
    <n v="17"/>
    <s v="Indeed"/>
    <x v="1"/>
    <x v="62"/>
    <n v="5"/>
    <n v="0"/>
    <s v="1/30/2019"/>
    <n v="0"/>
    <n v="9"/>
    <s v="Normal"/>
    <s v="low Outlier"/>
    <n v="37"/>
    <n v="11"/>
    <n v="11"/>
    <s v="10+ Years"/>
    <s v="36-45"/>
    <s v="Senior (70-100K)"/>
    <n v="1"/>
    <x v="4"/>
    <n v="8"/>
    <s v="Q3"/>
    <s v="Aug"/>
    <s v="2014-08"/>
    <s v="N/A"/>
    <s v="Production       "/>
    <n v="0"/>
    <n v="0"/>
    <s v="Medium"/>
  </r>
  <r>
    <s v="Homberger, Adrienne  J"/>
    <n v="10195"/>
    <n v="1"/>
    <n v="1"/>
    <n v="0"/>
    <n v="5"/>
    <n v="5"/>
    <x v="1"/>
    <n v="0"/>
    <x v="128"/>
    <n v="1"/>
    <n v="20"/>
    <s v="Production Technician II"/>
    <s v="MA"/>
    <n v="2445"/>
    <d v="1984-02-16T00:00:00"/>
    <s v="F"/>
    <s v="Married"/>
    <s v="Non-Citizen"/>
    <s v="No"/>
    <s v="White"/>
    <d v="2011-08-15T00:00:00"/>
    <d v="2012-04-07T00:00:00"/>
    <s v="relocation out of area"/>
    <s v="Voluntarily Terminated"/>
    <x v="0"/>
    <s v="Michael Albert"/>
    <n v="30"/>
    <s v="Indeed"/>
    <x v="1"/>
    <x v="63"/>
    <n v="5"/>
    <n v="0"/>
    <s v="3/5/2012"/>
    <n v="0"/>
    <n v="16"/>
    <s v="Normal"/>
    <s v="low Outlier"/>
    <n v="42"/>
    <n v="14"/>
    <n v="0"/>
    <s v="10+ Years"/>
    <s v="36-45"/>
    <s v="Mid (40-70K)"/>
    <n v="0"/>
    <x v="0"/>
    <n v="8"/>
    <s v="Q3"/>
    <s v="Aug"/>
    <s v="2011-08"/>
    <n v="2012"/>
    <s v="Production       "/>
    <n v="53.846153846153847"/>
    <n v="3"/>
    <s v="Medium"/>
  </r>
  <r>
    <s v="Horton, Jayne"/>
    <n v="10112"/>
    <n v="0"/>
    <n v="0"/>
    <n v="0"/>
    <n v="1"/>
    <n v="3"/>
    <x v="1"/>
    <n v="0"/>
    <x v="129"/>
    <n v="0"/>
    <n v="8"/>
    <s v="Database Administrator"/>
    <s v="MA"/>
    <n v="2493"/>
    <d v="1984-02-21T00:00:00"/>
    <s v="F"/>
    <s v="Single"/>
    <s v="US Citizen"/>
    <s v="No"/>
    <s v="White"/>
    <d v="2015-03-30T00:00:00"/>
    <m/>
    <s v="N/A-StillEmployed"/>
    <s v="Active"/>
    <x v="1"/>
    <s v="Simon Roup"/>
    <n v="4"/>
    <s v="Indeed"/>
    <x v="1"/>
    <x v="64"/>
    <n v="5"/>
    <n v="6"/>
    <s v="1/3/2019"/>
    <n v="0"/>
    <n v="4"/>
    <s v="Normal"/>
    <s v="low Outlier"/>
    <n v="42"/>
    <n v="11"/>
    <n v="11"/>
    <s v="10+ Years"/>
    <s v="36-45"/>
    <s v="Senior (70-100K)"/>
    <n v="1"/>
    <x v="1"/>
    <n v="3"/>
    <s v="Q1"/>
    <s v="Mar"/>
    <s v="2015-03"/>
    <s v="N/A"/>
    <s v="Production       "/>
    <n v="40"/>
    <n v="0"/>
    <s v="Medium"/>
  </r>
  <r>
    <s v="Houlihan, Debra"/>
    <n v="10272"/>
    <n v="1"/>
    <n v="1"/>
    <n v="0"/>
    <n v="1"/>
    <n v="6"/>
    <x v="1"/>
    <n v="0"/>
    <x v="130"/>
    <n v="0"/>
    <n v="11"/>
    <s v="Director of Sales"/>
    <s v="RI"/>
    <n v="2908"/>
    <d v="1966-03-17T00:00:00"/>
    <s v="F"/>
    <s v="Married"/>
    <s v="US Citizen"/>
    <s v="No"/>
    <s v="White"/>
    <d v="2014-05-05T00:00:00"/>
    <m/>
    <s v="N/A-StillEmployed"/>
    <s v="Active"/>
    <x v="4"/>
    <s v="Janet King"/>
    <n v="2"/>
    <s v="LinkedIn"/>
    <x v="1"/>
    <x v="10"/>
    <n v="4"/>
    <n v="0"/>
    <s v="1/21/2019"/>
    <n v="0"/>
    <n v="19"/>
    <s v=" high Outlier"/>
    <s v="low Outlier"/>
    <n v="60"/>
    <n v="11"/>
    <n v="11"/>
    <s v="10+ Years"/>
    <s v="55+"/>
    <s v="Executive (100K+)"/>
    <n v="1"/>
    <x v="4"/>
    <n v="5"/>
    <s v="Q2"/>
    <s v="May"/>
    <s v="2014-05"/>
    <s v="N/A"/>
    <s v="Production       "/>
    <n v="38.461538461538467"/>
    <n v="0"/>
    <s v="Medium"/>
  </r>
  <r>
    <s v="Howard, Estelle"/>
    <n v="10182"/>
    <n v="1"/>
    <n v="1"/>
    <n v="0"/>
    <n v="1"/>
    <n v="1"/>
    <x v="1"/>
    <n v="0"/>
    <x v="131"/>
    <n v="1"/>
    <n v="2"/>
    <s v="Administrative Assistant"/>
    <s v="MA"/>
    <n v="2170"/>
    <d v="1985-09-16T00:00:00"/>
    <s v="F"/>
    <s v="Married"/>
    <s v="US Citizen"/>
    <s v="No"/>
    <s v="Black or African American"/>
    <d v="2015-02-16T00:00:00"/>
    <d v="2015-04-15T00:00:00"/>
    <s v="no-call, no-show"/>
    <s v="Terminated for Cause"/>
    <x v="3"/>
    <s v="Brandon R. LeBlanc"/>
    <n v="1"/>
    <s v="Indeed"/>
    <x v="1"/>
    <x v="65"/>
    <n v="3"/>
    <n v="4"/>
    <s v="4/15/2015"/>
    <n v="0"/>
    <n v="6"/>
    <s v="Normal"/>
    <s v="low Outlier"/>
    <n v="40"/>
    <n v="11"/>
    <n v="0"/>
    <s v="10+ Years"/>
    <s v="36-45"/>
    <s v="Mid (40-70K)"/>
    <n v="0"/>
    <x v="1"/>
    <n v="2"/>
    <s v="Q1"/>
    <s v="Feb"/>
    <s v="2015-02"/>
    <n v="2015"/>
    <s v="Production       "/>
    <n v="40"/>
    <n v="2"/>
    <s v="Medium"/>
  </r>
  <r>
    <s v="Hudson, Jane"/>
    <n v="10248"/>
    <n v="0"/>
    <n v="0"/>
    <n v="0"/>
    <n v="1"/>
    <n v="5"/>
    <x v="1"/>
    <n v="0"/>
    <x v="132"/>
    <n v="0"/>
    <n v="19"/>
    <s v="Production Technician I"/>
    <s v="MA"/>
    <n v="2176"/>
    <d v="1986-06-10T00:00:00"/>
    <s v="F"/>
    <s v="Single"/>
    <s v="US Citizen"/>
    <s v="No"/>
    <s v="White"/>
    <d v="2012-02-20T00:00:00"/>
    <m/>
    <s v="N/A-StillEmployed"/>
    <s v="Active"/>
    <x v="0"/>
    <s v="Ketsia Liebig"/>
    <n v="19"/>
    <s v="LinkedIn"/>
    <x v="1"/>
    <x v="12"/>
    <n v="4"/>
    <n v="0"/>
    <s v="1/7/2019"/>
    <n v="0"/>
    <n v="4"/>
    <s v="Normal"/>
    <s v="low Outlier"/>
    <n v="39"/>
    <n v="14"/>
    <n v="14"/>
    <s v="10+ Years"/>
    <s v="36-45"/>
    <s v="Mid (40-70K)"/>
    <n v="1"/>
    <x v="3"/>
    <n v="2"/>
    <s v="Q1"/>
    <s v="Feb"/>
    <s v="2012-02"/>
    <s v="N/A"/>
    <s v="Production       "/>
    <n v="33.333333333333329"/>
    <n v="0"/>
    <s v="Medium"/>
  </r>
  <r>
    <s v="Hunts, Julissa"/>
    <n v="10201"/>
    <n v="0"/>
    <n v="0"/>
    <n v="0"/>
    <n v="2"/>
    <n v="5"/>
    <x v="1"/>
    <n v="0"/>
    <x v="133"/>
    <n v="0"/>
    <n v="20"/>
    <s v="Production Technician II"/>
    <s v="MA"/>
    <n v="2021"/>
    <d v="1984-03-11T00:00:00"/>
    <s v="F"/>
    <s v="Single"/>
    <s v="US Citizen"/>
    <s v="No"/>
    <s v="White"/>
    <d v="2016-06-06T00:00:00"/>
    <m/>
    <s v="N/A-StillEmployed"/>
    <s v="Active"/>
    <x v="0"/>
    <s v="Elijiah Gray"/>
    <n v="16"/>
    <s v="LinkedIn"/>
    <x v="1"/>
    <x v="24"/>
    <n v="5"/>
    <n v="0"/>
    <s v="1/18/2019"/>
    <n v="0"/>
    <n v="4"/>
    <s v="Normal"/>
    <s v="low Outlier"/>
    <n v="42"/>
    <n v="9"/>
    <n v="9"/>
    <s v="5-10 Years"/>
    <s v="36-45"/>
    <s v="Mid (40-70K)"/>
    <n v="1"/>
    <x v="7"/>
    <n v="6"/>
    <s v="Q2"/>
    <s v="Jun"/>
    <s v="2016-06"/>
    <s v="N/A"/>
    <s v="Production       "/>
    <n v="35.714285714285715"/>
    <n v="0"/>
    <s v="Medium"/>
  </r>
  <r>
    <s v="Hutter, Rosalie"/>
    <n v="10214"/>
    <n v="0"/>
    <n v="3"/>
    <n v="0"/>
    <n v="2"/>
    <n v="5"/>
    <x v="1"/>
    <n v="0"/>
    <x v="134"/>
    <n v="0"/>
    <n v="20"/>
    <s v="Production Technician II"/>
    <s v="MA"/>
    <n v="2351"/>
    <d v="1992-05-07T00:00:00"/>
    <s v="F"/>
    <s v="Separated"/>
    <s v="US Citizen"/>
    <s v="No"/>
    <s v="White"/>
    <d v="2015-06-05T00:00:00"/>
    <m/>
    <s v="N/A-StillEmployed"/>
    <s v="Active"/>
    <x v="0"/>
    <s v="Webster Butler"/>
    <m/>
    <s v="Indeed"/>
    <x v="1"/>
    <x v="10"/>
    <n v="3"/>
    <n v="0"/>
    <s v="2/14/2019"/>
    <n v="0"/>
    <n v="6"/>
    <s v="Normal"/>
    <s v="low Outlier"/>
    <n v="33"/>
    <n v="10"/>
    <n v="10"/>
    <s v="10+ Years"/>
    <s v="26-35"/>
    <s v="Mid (40-70K)"/>
    <n v="1"/>
    <x v="1"/>
    <n v="6"/>
    <s v="Q2"/>
    <s v="Jun"/>
    <s v="2015-06"/>
    <s v="N/A"/>
    <s v="Production       "/>
    <n v="66.666666666666657"/>
    <n v="0"/>
    <s v="Medium"/>
  </r>
  <r>
    <s v="Huynh, Ming"/>
    <n v="10160"/>
    <n v="0"/>
    <n v="2"/>
    <n v="0"/>
    <n v="5"/>
    <n v="5"/>
    <x v="1"/>
    <n v="0"/>
    <x v="135"/>
    <n v="1"/>
    <n v="20"/>
    <s v="Production Technician II"/>
    <s v="MA"/>
    <n v="1742"/>
    <d v="1976-09-22T00:00:00"/>
    <s v="F"/>
    <s v="Divorced"/>
    <s v="US Citizen"/>
    <s v="No"/>
    <s v="White"/>
    <d v="2011-02-21T00:00:00"/>
    <d v="2013-04-01T00:00:00"/>
    <s v="unhappy"/>
    <s v="Voluntarily Terminated"/>
    <x v="0"/>
    <s v="Amy Dunn"/>
    <n v="11"/>
    <s v="Google Search"/>
    <x v="1"/>
    <x v="66"/>
    <n v="3"/>
    <n v="0"/>
    <s v="2/1/2013"/>
    <n v="0"/>
    <n v="18"/>
    <s v="Normal"/>
    <s v="low Outlier"/>
    <n v="49"/>
    <n v="15"/>
    <n v="2"/>
    <s v="10+ Years"/>
    <s v="46-55"/>
    <s v="Mid (40-70K)"/>
    <n v="0"/>
    <x v="0"/>
    <n v="2"/>
    <s v="Q1"/>
    <s v="Feb"/>
    <s v="2011-02"/>
    <n v="2013"/>
    <s v="Production       "/>
    <n v="91.666666666666657"/>
    <n v="11"/>
    <s v="Medium"/>
  </r>
  <r>
    <s v="Immediato, Walter"/>
    <n v="10289"/>
    <n v="1"/>
    <n v="1"/>
    <n v="1"/>
    <n v="5"/>
    <n v="5"/>
    <x v="2"/>
    <n v="0"/>
    <x v="136"/>
    <n v="1"/>
    <n v="18"/>
    <s v="Production Manager"/>
    <s v="MA"/>
    <n v="2128"/>
    <d v="1976-11-15T00:00:00"/>
    <s v="M "/>
    <s v="Married"/>
    <s v="US Citizen"/>
    <s v="No"/>
    <s v="Asian"/>
    <d v="2011-02-21T00:00:00"/>
    <d v="2012-09-24T00:00:00"/>
    <s v="unhappy"/>
    <s v="Voluntarily Terminated"/>
    <x v="0"/>
    <s v="Janet King"/>
    <n v="2"/>
    <s v="Indeed"/>
    <x v="2"/>
    <x v="67"/>
    <n v="2"/>
    <n v="0"/>
    <s v="4/12/2012"/>
    <n v="3"/>
    <n v="4"/>
    <s v="Normal"/>
    <s v="low Outlier"/>
    <n v="49"/>
    <n v="15"/>
    <n v="1"/>
    <s v="10+ Years"/>
    <s v="46-55"/>
    <s v="Senior (70-100K)"/>
    <n v="0"/>
    <x v="0"/>
    <n v="2"/>
    <s v="Q1"/>
    <s v="Feb"/>
    <s v="2011-02"/>
    <n v="2012"/>
    <s v="Production       "/>
    <n v="41.666666666666671"/>
    <n v="10"/>
    <s v="High"/>
  </r>
  <r>
    <s v="Ivey, Rose "/>
    <n v="10139"/>
    <n v="0"/>
    <n v="0"/>
    <n v="0"/>
    <n v="1"/>
    <n v="5"/>
    <x v="1"/>
    <n v="0"/>
    <x v="137"/>
    <n v="0"/>
    <n v="19"/>
    <s v="Production Technician I"/>
    <s v="MA"/>
    <n v="1775"/>
    <d v="1991-01-28T00:00:00"/>
    <s v="F"/>
    <s v="Single"/>
    <s v="US Citizen"/>
    <s v="No"/>
    <s v="White"/>
    <d v="2013-08-19T00:00:00"/>
    <m/>
    <s v="N/A-StillEmployed"/>
    <s v="Active"/>
    <x v="0"/>
    <s v="Brannon Miller"/>
    <n v="12"/>
    <s v="Indeed"/>
    <x v="1"/>
    <x v="68"/>
    <n v="3"/>
    <n v="0"/>
    <s v="1/14/2019"/>
    <n v="0"/>
    <n v="14"/>
    <s v="Normal"/>
    <s v="low Outlier"/>
    <n v="35"/>
    <n v="12"/>
    <n v="12"/>
    <s v="10+ Years"/>
    <s v="26-35"/>
    <s v="Mid (40-70K)"/>
    <n v="1"/>
    <x v="5"/>
    <n v="8"/>
    <s v="Q3"/>
    <s v="Aug"/>
    <s v="2013-08"/>
    <s v="N/A"/>
    <s v="Production       "/>
    <n v="30.76923076923077"/>
    <n v="0"/>
    <s v="Medium"/>
  </r>
  <r>
    <s v="Jackson, Maryellen"/>
    <n v="10227"/>
    <n v="0"/>
    <n v="0"/>
    <n v="0"/>
    <n v="1"/>
    <n v="5"/>
    <x v="1"/>
    <n v="0"/>
    <x v="112"/>
    <n v="0"/>
    <n v="19"/>
    <s v="Production Technician I"/>
    <s v="MA"/>
    <n v="2081"/>
    <d v="1972-09-11T00:00:00"/>
    <s v="F"/>
    <s v="Single"/>
    <s v="US Citizen"/>
    <s v="No"/>
    <s v="Black or African American"/>
    <d v="2012-11-05T00:00:00"/>
    <m/>
    <s v="N/A-StillEmployed"/>
    <s v="Active"/>
    <x v="0"/>
    <s v="David Stanley"/>
    <n v="14"/>
    <s v="LinkedIn"/>
    <x v="1"/>
    <x v="28"/>
    <n v="3"/>
    <n v="0"/>
    <s v="1/17/2019"/>
    <n v="0"/>
    <n v="7"/>
    <s v="Normal"/>
    <s v="low Outlier"/>
    <n v="53"/>
    <n v="13"/>
    <n v="13"/>
    <s v="10+ Years"/>
    <s v="46-55"/>
    <s v="Mid (40-70K)"/>
    <n v="1"/>
    <x v="3"/>
    <n v="11"/>
    <s v="Q4"/>
    <s v="Nov"/>
    <s v="2012-11"/>
    <s v="N/A"/>
    <s v="Production       "/>
    <n v="23.076923076923077"/>
    <n v="0"/>
    <s v="Medium"/>
  </r>
  <r>
    <s v="Jacobi, Hannah  "/>
    <n v="10236"/>
    <n v="0"/>
    <n v="2"/>
    <n v="0"/>
    <n v="1"/>
    <n v="5"/>
    <x v="1"/>
    <n v="0"/>
    <x v="138"/>
    <n v="0"/>
    <n v="19"/>
    <s v="Production Technician I"/>
    <s v="MA"/>
    <n v="1778"/>
    <d v="1966-03-22T00:00:00"/>
    <s v="F"/>
    <s v="Divorced"/>
    <s v="US Citizen"/>
    <s v="No"/>
    <s v="White"/>
    <d v="2013-09-30T00:00:00"/>
    <m/>
    <s v="N/A-StillEmployed"/>
    <s v="Active"/>
    <x v="0"/>
    <s v="Kissy Sullivan"/>
    <n v="20"/>
    <s v="Employee Referral"/>
    <x v="1"/>
    <x v="25"/>
    <n v="5"/>
    <n v="0"/>
    <s v="2/22/2019"/>
    <n v="0"/>
    <n v="7"/>
    <s v="Normal"/>
    <s v="low Outlier"/>
    <n v="60"/>
    <n v="12"/>
    <n v="12"/>
    <s v="10+ Years"/>
    <s v="55+"/>
    <s v="Mid (40-70K)"/>
    <n v="1"/>
    <x v="5"/>
    <n v="9"/>
    <s v="Q3"/>
    <s v="Sep"/>
    <s v="2013-09"/>
    <s v="N/A"/>
    <s v="Production       "/>
    <n v="57.142857142857139"/>
    <n v="0"/>
    <s v="Medium"/>
  </r>
  <r>
    <s v="Jeannite, Tayana"/>
    <n v="10009"/>
    <n v="0"/>
    <n v="2"/>
    <n v="0"/>
    <n v="1"/>
    <n v="5"/>
    <x v="0"/>
    <n v="0"/>
    <x v="139"/>
    <n v="0"/>
    <n v="20"/>
    <s v="Production Technician II"/>
    <s v="MA"/>
    <n v="1821"/>
    <d v="1986-11-06T00:00:00"/>
    <s v="F"/>
    <s v="Divorced"/>
    <s v="US Citizen"/>
    <s v="No"/>
    <s v="American Indian or Alaska Native"/>
    <d v="2011-07-05T00:00:00"/>
    <m/>
    <s v="N/A-StillEmployed"/>
    <s v="Active"/>
    <x v="0"/>
    <s v="Ketsia Liebig"/>
    <n v="19"/>
    <s v="LinkedIn"/>
    <x v="0"/>
    <x v="0"/>
    <n v="4"/>
    <n v="0"/>
    <s v="2/25/2019"/>
    <n v="0"/>
    <n v="11"/>
    <s v="Normal"/>
    <s v="low Outlier"/>
    <n v="39"/>
    <n v="14"/>
    <n v="14"/>
    <s v="10+ Years"/>
    <s v="36-45"/>
    <s v="Mid (40-70K)"/>
    <n v="1"/>
    <x v="0"/>
    <n v="7"/>
    <s v="Q3"/>
    <s v="Jul"/>
    <s v="2011-07"/>
    <s v="N/A"/>
    <s v="Production       "/>
    <n v="36.363636363636367"/>
    <n v="0"/>
    <s v="Low"/>
  </r>
  <r>
    <s v="Jhaveri, Sneha  "/>
    <n v="10060"/>
    <n v="0"/>
    <n v="3"/>
    <n v="0"/>
    <n v="1"/>
    <n v="5"/>
    <x v="1"/>
    <n v="0"/>
    <x v="140"/>
    <n v="0"/>
    <n v="19"/>
    <s v="Production Technician I"/>
    <s v="MA"/>
    <n v="2109"/>
    <d v="1964-04-13T00:00:00"/>
    <s v="F"/>
    <s v="Separated"/>
    <s v="US Citizen"/>
    <s v="No"/>
    <s v="White"/>
    <d v="2014-01-06T00:00:00"/>
    <m/>
    <s v="N/A-StillEmployed"/>
    <s v="Active"/>
    <x v="0"/>
    <s v="Kelley Spirea"/>
    <n v="18"/>
    <s v="LinkedIn"/>
    <x v="1"/>
    <x v="4"/>
    <n v="5"/>
    <n v="0"/>
    <s v="1/21/2019"/>
    <n v="0"/>
    <n v="9"/>
    <s v="Normal"/>
    <s v="low Outlier"/>
    <n v="61"/>
    <n v="12"/>
    <n v="12"/>
    <s v="10+ Years"/>
    <s v="55+"/>
    <s v="Mid (40-70K)"/>
    <n v="1"/>
    <x v="4"/>
    <n v="1"/>
    <s v="Q1"/>
    <s v="Jan"/>
    <s v="2014-01"/>
    <s v="N/A"/>
    <s v="Production       "/>
    <n v="20"/>
    <n v="0"/>
    <s v="Medium"/>
  </r>
  <r>
    <s v="Johnson, George"/>
    <n v="10034"/>
    <n v="1"/>
    <n v="1"/>
    <n v="1"/>
    <n v="5"/>
    <n v="5"/>
    <x v="0"/>
    <n v="0"/>
    <x v="141"/>
    <n v="1"/>
    <n v="19"/>
    <s v="Production Technician I"/>
    <s v="MA"/>
    <n v="2445"/>
    <d v="1959-08-19T00:00:00"/>
    <s v="M "/>
    <s v="Married"/>
    <s v="US Citizen"/>
    <s v="No"/>
    <s v="White"/>
    <d v="2011-11-07T00:00:00"/>
    <d v="2018-04-29T00:00:00"/>
    <s v="more money"/>
    <s v="Voluntarily Terminated"/>
    <x v="0"/>
    <s v="Michael Albert"/>
    <n v="22"/>
    <s v="CareerBuilder"/>
    <x v="0"/>
    <x v="27"/>
    <n v="4"/>
    <n v="0"/>
    <s v="2/14/2018"/>
    <n v="0"/>
    <n v="9"/>
    <s v="Normal"/>
    <s v="low Outlier"/>
    <n v="66"/>
    <n v="14"/>
    <n v="6"/>
    <s v="10+ Years"/>
    <s v="55+"/>
    <s v="Mid (40-70K)"/>
    <n v="0"/>
    <x v="0"/>
    <n v="11"/>
    <s v="Q4"/>
    <s v="Nov"/>
    <s v="2011-11"/>
    <n v="2018"/>
    <s v="Production       "/>
    <n v="50"/>
    <n v="9"/>
    <s v="Low"/>
  </r>
  <r>
    <s v="Johnson, Noelle "/>
    <n v="10156"/>
    <n v="1"/>
    <n v="1"/>
    <n v="0"/>
    <n v="3"/>
    <n v="3"/>
    <x v="1"/>
    <n v="0"/>
    <x v="142"/>
    <n v="0"/>
    <n v="8"/>
    <s v="Database Administrator"/>
    <s v="MA"/>
    <n v="2301"/>
    <d v="1986-11-07T00:00:00"/>
    <s v="F"/>
    <s v="Married"/>
    <s v="US Citizen"/>
    <s v="No"/>
    <s v="Asian"/>
    <d v="2015-01-05T00:00:00"/>
    <m/>
    <s v="N/A-StillEmployed"/>
    <s v="Active"/>
    <x v="1"/>
    <s v="Simon Roup"/>
    <n v="4"/>
    <s v="Indeed"/>
    <x v="1"/>
    <x v="69"/>
    <n v="3"/>
    <n v="5"/>
    <s v="2/11/2019"/>
    <n v="0"/>
    <n v="2"/>
    <s v="Normal"/>
    <s v="low Outlier"/>
    <n v="39"/>
    <n v="11"/>
    <n v="11"/>
    <s v="10+ Years"/>
    <s v="36-45"/>
    <s v="Executive (100K+)"/>
    <n v="1"/>
    <x v="1"/>
    <n v="1"/>
    <s v="Q1"/>
    <s v="Jan"/>
    <s v="2015-01"/>
    <s v="N/A"/>
    <s v="Production       "/>
    <n v="44.444444444444443"/>
    <n v="0"/>
    <s v="Medium"/>
  </r>
  <r>
    <s v="Johnston, Yen"/>
    <n v="10036"/>
    <n v="0"/>
    <n v="0"/>
    <n v="0"/>
    <n v="1"/>
    <n v="5"/>
    <x v="0"/>
    <n v="0"/>
    <x v="143"/>
    <n v="0"/>
    <n v="20"/>
    <s v="Production Technician II"/>
    <s v="MA"/>
    <n v="2128"/>
    <d v="1969-09-08T00:00:00"/>
    <s v="F"/>
    <s v="Single"/>
    <s v="US Citizen"/>
    <s v="No"/>
    <s v="White"/>
    <d v="2014-07-07T00:00:00"/>
    <m/>
    <s v="N/A-StillEmployed"/>
    <s v="Active"/>
    <x v="0"/>
    <s v="Brannon Miller"/>
    <n v="12"/>
    <s v="LinkedIn"/>
    <x v="0"/>
    <x v="25"/>
    <n v="3"/>
    <n v="0"/>
    <s v="1/11/2019"/>
    <n v="0"/>
    <n v="1"/>
    <s v="Normal"/>
    <s v="low Outlier"/>
    <n v="56"/>
    <n v="11"/>
    <n v="11"/>
    <s v="10+ Years"/>
    <s v="55+"/>
    <s v="Mid (40-70K)"/>
    <n v="1"/>
    <x v="4"/>
    <n v="7"/>
    <s v="Q3"/>
    <s v="Jul"/>
    <s v="2014-07"/>
    <s v="N/A"/>
    <s v="Production       "/>
    <n v="33.333333333333329"/>
    <n v="0"/>
    <s v="Low"/>
  </r>
  <r>
    <s v="Jung, Judy  "/>
    <n v="10138"/>
    <n v="1"/>
    <n v="1"/>
    <n v="0"/>
    <n v="5"/>
    <n v="5"/>
    <x v="1"/>
    <n v="0"/>
    <x v="144"/>
    <n v="1"/>
    <n v="19"/>
    <s v="Production Technician I"/>
    <s v="MA"/>
    <n v="2446"/>
    <d v="1986-04-17T00:00:00"/>
    <s v="F"/>
    <s v="Married"/>
    <s v="US Citizen"/>
    <s v="No"/>
    <s v="Black or African American"/>
    <d v="2011-01-10T00:00:00"/>
    <d v="2016-04-01T00:00:00"/>
    <s v="unhappy"/>
    <s v="Voluntarily Terminated"/>
    <x v="0"/>
    <s v="Elijiah Gray"/>
    <n v="16"/>
    <s v="CareerBuilder"/>
    <x v="1"/>
    <x v="48"/>
    <n v="4"/>
    <n v="0"/>
    <s v="2/3/2016"/>
    <n v="0"/>
    <n v="4"/>
    <s v="Normal"/>
    <s v="low Outlier"/>
    <n v="39"/>
    <n v="15"/>
    <n v="5"/>
    <s v="10+ Years"/>
    <s v="36-45"/>
    <s v="Mid (40-70K)"/>
    <n v="0"/>
    <x v="0"/>
    <n v="1"/>
    <s v="Q1"/>
    <s v="Jan"/>
    <s v="2011-01"/>
    <n v="2016"/>
    <s v="Production       "/>
    <n v="38.461538461538467"/>
    <n v="9"/>
    <s v="Medium"/>
  </r>
  <r>
    <s v="Kampew, Donysha"/>
    <n v="10244"/>
    <n v="0"/>
    <n v="0"/>
    <n v="0"/>
    <n v="5"/>
    <n v="6"/>
    <x v="1"/>
    <n v="0"/>
    <x v="145"/>
    <n v="1"/>
    <n v="21"/>
    <s v="Sales Manager"/>
    <s v="PA"/>
    <n v="19444"/>
    <d v="1989-11-11T00:00:00"/>
    <s v="F"/>
    <s v="Single"/>
    <s v="US Citizen"/>
    <s v="No"/>
    <s v="White"/>
    <d v="2011-11-07T00:00:00"/>
    <d v="2014-04-24T00:00:00"/>
    <s v="maternity leave - did not return"/>
    <s v="Voluntarily Terminated"/>
    <x v="4"/>
    <s v="Debra Houlihan"/>
    <n v="15"/>
    <s v="Google Search"/>
    <x v="1"/>
    <x v="10"/>
    <n v="5"/>
    <n v="0"/>
    <s v="3/30/2013"/>
    <n v="0"/>
    <n v="2"/>
    <s v="Normal"/>
    <s v="low Outlier"/>
    <n v="36"/>
    <n v="14"/>
    <n v="2"/>
    <s v="10+ Years"/>
    <s v="36-45"/>
    <s v="Mid (40-70K)"/>
    <n v="0"/>
    <x v="0"/>
    <n v="11"/>
    <s v="Q4"/>
    <s v="Nov"/>
    <s v="2011-11"/>
    <n v="2014"/>
    <s v="Production       "/>
    <n v="50"/>
    <n v="3"/>
    <s v="Medium"/>
  </r>
  <r>
    <s v="Keatts, Kramer "/>
    <n v="10192"/>
    <n v="0"/>
    <n v="0"/>
    <n v="1"/>
    <n v="1"/>
    <n v="5"/>
    <x v="1"/>
    <n v="0"/>
    <x v="146"/>
    <n v="0"/>
    <n v="19"/>
    <s v="Production Technician I"/>
    <s v="MA"/>
    <n v="1887"/>
    <d v="1976-01-19T00:00:00"/>
    <s v="M "/>
    <s v="Single"/>
    <s v="US Citizen"/>
    <s v="No"/>
    <s v="White"/>
    <d v="2013-09-30T00:00:00"/>
    <m/>
    <s v="N/A-StillEmployed"/>
    <s v="Active"/>
    <x v="0"/>
    <s v="Michael Albert"/>
    <n v="22"/>
    <s v="Indeed"/>
    <x v="1"/>
    <x v="70"/>
    <n v="4"/>
    <n v="0"/>
    <s v="1/23/2019"/>
    <n v="0"/>
    <n v="10"/>
    <s v="Normal"/>
    <s v="low Outlier"/>
    <n v="50"/>
    <n v="12"/>
    <n v="12"/>
    <s v="10+ Years"/>
    <s v="46-55"/>
    <s v="Mid (40-70K)"/>
    <n v="1"/>
    <x v="5"/>
    <n v="9"/>
    <s v="Q3"/>
    <s v="Sep"/>
    <s v="2013-09"/>
    <s v="N/A"/>
    <s v="Production       "/>
    <n v="45.454545454545453"/>
    <n v="0"/>
    <s v="Medium"/>
  </r>
  <r>
    <s v="Khemmich, Bartholemew"/>
    <n v="10231"/>
    <n v="0"/>
    <n v="0"/>
    <n v="1"/>
    <n v="1"/>
    <n v="6"/>
    <x v="1"/>
    <n v="0"/>
    <x v="147"/>
    <n v="0"/>
    <n v="3"/>
    <s v="Area Sales Manager"/>
    <s v="CO"/>
    <n v="80820"/>
    <d v="1979-11-27T00:00:00"/>
    <s v="M "/>
    <s v="Single"/>
    <s v="US Citizen"/>
    <s v="No"/>
    <s v="White"/>
    <d v="2013-08-19T00:00:00"/>
    <m/>
    <s v="N/A-StillEmployed"/>
    <s v="Active"/>
    <x v="4"/>
    <s v="Lynn Daneault"/>
    <n v="21"/>
    <s v="Indeed"/>
    <x v="1"/>
    <x v="25"/>
    <n v="5"/>
    <n v="0"/>
    <s v="1/22/2019"/>
    <n v="0"/>
    <n v="13"/>
    <s v="Normal"/>
    <s v="low Outlier"/>
    <n v="46"/>
    <n v="12"/>
    <n v="12"/>
    <s v="10+ Years"/>
    <s v="46-55"/>
    <s v="Mid (40-70K)"/>
    <n v="1"/>
    <x v="5"/>
    <n v="8"/>
    <s v="Q3"/>
    <s v="Aug"/>
    <s v="2013-08"/>
    <s v="N/A"/>
    <s v="Production       "/>
    <n v="0"/>
    <n v="0"/>
    <s v="Medium"/>
  </r>
  <r>
    <s v="King, Janet"/>
    <n v="10089"/>
    <n v="1"/>
    <n v="1"/>
    <n v="0"/>
    <n v="1"/>
    <n v="2"/>
    <x v="1"/>
    <n v="0"/>
    <x v="148"/>
    <n v="0"/>
    <n v="16"/>
    <s v="President &amp; CEO"/>
    <s v="MA"/>
    <n v="1902"/>
    <d v="1954-09-21T00:00:00"/>
    <s v="F"/>
    <s v="Married"/>
    <s v="US Citizen"/>
    <s v="Yes"/>
    <s v="White"/>
    <d v="2012-07-02T00:00:00"/>
    <m/>
    <s v="N/A-StillEmployed"/>
    <s v="Active"/>
    <x v="5"/>
    <s v="Board of Directors"/>
    <n v="9"/>
    <s v="Indeed"/>
    <x v="1"/>
    <x v="71"/>
    <n v="3"/>
    <n v="0"/>
    <s v="1/17/2019"/>
    <n v="0"/>
    <n v="10"/>
    <s v=" high Outlier"/>
    <s v="low Outlier"/>
    <n v="71"/>
    <n v="13"/>
    <n v="13"/>
    <s v="10+ Years"/>
    <s v="55+"/>
    <s v="Executive (100K+)"/>
    <n v="1"/>
    <x v="3"/>
    <n v="7"/>
    <s v="Q3"/>
    <s v="Jul"/>
    <s v="2012-07"/>
    <s v="N/A"/>
    <s v="Production       "/>
    <n v="0"/>
    <n v="0"/>
    <s v="Medium"/>
  </r>
  <r>
    <s v="Kinsella, Kathleen  "/>
    <n v="10166"/>
    <n v="1"/>
    <n v="1"/>
    <n v="0"/>
    <n v="5"/>
    <n v="5"/>
    <x v="1"/>
    <n v="0"/>
    <x v="149"/>
    <n v="1"/>
    <n v="19"/>
    <s v="Production Technician I"/>
    <s v="MA"/>
    <n v="2170"/>
    <d v="1973-12-08T00:00:00"/>
    <s v="F"/>
    <s v="Married"/>
    <s v="US Citizen"/>
    <s v="No"/>
    <s v="White"/>
    <d v="2011-09-26T00:00:00"/>
    <d v="2015-06-04T00:00:00"/>
    <s v="more money"/>
    <s v="Voluntarily Terminated"/>
    <x v="0"/>
    <s v="Webster Butler"/>
    <n v="39"/>
    <s v="Google Search"/>
    <x v="1"/>
    <x v="62"/>
    <n v="5"/>
    <n v="0"/>
    <s v="3/1/2015"/>
    <n v="0"/>
    <n v="16"/>
    <s v="Normal"/>
    <s v="low Outlier"/>
    <n v="52"/>
    <n v="14"/>
    <n v="3"/>
    <s v="10+ Years"/>
    <s v="46-55"/>
    <s v="Mid (40-70K)"/>
    <n v="0"/>
    <x v="0"/>
    <n v="9"/>
    <s v="Q3"/>
    <s v="Sep"/>
    <s v="2011-09"/>
    <n v="2015"/>
    <s v="Production       "/>
    <n v="72.727272727272734"/>
    <n v="8"/>
    <s v="Medium"/>
  </r>
  <r>
    <s v="Kirill, Alexandra  "/>
    <n v="10170"/>
    <n v="1"/>
    <n v="1"/>
    <n v="0"/>
    <n v="5"/>
    <n v="5"/>
    <x v="1"/>
    <n v="0"/>
    <x v="150"/>
    <n v="1"/>
    <n v="19"/>
    <s v="Production Technician I"/>
    <s v="MA"/>
    <n v="2127"/>
    <d v="1970-10-08T00:00:00"/>
    <s v="F"/>
    <s v="Married"/>
    <s v="US Citizen"/>
    <s v="No"/>
    <s v="White"/>
    <d v="2011-09-26T00:00:00"/>
    <d v="2014-01-09T00:00:00"/>
    <s v="more money"/>
    <s v="Voluntarily Terminated"/>
    <x v="0"/>
    <s v="Amy Dunn"/>
    <n v="11"/>
    <s v="Google Search"/>
    <x v="1"/>
    <x v="72"/>
    <n v="4"/>
    <n v="0"/>
    <s v="1/30/2013"/>
    <n v="0"/>
    <n v="6"/>
    <s v="Normal"/>
    <s v="low Outlier"/>
    <n v="55"/>
    <n v="14"/>
    <n v="2"/>
    <s v="10+ Years"/>
    <s v="46-55"/>
    <s v="Mid (40-70K)"/>
    <n v="0"/>
    <x v="0"/>
    <n v="9"/>
    <s v="Q3"/>
    <s v="Sep"/>
    <s v="2011-09"/>
    <n v="2014"/>
    <s v="Production       "/>
    <n v="90.909090909090907"/>
    <n v="7"/>
    <s v="Medium"/>
  </r>
  <r>
    <s v="Knapp, Bradley  J"/>
    <n v="10208"/>
    <n v="0"/>
    <n v="0"/>
    <n v="1"/>
    <n v="1"/>
    <n v="5"/>
    <x v="1"/>
    <n v="0"/>
    <x v="151"/>
    <n v="0"/>
    <n v="19"/>
    <s v="Production Technician I"/>
    <s v="MA"/>
    <n v="1721"/>
    <d v="1977-11-10T00:00:00"/>
    <s v="M "/>
    <s v="Single"/>
    <s v="US Citizen"/>
    <s v="No"/>
    <s v="Black or African American"/>
    <d v="2014-02-17T00:00:00"/>
    <m/>
    <s v="N/A-StillEmployed"/>
    <s v="Active"/>
    <x v="0"/>
    <s v="Ketsia Liebig"/>
    <n v="19"/>
    <s v="LinkedIn"/>
    <x v="1"/>
    <x v="34"/>
    <n v="3"/>
    <n v="0"/>
    <s v="2/6/2019"/>
    <n v="0"/>
    <n v="3"/>
    <s v="Normal"/>
    <s v="low Outlier"/>
    <n v="48"/>
    <n v="12"/>
    <n v="12"/>
    <s v="10+ Years"/>
    <s v="46-55"/>
    <s v="Mid (40-70K)"/>
    <n v="1"/>
    <x v="4"/>
    <n v="2"/>
    <s v="Q1"/>
    <s v="Feb"/>
    <s v="2014-02"/>
    <s v="N/A"/>
    <s v="Production       "/>
    <n v="40"/>
    <n v="0"/>
    <s v="Medium"/>
  </r>
  <r>
    <s v="Kretschmer, John"/>
    <n v="10176"/>
    <n v="1"/>
    <n v="1"/>
    <n v="1"/>
    <n v="1"/>
    <n v="5"/>
    <x v="1"/>
    <n v="0"/>
    <x v="152"/>
    <n v="0"/>
    <n v="19"/>
    <s v="Production Technician I"/>
    <s v="MA"/>
    <n v="1801"/>
    <d v="1980-02-02T00:00:00"/>
    <s v="M "/>
    <s v="Married"/>
    <s v="US Citizen"/>
    <s v="No"/>
    <s v="Asian"/>
    <d v="2011-01-10T00:00:00"/>
    <m/>
    <s v="N/A-StillEmployed"/>
    <s v="Active"/>
    <x v="0"/>
    <s v="Brannon Miller"/>
    <n v="12"/>
    <s v="Indeed"/>
    <x v="1"/>
    <x v="73"/>
    <n v="3"/>
    <n v="0"/>
    <s v="1/21/2019"/>
    <n v="0"/>
    <n v="17"/>
    <s v="Normal"/>
    <s v="low Outlier"/>
    <n v="46"/>
    <n v="15"/>
    <n v="15"/>
    <s v="10+ Years"/>
    <s v="46-55"/>
    <s v="Mid (40-70K)"/>
    <n v="1"/>
    <x v="0"/>
    <n v="1"/>
    <s v="Q1"/>
    <s v="Jan"/>
    <s v="2011-01"/>
    <s v="N/A"/>
    <s v="Production       "/>
    <n v="36.363636363636367"/>
    <n v="0"/>
    <s v="Medium"/>
  </r>
  <r>
    <s v="Kreuger, Freddy"/>
    <n v="10165"/>
    <n v="0"/>
    <n v="0"/>
    <n v="1"/>
    <n v="1"/>
    <n v="6"/>
    <x v="1"/>
    <n v="1"/>
    <x v="153"/>
    <n v="0"/>
    <n v="3"/>
    <s v="Area Sales Manager"/>
    <s v="NY"/>
    <n v="10171"/>
    <d v="1969-02-24T00:00:00"/>
    <s v="M "/>
    <s v="Single"/>
    <s v="US Citizen"/>
    <s v="Yes"/>
    <s v="Black or African American"/>
    <d v="2011-03-07T00:00:00"/>
    <m/>
    <s v="N/A-StillEmployed"/>
    <s v="Active"/>
    <x v="4"/>
    <s v="John Smith"/>
    <n v="17"/>
    <s v="Diversity Job Fair"/>
    <x v="1"/>
    <x v="74"/>
    <n v="5"/>
    <n v="0"/>
    <s v="1/17/2019"/>
    <n v="0"/>
    <n v="20"/>
    <s v="Normal"/>
    <s v="low Outlier"/>
    <n v="57"/>
    <n v="15"/>
    <n v="15"/>
    <s v="10+ Years"/>
    <s v="55+"/>
    <s v="Senior (70-100K)"/>
    <n v="1"/>
    <x v="0"/>
    <n v="3"/>
    <s v="Q1"/>
    <s v="Mar"/>
    <s v="2011-03"/>
    <s v="N/A"/>
    <s v="Production       "/>
    <n v="0"/>
    <n v="0"/>
    <s v="Medium"/>
  </r>
  <r>
    <s v="Lajiri,  Jyoti"/>
    <n v="10113"/>
    <n v="1"/>
    <n v="1"/>
    <n v="1"/>
    <n v="3"/>
    <n v="3"/>
    <x v="1"/>
    <n v="0"/>
    <x v="154"/>
    <n v="0"/>
    <n v="28"/>
    <s v="Sr. Network Engineer"/>
    <s v="MA"/>
    <n v="2169"/>
    <d v="1986-04-23T00:00:00"/>
    <s v="M "/>
    <s v="Married"/>
    <s v="US Citizen"/>
    <s v="No"/>
    <s v="White"/>
    <d v="2014-11-10T00:00:00"/>
    <m/>
    <s v="N/A-StillEmployed"/>
    <s v="Active"/>
    <x v="1"/>
    <s v="Peter Monroe"/>
    <n v="7"/>
    <s v="Employee Referral"/>
    <x v="1"/>
    <x v="6"/>
    <n v="5"/>
    <n v="6"/>
    <s v="1/7/2019"/>
    <n v="0"/>
    <n v="7"/>
    <s v="Normal"/>
    <s v="low Outlier"/>
    <n v="39"/>
    <n v="11"/>
    <n v="11"/>
    <s v="10+ Years"/>
    <s v="36-45"/>
    <s v="Senior (70-100K)"/>
    <n v="1"/>
    <x v="4"/>
    <n v="11"/>
    <s v="Q4"/>
    <s v="Nov"/>
    <s v="2014-11"/>
    <s v="N/A"/>
    <s v="Production       "/>
    <n v="14.285714285714285"/>
    <n v="0"/>
    <s v="Medium"/>
  </r>
  <r>
    <s v="Landa, Hans"/>
    <n v="10092"/>
    <n v="1"/>
    <n v="1"/>
    <n v="1"/>
    <n v="4"/>
    <n v="5"/>
    <x v="1"/>
    <n v="0"/>
    <x v="155"/>
    <n v="1"/>
    <n v="18"/>
    <s v="Production Manager"/>
    <s v="MA"/>
    <n v="1890"/>
    <d v="1972-07-01T00:00:00"/>
    <s v="M "/>
    <s v="Married"/>
    <s v="US Citizen"/>
    <s v="No"/>
    <s v="White"/>
    <d v="2011-01-10T00:00:00"/>
    <d v="2015-12-12T00:00:00"/>
    <s v="attendance"/>
    <s v="Terminated for Cause"/>
    <x v="0"/>
    <s v="Janet King"/>
    <n v="2"/>
    <s v="Employee Referral"/>
    <x v="1"/>
    <x v="75"/>
    <n v="4"/>
    <n v="0"/>
    <s v="2/15/2015"/>
    <n v="0"/>
    <n v="9"/>
    <s v="Normal"/>
    <s v="low Outlier"/>
    <n v="53"/>
    <n v="15"/>
    <n v="4"/>
    <s v="10+ Years"/>
    <s v="46-55"/>
    <s v="Senior (70-100K)"/>
    <n v="0"/>
    <x v="0"/>
    <n v="1"/>
    <s v="Q1"/>
    <s v="Jan"/>
    <s v="2011-01"/>
    <n v="2015"/>
    <s v="Production       "/>
    <n v="36.363636363636367"/>
    <n v="3"/>
    <s v="Medium"/>
  </r>
  <r>
    <s v="Langford, Lindsey"/>
    <n v="10106"/>
    <n v="0"/>
    <n v="2"/>
    <n v="0"/>
    <n v="5"/>
    <n v="5"/>
    <x v="1"/>
    <n v="0"/>
    <x v="156"/>
    <n v="1"/>
    <n v="20"/>
    <s v="Production Technician II"/>
    <s v="MA"/>
    <n v="2090"/>
    <d v="1979-07-25T00:00:00"/>
    <s v="F"/>
    <s v="Divorced"/>
    <s v="US Citizen"/>
    <s v="No"/>
    <s v="Asian"/>
    <d v="2013-01-07T00:00:00"/>
    <d v="2014-03-31T00:00:00"/>
    <s v="Another position"/>
    <s v="Voluntarily Terminated"/>
    <x v="0"/>
    <s v="David Stanley"/>
    <n v="14"/>
    <s v="Indeed"/>
    <x v="1"/>
    <x v="45"/>
    <n v="3"/>
    <n v="0"/>
    <s v="2/20/2014"/>
    <n v="0"/>
    <n v="20"/>
    <s v="Normal"/>
    <s v="low Outlier"/>
    <n v="46"/>
    <n v="13"/>
    <n v="1"/>
    <s v="10+ Years"/>
    <s v="46-55"/>
    <s v="Mid (40-70K)"/>
    <n v="0"/>
    <x v="5"/>
    <n v="1"/>
    <s v="Q1"/>
    <s v="Jan"/>
    <s v="2013-01"/>
    <n v="2014"/>
    <s v="Production       "/>
    <n v="25"/>
    <n v="16"/>
    <s v="Medium"/>
  </r>
  <r>
    <s v="Langton, Enrico"/>
    <n v="10052"/>
    <n v="1"/>
    <n v="1"/>
    <n v="1"/>
    <n v="1"/>
    <n v="5"/>
    <x v="1"/>
    <n v="0"/>
    <x v="157"/>
    <n v="0"/>
    <n v="19"/>
    <s v="Production Technician I"/>
    <s v="MA"/>
    <n v="2048"/>
    <d v="1986-12-09T00:00:00"/>
    <s v="M "/>
    <s v="Married"/>
    <s v="US Citizen"/>
    <s v="No"/>
    <s v="White"/>
    <d v="2012-07-09T00:00:00"/>
    <m/>
    <s v="N/A-StillEmployed"/>
    <s v="Active"/>
    <x v="0"/>
    <s v="David Stanley"/>
    <n v="14"/>
    <s v="LinkedIn"/>
    <x v="1"/>
    <x v="4"/>
    <n v="5"/>
    <n v="0"/>
    <s v="2/4/2019"/>
    <n v="0"/>
    <n v="13"/>
    <s v="Normal"/>
    <s v="low Outlier"/>
    <n v="39"/>
    <n v="13"/>
    <n v="13"/>
    <s v="10+ Years"/>
    <s v="36-45"/>
    <s v="Mid (40-70K)"/>
    <n v="1"/>
    <x v="3"/>
    <n v="7"/>
    <s v="Q3"/>
    <s v="Jul"/>
    <s v="2012-07"/>
    <s v="N/A"/>
    <s v="Production       "/>
    <n v="18.181818181818183"/>
    <n v="0"/>
    <s v="Medium"/>
  </r>
  <r>
    <s v="LaRotonda, William  "/>
    <n v="10038"/>
    <n v="0"/>
    <n v="2"/>
    <n v="1"/>
    <n v="1"/>
    <n v="1"/>
    <x v="1"/>
    <n v="0"/>
    <x v="158"/>
    <n v="0"/>
    <n v="1"/>
    <s v="Accountant I"/>
    <s v="MA"/>
    <n v="1460"/>
    <d v="1984-04-26T00:00:00"/>
    <s v="M "/>
    <s v="Divorced"/>
    <s v="US Citizen"/>
    <s v="No"/>
    <s v="Black or African American"/>
    <d v="2014-01-06T00:00:00"/>
    <m/>
    <s v="N/A-StillEmployed"/>
    <s v="Active"/>
    <x v="3"/>
    <s v="Brandon R. LeBlanc"/>
    <n v="1"/>
    <s v="Website"/>
    <x v="1"/>
    <x v="4"/>
    <n v="4"/>
    <n v="4"/>
    <s v="1/17/2019"/>
    <n v="0"/>
    <n v="3"/>
    <s v="Normal"/>
    <s v="low Outlier"/>
    <n v="41"/>
    <n v="12"/>
    <n v="12"/>
    <s v="10+ Years"/>
    <s v="36-45"/>
    <s v="Mid (40-70K)"/>
    <n v="1"/>
    <x v="4"/>
    <n v="1"/>
    <s v="Q1"/>
    <s v="Jan"/>
    <s v="2014-01"/>
    <s v="N/A"/>
    <s v="Production       "/>
    <n v="25"/>
    <n v="0"/>
    <s v="Medium"/>
  </r>
  <r>
    <s v="Latif, Mohammed"/>
    <n v="10249"/>
    <n v="1"/>
    <n v="1"/>
    <n v="1"/>
    <n v="5"/>
    <n v="5"/>
    <x v="1"/>
    <n v="0"/>
    <x v="159"/>
    <n v="1"/>
    <n v="20"/>
    <s v="Production Technician II"/>
    <s v="MA"/>
    <n v="2126"/>
    <d v="1984-05-09T00:00:00"/>
    <s v="M "/>
    <s v="Married"/>
    <s v="US Citizen"/>
    <s v="No"/>
    <s v="White"/>
    <d v="2012-04-02T00:00:00"/>
    <d v="2013-04-15T00:00:00"/>
    <s v="more money"/>
    <s v="Voluntarily Terminated"/>
    <x v="0"/>
    <s v="Kissy Sullivan"/>
    <n v="20"/>
    <s v="Google Search"/>
    <x v="1"/>
    <x v="76"/>
    <n v="3"/>
    <n v="0"/>
    <s v="2/20/2013"/>
    <n v="0"/>
    <n v="20"/>
    <s v="Normal"/>
    <s v="low Outlier"/>
    <n v="41"/>
    <n v="13"/>
    <n v="1"/>
    <s v="10+ Years"/>
    <s v="36-45"/>
    <s v="Mid (40-70K)"/>
    <n v="0"/>
    <x v="3"/>
    <n v="4"/>
    <s v="Q2"/>
    <s v="Apr"/>
    <s v="2012-04"/>
    <n v="2013"/>
    <s v="Production       "/>
    <n v="61.53846153846154"/>
    <n v="6"/>
    <s v="Medium"/>
  </r>
  <r>
    <s v="Le, Binh"/>
    <n v="10232"/>
    <n v="0"/>
    <n v="0"/>
    <n v="0"/>
    <n v="1"/>
    <n v="3"/>
    <x v="1"/>
    <n v="0"/>
    <x v="160"/>
    <n v="0"/>
    <n v="22"/>
    <s v="Senior BI Developer"/>
    <s v="MA"/>
    <n v="1886"/>
    <d v="1987-06-14T00:00:00"/>
    <s v="F"/>
    <s v="Single"/>
    <s v="US Citizen"/>
    <s v="No"/>
    <s v="Asian"/>
    <d v="2016-10-02T00:00:00"/>
    <m/>
    <s v="N/A-StillEmployed"/>
    <s v="Active"/>
    <x v="1"/>
    <s v="Brian Champaigne"/>
    <n v="13"/>
    <s v="Indeed"/>
    <x v="1"/>
    <x v="28"/>
    <n v="5"/>
    <n v="7"/>
    <s v="1/8/2019"/>
    <n v="0"/>
    <n v="2"/>
    <s v="Normal"/>
    <s v="low Outlier"/>
    <n v="38"/>
    <n v="9"/>
    <n v="9"/>
    <s v="5-10 Years"/>
    <s v="36-45"/>
    <s v="Senior (70-100K)"/>
    <n v="1"/>
    <x v="7"/>
    <n v="10"/>
    <s v="Q4"/>
    <s v="Oct"/>
    <s v="2016-10"/>
    <s v="N/A"/>
    <s v="Production       "/>
    <n v="0"/>
    <n v="0"/>
    <s v="Medium"/>
  </r>
  <r>
    <s v="Leach, Dallas"/>
    <n v="10087"/>
    <n v="0"/>
    <n v="0"/>
    <n v="0"/>
    <n v="5"/>
    <n v="5"/>
    <x v="1"/>
    <n v="0"/>
    <x v="161"/>
    <n v="1"/>
    <n v="19"/>
    <s v="Production Technician I"/>
    <s v="MA"/>
    <n v="1810"/>
    <d v="1979-01-17T00:00:00"/>
    <s v="F"/>
    <s v="Single"/>
    <s v="US Citizen"/>
    <s v="No"/>
    <s v="Asian"/>
    <d v="2011-09-26T00:00:00"/>
    <d v="2018-08-19T00:00:00"/>
    <s v="return to school"/>
    <s v="Voluntarily Terminated"/>
    <x v="0"/>
    <s v="Kissy Sullivan"/>
    <n v="20"/>
    <s v="CareerBuilder"/>
    <x v="1"/>
    <x v="77"/>
    <n v="3"/>
    <n v="0"/>
    <s v="7/2/2017"/>
    <n v="0"/>
    <n v="17"/>
    <s v="Normal"/>
    <s v="low Outlier"/>
    <n v="47"/>
    <n v="14"/>
    <n v="6"/>
    <s v="10+ Years"/>
    <s v="46-55"/>
    <s v="Mid (40-70K)"/>
    <n v="0"/>
    <x v="0"/>
    <n v="9"/>
    <s v="Q3"/>
    <s v="Sep"/>
    <s v="2011-09"/>
    <n v="2018"/>
    <s v="Production       "/>
    <n v="58.333333333333336"/>
    <n v="4"/>
    <s v="Medium"/>
  </r>
  <r>
    <s v="LeBlanc, Brandon  R"/>
    <n v="10134"/>
    <n v="1"/>
    <n v="1"/>
    <n v="1"/>
    <n v="1"/>
    <n v="1"/>
    <x v="1"/>
    <n v="0"/>
    <x v="162"/>
    <n v="0"/>
    <n v="23"/>
    <s v="Shared Services Manager"/>
    <s v="MA"/>
    <n v="1460"/>
    <d v="1984-06-10T00:00:00"/>
    <s v="M "/>
    <s v="Married"/>
    <s v="US Citizen"/>
    <s v="No"/>
    <s v="White"/>
    <d v="2016-01-05T00:00:00"/>
    <m/>
    <s v="N/A-StillEmployed"/>
    <s v="Active"/>
    <x v="3"/>
    <s v="Janet King"/>
    <n v="2"/>
    <s v="CareerBuilder"/>
    <x v="1"/>
    <x v="28"/>
    <n v="4"/>
    <n v="0"/>
    <s v="1/28/2019"/>
    <n v="0"/>
    <n v="20"/>
    <s v="Normal"/>
    <s v="low Outlier"/>
    <n v="41"/>
    <n v="10"/>
    <n v="10"/>
    <s v="10+ Years"/>
    <s v="36-45"/>
    <s v="Senior (70-100K)"/>
    <n v="1"/>
    <x v="7"/>
    <n v="1"/>
    <s v="Q1"/>
    <s v="Jan"/>
    <s v="2016-01"/>
    <s v="N/A"/>
    <s v="Production       "/>
    <n v="30"/>
    <n v="0"/>
    <s v="Medium"/>
  </r>
  <r>
    <s v="Lecter, Hannibal"/>
    <n v="10251"/>
    <n v="1"/>
    <n v="1"/>
    <n v="1"/>
    <n v="1"/>
    <n v="5"/>
    <x v="1"/>
    <n v="0"/>
    <x v="163"/>
    <n v="0"/>
    <n v="19"/>
    <s v="Production Technician I"/>
    <s v="MA"/>
    <n v="1776"/>
    <d v="1982-09-02T00:00:00"/>
    <s v="M "/>
    <s v="Married"/>
    <s v="US Citizen"/>
    <s v="No"/>
    <s v="Asian"/>
    <d v="2012-05-14T00:00:00"/>
    <m/>
    <s v="N/A-StillEmployed"/>
    <s v="Active"/>
    <x v="0"/>
    <s v="Elijiah Gray"/>
    <n v="16"/>
    <s v="Google Search"/>
    <x v="1"/>
    <x v="28"/>
    <n v="3"/>
    <n v="0"/>
    <s v="2/22/2019"/>
    <n v="0"/>
    <n v="10"/>
    <s v="Normal"/>
    <s v="low Outlier"/>
    <n v="43"/>
    <n v="13"/>
    <n v="13"/>
    <s v="10+ Years"/>
    <s v="36-45"/>
    <s v="Mid (40-70K)"/>
    <n v="1"/>
    <x v="3"/>
    <n v="5"/>
    <s v="Q2"/>
    <s v="May"/>
    <s v="2012-05"/>
    <s v="N/A"/>
    <s v="Production       "/>
    <n v="33.333333333333329"/>
    <n v="0"/>
    <s v="Medium"/>
  </r>
  <r>
    <s v="Leruth, Giovanni"/>
    <n v="10103"/>
    <n v="0"/>
    <n v="3"/>
    <n v="1"/>
    <n v="1"/>
    <n v="6"/>
    <x v="1"/>
    <n v="0"/>
    <x v="164"/>
    <n v="0"/>
    <n v="3"/>
    <s v="Area Sales Manager"/>
    <s v="UT"/>
    <n v="84111"/>
    <d v="1988-12-27T00:00:00"/>
    <s v="M "/>
    <s v="Separated"/>
    <s v="US Citizen"/>
    <s v="No"/>
    <s v="Black or African American"/>
    <d v="2012-04-30T00:00:00"/>
    <m/>
    <s v="N/A-StillEmployed"/>
    <s v="Active"/>
    <x v="4"/>
    <s v="John Smith"/>
    <n v="17"/>
    <s v="Website"/>
    <x v="1"/>
    <x v="78"/>
    <n v="3"/>
    <n v="0"/>
    <s v="1/29/2019"/>
    <n v="0"/>
    <n v="16"/>
    <s v="Normal"/>
    <s v="low Outlier"/>
    <n v="37"/>
    <n v="13"/>
    <n v="13"/>
    <s v="10+ Years"/>
    <s v="36-45"/>
    <s v="Senior (70-100K)"/>
    <n v="1"/>
    <x v="3"/>
    <n v="4"/>
    <s v="Q2"/>
    <s v="Apr"/>
    <s v="2012-04"/>
    <s v="N/A"/>
    <s v="Production       "/>
    <n v="0"/>
    <n v="0"/>
    <s v="Medium"/>
  </r>
  <r>
    <s v="Liebig, Ketsia"/>
    <n v="10017"/>
    <n v="1"/>
    <n v="1"/>
    <n v="0"/>
    <n v="1"/>
    <n v="5"/>
    <x v="0"/>
    <n v="0"/>
    <x v="165"/>
    <n v="0"/>
    <n v="18"/>
    <s v="Production Manager"/>
    <s v="MA"/>
    <n v="2110"/>
    <d v="1981-10-26T00:00:00"/>
    <s v="F"/>
    <s v="Married"/>
    <s v="US Citizen"/>
    <s v="No"/>
    <s v="White"/>
    <d v="2013-09-30T00:00:00"/>
    <m/>
    <s v="N/A-StillEmployed"/>
    <s v="Active"/>
    <x v="0"/>
    <s v="Janet King"/>
    <n v="2"/>
    <s v="Website"/>
    <x v="0"/>
    <x v="28"/>
    <n v="3"/>
    <n v="0"/>
    <s v="1/21/2019"/>
    <n v="0"/>
    <n v="11"/>
    <s v="Normal"/>
    <s v="low Outlier"/>
    <n v="44"/>
    <n v="12"/>
    <n v="12"/>
    <s v="10+ Years"/>
    <s v="36-45"/>
    <s v="Senior (70-100K)"/>
    <n v="1"/>
    <x v="5"/>
    <n v="9"/>
    <s v="Q3"/>
    <s v="Sep"/>
    <s v="2013-09"/>
    <s v="N/A"/>
    <s v="Production       "/>
    <n v="33.333333333333329"/>
    <n v="0"/>
    <s v="Low"/>
  </r>
  <r>
    <s v="Linares, Marilyn "/>
    <n v="10186"/>
    <n v="1"/>
    <n v="1"/>
    <n v="0"/>
    <n v="5"/>
    <n v="5"/>
    <x v="1"/>
    <n v="0"/>
    <x v="166"/>
    <n v="1"/>
    <n v="19"/>
    <s v="Production Technician I"/>
    <s v="MA"/>
    <n v="1886"/>
    <d v="1981-03-26T00:00:00"/>
    <s v="F"/>
    <s v="Married"/>
    <s v="US Citizen"/>
    <s v="No"/>
    <s v="White"/>
    <d v="2011-07-05T00:00:00"/>
    <d v="2018-09-26T00:00:00"/>
    <s v="unhappy"/>
    <s v="Voluntarily Terminated"/>
    <x v="0"/>
    <s v="Michael Albert"/>
    <n v="22"/>
    <s v="Indeed"/>
    <x v="1"/>
    <x v="79"/>
    <n v="4"/>
    <n v="0"/>
    <s v="3/2/2018"/>
    <n v="0"/>
    <n v="16"/>
    <s v="Normal"/>
    <s v="low Outlier"/>
    <n v="45"/>
    <n v="14"/>
    <n v="7"/>
    <s v="10+ Years"/>
    <s v="36-45"/>
    <s v="Mid (40-70K)"/>
    <n v="0"/>
    <x v="0"/>
    <n v="7"/>
    <s v="Q3"/>
    <s v="Jul"/>
    <s v="2011-07"/>
    <n v="2018"/>
    <s v="Production       "/>
    <n v="50"/>
    <n v="8"/>
    <s v="Medium"/>
  </r>
  <r>
    <s v="Linden, Mathew"/>
    <n v="10137"/>
    <n v="1"/>
    <n v="1"/>
    <n v="1"/>
    <n v="3"/>
    <n v="5"/>
    <x v="1"/>
    <n v="0"/>
    <x v="167"/>
    <n v="0"/>
    <n v="20"/>
    <s v="Production Technician II"/>
    <s v="MA"/>
    <n v="1770"/>
    <d v="1979-03-19T00:00:00"/>
    <s v="M "/>
    <s v="Married"/>
    <s v="US Citizen"/>
    <s v="No"/>
    <s v="White"/>
    <d v="2013-07-08T00:00:00"/>
    <m/>
    <s v="N/A-StillEmployed"/>
    <s v="Active"/>
    <x v="0"/>
    <s v="Kelley Spirea"/>
    <n v="18"/>
    <s v="LinkedIn"/>
    <x v="1"/>
    <x v="48"/>
    <n v="3"/>
    <n v="0"/>
    <s v="2/18/2019"/>
    <n v="0"/>
    <n v="7"/>
    <s v="Normal"/>
    <s v="low Outlier"/>
    <n v="47"/>
    <n v="12"/>
    <n v="12"/>
    <s v="10+ Years"/>
    <s v="46-55"/>
    <s v="Mid (40-70K)"/>
    <n v="1"/>
    <x v="5"/>
    <n v="7"/>
    <s v="Q3"/>
    <s v="Jul"/>
    <s v="2013-07"/>
    <s v="N/A"/>
    <s v="Production       "/>
    <n v="22.222222222222221"/>
    <n v="0"/>
    <s v="Medium"/>
  </r>
  <r>
    <s v="Lindsay, Leonara "/>
    <n v="10008"/>
    <n v="0"/>
    <n v="0"/>
    <n v="0"/>
    <n v="1"/>
    <n v="3"/>
    <x v="0"/>
    <n v="1"/>
    <x v="168"/>
    <n v="0"/>
    <n v="14"/>
    <s v="IT Support"/>
    <s v="CT"/>
    <n v="6070"/>
    <d v="1988-10-05T00:00:00"/>
    <s v="F"/>
    <s v="Single"/>
    <s v="US Citizen"/>
    <s v="Yes"/>
    <s v="Black or African American"/>
    <d v="2011-01-21T00:00:00"/>
    <m/>
    <s v="N/A-StillEmployed"/>
    <s v="Active"/>
    <x v="1"/>
    <s v="Eric Dougall"/>
    <n v="6"/>
    <s v="Diversity Job Fair"/>
    <x v="0"/>
    <x v="60"/>
    <n v="4"/>
    <n v="5"/>
    <s v="1/25/2019"/>
    <n v="0"/>
    <n v="14"/>
    <s v="Normal"/>
    <s v="low Outlier"/>
    <n v="37"/>
    <n v="15"/>
    <n v="15"/>
    <s v="10+ Years"/>
    <s v="36-45"/>
    <s v="Mid (40-70K)"/>
    <n v="1"/>
    <x v="0"/>
    <n v="1"/>
    <s v="Q1"/>
    <s v="Jan"/>
    <s v="2011-01"/>
    <s v="N/A"/>
    <s v="Production       "/>
    <n v="0"/>
    <n v="0"/>
    <s v="Low"/>
  </r>
  <r>
    <s v="Lundy, Susan"/>
    <n v="10096"/>
    <n v="0"/>
    <n v="4"/>
    <n v="0"/>
    <n v="5"/>
    <n v="5"/>
    <x v="1"/>
    <n v="0"/>
    <x v="169"/>
    <n v="1"/>
    <n v="20"/>
    <s v="Production Technician II"/>
    <s v="MA"/>
    <n v="2122"/>
    <d v="1976-12-26T00:00:00"/>
    <s v="F"/>
    <s v="Widowed"/>
    <s v="US Citizen"/>
    <s v="No"/>
    <s v="White"/>
    <d v="2013-07-08T00:00:00"/>
    <d v="2016-09-15T00:00:00"/>
    <s v="more money"/>
    <s v="Voluntarily Terminated"/>
    <x v="0"/>
    <s v="Michael Albert"/>
    <n v="22"/>
    <s v="LinkedIn"/>
    <x v="1"/>
    <x v="80"/>
    <n v="4"/>
    <n v="0"/>
    <s v="6/10/2016"/>
    <n v="0"/>
    <n v="15"/>
    <s v="Normal"/>
    <s v="low Outlier"/>
    <n v="49"/>
    <n v="12"/>
    <n v="3"/>
    <s v="10+ Years"/>
    <s v="46-55"/>
    <s v="Mid (40-70K)"/>
    <n v="0"/>
    <x v="5"/>
    <n v="7"/>
    <s v="Q3"/>
    <s v="Jul"/>
    <s v="2013-07"/>
    <n v="2016"/>
    <s v="Production       "/>
    <n v="44.444444444444443"/>
    <n v="5"/>
    <s v="Medium"/>
  </r>
  <r>
    <s v="Lunquist, Lisa"/>
    <n v="10035"/>
    <n v="0"/>
    <n v="0"/>
    <n v="0"/>
    <n v="1"/>
    <n v="5"/>
    <x v="0"/>
    <n v="0"/>
    <x v="170"/>
    <n v="0"/>
    <n v="20"/>
    <s v="Production Technician II"/>
    <s v="MA"/>
    <n v="2324"/>
    <d v="1982-03-28T00:00:00"/>
    <s v="F"/>
    <s v="Single"/>
    <s v="US Citizen"/>
    <s v="No"/>
    <s v="Black or African American"/>
    <d v="2013-08-19T00:00:00"/>
    <m/>
    <s v="N/A-StillEmployed"/>
    <s v="Active"/>
    <x v="0"/>
    <s v="Elijiah Gray"/>
    <n v="16"/>
    <s v="Indeed"/>
    <x v="0"/>
    <x v="7"/>
    <n v="4"/>
    <n v="0"/>
    <s v="2/12/2019"/>
    <n v="0"/>
    <n v="19"/>
    <s v="Normal"/>
    <s v="low Outlier"/>
    <n v="44"/>
    <n v="12"/>
    <n v="12"/>
    <s v="10+ Years"/>
    <s v="36-45"/>
    <s v="Senior (70-100K)"/>
    <n v="1"/>
    <x v="5"/>
    <n v="8"/>
    <s v="Q3"/>
    <s v="Aug"/>
    <s v="2013-08"/>
    <s v="N/A"/>
    <s v="Production       "/>
    <n v="36.363636363636367"/>
    <n v="0"/>
    <s v="Low"/>
  </r>
  <r>
    <s v="Lydon, Allison"/>
    <n v="10057"/>
    <n v="1"/>
    <n v="1"/>
    <n v="0"/>
    <n v="3"/>
    <n v="5"/>
    <x v="1"/>
    <n v="0"/>
    <x v="171"/>
    <n v="0"/>
    <n v="19"/>
    <s v="Production Technician I"/>
    <s v="MA"/>
    <n v="2122"/>
    <d v="1975-10-22T00:00:00"/>
    <s v="F"/>
    <s v="Married"/>
    <s v="US Citizen"/>
    <s v="No"/>
    <s v="Black or African American"/>
    <d v="2015-02-16T00:00:00"/>
    <m/>
    <s v="N/A-StillEmployed"/>
    <s v="Active"/>
    <x v="0"/>
    <s v="Elijiah Gray"/>
    <n v="16"/>
    <s v="Website"/>
    <x v="1"/>
    <x v="4"/>
    <n v="3"/>
    <n v="0"/>
    <s v="1/23/2019"/>
    <n v="0"/>
    <n v="6"/>
    <s v="Normal"/>
    <s v="low Outlier"/>
    <n v="50"/>
    <n v="11"/>
    <n v="11"/>
    <s v="10+ Years"/>
    <s v="46-55"/>
    <s v="Mid (40-70K)"/>
    <n v="1"/>
    <x v="1"/>
    <n v="2"/>
    <s v="Q1"/>
    <s v="Feb"/>
    <s v="2015-02"/>
    <s v="N/A"/>
    <s v="Production       "/>
    <n v="40"/>
    <n v="0"/>
    <s v="Medium"/>
  </r>
  <r>
    <s v="Lynch, Lindsay"/>
    <n v="10004"/>
    <n v="0"/>
    <n v="0"/>
    <n v="0"/>
    <n v="5"/>
    <n v="5"/>
    <x v="0"/>
    <n v="1"/>
    <x v="172"/>
    <n v="1"/>
    <n v="19"/>
    <s v="Production Technician I"/>
    <s v="MA"/>
    <n v="1844"/>
    <d v="1973-02-14T00:00:00"/>
    <s v="F"/>
    <s v="Single"/>
    <s v="US Citizen"/>
    <s v="Yes"/>
    <s v="Black or African American"/>
    <d v="2011-11-07T00:00:00"/>
    <d v="2015-11-14T00:00:00"/>
    <s v="Another position"/>
    <s v="Voluntarily Terminated"/>
    <x v="0"/>
    <s v="Webster Butler"/>
    <n v="39"/>
    <s v="Diversity Job Fair"/>
    <x v="0"/>
    <x v="4"/>
    <n v="4"/>
    <n v="0"/>
    <s v="2/2/2015"/>
    <n v="0"/>
    <n v="17"/>
    <s v="Normal"/>
    <s v="low Outlier"/>
    <n v="53"/>
    <n v="14"/>
    <n v="4"/>
    <s v="10+ Years"/>
    <s v="46-55"/>
    <s v="Mid (40-70K)"/>
    <n v="0"/>
    <x v="0"/>
    <n v="11"/>
    <s v="Q4"/>
    <s v="Nov"/>
    <s v="2011-11"/>
    <n v="2015"/>
    <s v="Production       "/>
    <n v="70"/>
    <n v="15"/>
    <s v="Low"/>
  </r>
  <r>
    <s v="MacLennan, Samuel"/>
    <n v="10191"/>
    <n v="0"/>
    <n v="4"/>
    <n v="1"/>
    <n v="5"/>
    <n v="5"/>
    <x v="1"/>
    <n v="0"/>
    <x v="173"/>
    <n v="1"/>
    <n v="19"/>
    <s v="Production Technician I"/>
    <s v="MA"/>
    <n v="1938"/>
    <d v="1972-11-09T00:00:00"/>
    <s v="M "/>
    <s v="Widowed"/>
    <s v="US Citizen"/>
    <s v="No"/>
    <s v="White"/>
    <d v="2012-09-24T00:00:00"/>
    <d v="2017-09-26T00:00:00"/>
    <s v="hours"/>
    <s v="Voluntarily Terminated"/>
    <x v="0"/>
    <s v="Amy Dunn"/>
    <n v="11"/>
    <s v="Indeed"/>
    <x v="1"/>
    <x v="81"/>
    <n v="4"/>
    <n v="0"/>
    <s v="4/1/2017"/>
    <n v="0"/>
    <n v="18"/>
    <s v="Normal"/>
    <s v="low Outlier"/>
    <n v="53"/>
    <n v="13"/>
    <n v="5"/>
    <s v="10+ Years"/>
    <s v="46-55"/>
    <s v="Mid (40-70K)"/>
    <n v="0"/>
    <x v="3"/>
    <n v="9"/>
    <s v="Q3"/>
    <s v="Sep"/>
    <s v="2012-09"/>
    <n v="2017"/>
    <s v="Production       "/>
    <n v="90"/>
    <n v="4"/>
    <s v="Medium"/>
  </r>
  <r>
    <s v="Mahoney, Lauren  "/>
    <n v="10219"/>
    <n v="0"/>
    <n v="0"/>
    <n v="0"/>
    <n v="1"/>
    <n v="5"/>
    <x v="1"/>
    <n v="0"/>
    <x v="174"/>
    <n v="0"/>
    <n v="19"/>
    <s v="Production Technician I"/>
    <s v="MA"/>
    <n v="2189"/>
    <d v="1986-07-07T00:00:00"/>
    <s v="F"/>
    <s v="Single"/>
    <s v="US Citizen"/>
    <s v="No"/>
    <s v="White"/>
    <d v="2014-01-06T00:00:00"/>
    <m/>
    <s v="N/A-StillEmployed"/>
    <s v="Active"/>
    <x v="0"/>
    <s v="Ketsia Liebig"/>
    <n v="19"/>
    <s v="LinkedIn"/>
    <x v="1"/>
    <x v="0"/>
    <n v="4"/>
    <n v="0"/>
    <s v="2/26/2019"/>
    <n v="0"/>
    <n v="14"/>
    <s v="Normal"/>
    <s v="low Outlier"/>
    <n v="39"/>
    <n v="12"/>
    <n v="12"/>
    <s v="10+ Years"/>
    <s v="36-45"/>
    <s v="Mid (40-70K)"/>
    <n v="1"/>
    <x v="4"/>
    <n v="1"/>
    <s v="Q1"/>
    <s v="Jan"/>
    <s v="2014-01"/>
    <s v="N/A"/>
    <s v="Production       "/>
    <n v="44.444444444444443"/>
    <n v="0"/>
    <s v="Medium"/>
  </r>
  <r>
    <s v="Manchester, Robyn"/>
    <n v="10077"/>
    <n v="1"/>
    <n v="1"/>
    <n v="0"/>
    <n v="2"/>
    <n v="5"/>
    <x v="1"/>
    <n v="0"/>
    <x v="175"/>
    <n v="0"/>
    <n v="20"/>
    <s v="Production Technician II"/>
    <s v="MA"/>
    <n v="2324"/>
    <d v="1976-08-25T00:00:00"/>
    <s v="F"/>
    <s v="Married"/>
    <s v="US Citizen"/>
    <s v="No"/>
    <s v="White"/>
    <d v="2016-05-11T00:00:00"/>
    <m/>
    <s v="N/A-StillEmployed"/>
    <s v="Active"/>
    <x v="0"/>
    <s v="Webster Butler"/>
    <m/>
    <s v="LinkedIn"/>
    <x v="1"/>
    <x v="4"/>
    <n v="3"/>
    <n v="0"/>
    <s v="1/21/2019"/>
    <n v="0"/>
    <n v="4"/>
    <s v="Normal"/>
    <s v="low Outlier"/>
    <n v="49"/>
    <n v="9"/>
    <n v="9"/>
    <s v="5-10 Years"/>
    <s v="46-55"/>
    <s v="Mid (40-70K)"/>
    <n v="1"/>
    <x v="7"/>
    <n v="5"/>
    <s v="Q2"/>
    <s v="May"/>
    <s v="2016-05"/>
    <s v="N/A"/>
    <s v="Production       "/>
    <n v="66.666666666666657"/>
    <n v="0"/>
    <s v="Medium"/>
  </r>
  <r>
    <s v="Mancuso, Karen"/>
    <n v="10073"/>
    <n v="1"/>
    <n v="1"/>
    <n v="0"/>
    <n v="5"/>
    <n v="5"/>
    <x v="1"/>
    <n v="0"/>
    <x v="176"/>
    <n v="1"/>
    <n v="20"/>
    <s v="Production Technician II"/>
    <s v="MA"/>
    <n v="2176"/>
    <d v="1986-12-10T00:00:00"/>
    <s v="F"/>
    <s v="Married"/>
    <s v="US Citizen"/>
    <s v="No"/>
    <s v="Two or more races"/>
    <d v="2011-07-05T00:00:00"/>
    <d v="2012-08-19T00:00:00"/>
    <s v="Another position"/>
    <s v="Voluntarily Terminated"/>
    <x v="0"/>
    <s v="Amy Dunn"/>
    <n v="11"/>
    <s v="LinkedIn"/>
    <x v="1"/>
    <x v="4"/>
    <n v="4"/>
    <n v="0"/>
    <s v="7/2/2012"/>
    <n v="0"/>
    <n v="16"/>
    <s v="Normal"/>
    <s v="low Outlier"/>
    <n v="39"/>
    <n v="14"/>
    <n v="1"/>
    <s v="10+ Years"/>
    <s v="36-45"/>
    <s v="Mid (40-70K)"/>
    <n v="0"/>
    <x v="0"/>
    <n v="7"/>
    <s v="Q3"/>
    <s v="Jul"/>
    <s v="2011-07"/>
    <n v="2012"/>
    <s v="Production       "/>
    <n v="88.888888888888886"/>
    <n v="14"/>
    <s v="Medium"/>
  </r>
  <r>
    <s v="Mangal, Debbie"/>
    <n v="10279"/>
    <n v="1"/>
    <n v="1"/>
    <n v="0"/>
    <n v="1"/>
    <n v="5"/>
    <x v="1"/>
    <n v="0"/>
    <x v="177"/>
    <n v="0"/>
    <n v="19"/>
    <s v="Production Technician I"/>
    <s v="MA"/>
    <n v="2451"/>
    <d v="1974-11-07T00:00:00"/>
    <s v="F"/>
    <s v="Married"/>
    <s v="US Citizen"/>
    <s v="No"/>
    <s v="White"/>
    <d v="2013-11-11T00:00:00"/>
    <m/>
    <s v="N/A-StillEmployed"/>
    <s v="Active"/>
    <x v="0"/>
    <s v="Brannon Miller"/>
    <n v="12"/>
    <s v="LinkedIn"/>
    <x v="1"/>
    <x v="28"/>
    <n v="3"/>
    <n v="0"/>
    <s v="1/22/2019"/>
    <n v="0"/>
    <n v="11"/>
    <s v="Normal"/>
    <s v="low Outlier"/>
    <n v="51"/>
    <n v="12"/>
    <n v="12"/>
    <s v="10+ Years"/>
    <s v="46-55"/>
    <s v="Mid (40-70K)"/>
    <n v="1"/>
    <x v="5"/>
    <n v="11"/>
    <s v="Q4"/>
    <s v="Nov"/>
    <s v="2013-11"/>
    <s v="N/A"/>
    <s v="Production       "/>
    <n v="40"/>
    <n v="0"/>
    <s v="Medium"/>
  </r>
  <r>
    <s v="Martin, Sandra"/>
    <n v="10110"/>
    <n v="0"/>
    <n v="0"/>
    <n v="0"/>
    <n v="1"/>
    <n v="4"/>
    <x v="1"/>
    <n v="0"/>
    <x v="178"/>
    <n v="0"/>
    <n v="24"/>
    <s v="Software Engineer"/>
    <s v="MA"/>
    <n v="2135"/>
    <d v="1987-11-07T00:00:00"/>
    <s v="F"/>
    <s v="Single"/>
    <s v="US Citizen"/>
    <s v="No"/>
    <s v="Asian"/>
    <d v="2013-11-11T00:00:00"/>
    <m/>
    <s v="N/A-StillEmployed"/>
    <s v="Active"/>
    <x v="2"/>
    <s v="Alex Sweetwater"/>
    <n v="10"/>
    <s v="Google Search"/>
    <x v="1"/>
    <x v="10"/>
    <n v="5"/>
    <n v="4"/>
    <s v="1/14/2019"/>
    <n v="0"/>
    <n v="14"/>
    <s v="Normal"/>
    <s v="low Outlier"/>
    <n v="38"/>
    <n v="12"/>
    <n v="12"/>
    <s v="10+ Years"/>
    <s v="36-45"/>
    <s v="Executive (100K+)"/>
    <n v="1"/>
    <x v="5"/>
    <n v="11"/>
    <s v="Q4"/>
    <s v="Nov"/>
    <s v="2013-11"/>
    <s v="N/A"/>
    <s v="Production       "/>
    <n v="40"/>
    <n v="0"/>
    <s v="Medium"/>
  </r>
  <r>
    <s v="Maurice, Shana"/>
    <n v="10053"/>
    <n v="1"/>
    <n v="1"/>
    <n v="0"/>
    <n v="1"/>
    <n v="5"/>
    <x v="1"/>
    <n v="0"/>
    <x v="179"/>
    <n v="0"/>
    <n v="19"/>
    <s v="Production Technician I"/>
    <s v="MA"/>
    <n v="2330"/>
    <d v="1977-11-22T00:00:00"/>
    <s v="F"/>
    <s v="Married"/>
    <s v="US Citizen"/>
    <s v="No"/>
    <s v="White"/>
    <d v="2011-05-31T00:00:00"/>
    <m/>
    <s v="N/A-StillEmployed"/>
    <s v="Active"/>
    <x v="0"/>
    <s v="David Stanley"/>
    <n v="14"/>
    <s v="Indeed"/>
    <x v="1"/>
    <x v="4"/>
    <n v="4"/>
    <n v="0"/>
    <s v="1/10/2019"/>
    <n v="0"/>
    <n v="8"/>
    <s v="Normal"/>
    <s v="low Outlier"/>
    <n v="48"/>
    <n v="14"/>
    <n v="14"/>
    <s v="10+ Years"/>
    <s v="46-55"/>
    <s v="Mid (40-70K)"/>
    <n v="1"/>
    <x v="0"/>
    <n v="5"/>
    <s v="Q2"/>
    <s v="May"/>
    <s v="2011-05"/>
    <s v="N/A"/>
    <s v="Production       "/>
    <n v="20"/>
    <n v="0"/>
    <s v="Medium"/>
  </r>
  <r>
    <s v="Carthy, B'rigit"/>
    <n v="10076"/>
    <n v="0"/>
    <n v="0"/>
    <n v="0"/>
    <n v="1"/>
    <n v="5"/>
    <x v="1"/>
    <n v="0"/>
    <x v="180"/>
    <n v="0"/>
    <n v="20"/>
    <s v="Production Technician II"/>
    <s v="MA"/>
    <n v="2149"/>
    <d v="1987-05-21T00:00:00"/>
    <s v="F"/>
    <s v="Single"/>
    <s v="US Citizen"/>
    <s v="No"/>
    <s v="Black or African American"/>
    <d v="2015-03-30T00:00:00"/>
    <m/>
    <s v="N/A-StillEmployed"/>
    <s v="Active"/>
    <x v="0"/>
    <s v="Ketsia Liebig"/>
    <n v="19"/>
    <s v="LinkedIn"/>
    <x v="1"/>
    <x v="4"/>
    <n v="5"/>
    <n v="0"/>
    <s v="2/7/2019"/>
    <n v="0"/>
    <n v="16"/>
    <s v="Normal"/>
    <s v="low Outlier"/>
    <n v="38"/>
    <n v="11"/>
    <n v="11"/>
    <s v="10+ Years"/>
    <s v="36-45"/>
    <s v="Mid (40-70K)"/>
    <n v="1"/>
    <x v="1"/>
    <n v="3"/>
    <s v="Q1"/>
    <s v="Mar"/>
    <s v="2015-03"/>
    <s v="N/A"/>
    <s v="Production       "/>
    <n v="50"/>
    <n v="0"/>
    <s v="Medium"/>
  </r>
  <r>
    <s v="Mckenna, Sandy"/>
    <n v="10145"/>
    <n v="1"/>
    <n v="1"/>
    <n v="0"/>
    <n v="1"/>
    <n v="5"/>
    <x v="1"/>
    <n v="0"/>
    <x v="181"/>
    <n v="0"/>
    <n v="19"/>
    <s v="Production Technician I"/>
    <s v="MA"/>
    <n v="2184"/>
    <d v="1987-01-07T00:00:00"/>
    <s v="F"/>
    <s v="Married"/>
    <s v="US Citizen"/>
    <s v="No"/>
    <s v="Black or African American"/>
    <d v="2013-01-07T00:00:00"/>
    <m/>
    <s v="N/A-StillEmployed"/>
    <s v="Active"/>
    <x v="0"/>
    <s v="Kissy Sullivan"/>
    <n v="20"/>
    <s v="CareerBuilder"/>
    <x v="1"/>
    <x v="82"/>
    <n v="3"/>
    <n v="0"/>
    <s v="1/30/2019"/>
    <n v="0"/>
    <n v="20"/>
    <s v="Normal"/>
    <s v="low Outlier"/>
    <n v="39"/>
    <n v="13"/>
    <n v="13"/>
    <s v="10+ Years"/>
    <s v="36-45"/>
    <s v="Mid (40-70K)"/>
    <n v="1"/>
    <x v="5"/>
    <n v="1"/>
    <s v="Q1"/>
    <s v="Jan"/>
    <s v="2013-01"/>
    <s v="N/A"/>
    <s v="Production       "/>
    <n v="54.54545454545454"/>
    <n v="0"/>
    <s v="Medium"/>
  </r>
  <r>
    <s v="McKinzie, Jac"/>
    <n v="10202"/>
    <n v="1"/>
    <n v="1"/>
    <n v="1"/>
    <n v="2"/>
    <n v="6"/>
    <x v="1"/>
    <n v="0"/>
    <x v="182"/>
    <n v="0"/>
    <n v="3"/>
    <s v="Area Sales Manager"/>
    <s v="TX"/>
    <n v="78789"/>
    <d v="1984-07-01T00:00:00"/>
    <s v="M "/>
    <s v="Married"/>
    <s v="US Citizen"/>
    <s v="No"/>
    <s v="Two or more races"/>
    <d v="2016-07-06T00:00:00"/>
    <m/>
    <s v="N/A-StillEmployed"/>
    <s v="Active"/>
    <x v="4"/>
    <s v="Lynn Daneault"/>
    <n v="21"/>
    <s v="Website"/>
    <x v="1"/>
    <x v="42"/>
    <n v="4"/>
    <n v="0"/>
    <s v="1/29/2019"/>
    <n v="0"/>
    <n v="7"/>
    <s v="Normal"/>
    <s v="low Outlier"/>
    <n v="41"/>
    <n v="9"/>
    <n v="9"/>
    <s v="5-10 Years"/>
    <s v="36-45"/>
    <s v="Mid (40-70K)"/>
    <n v="1"/>
    <x v="7"/>
    <n v="7"/>
    <s v="Q3"/>
    <s v="Jul"/>
    <s v="2016-07"/>
    <s v="N/A"/>
    <s v="Production       "/>
    <n v="0"/>
    <n v="0"/>
    <s v="Medium"/>
  </r>
  <r>
    <s v="Meads, Elizabeth"/>
    <n v="10128"/>
    <n v="0"/>
    <n v="0"/>
    <n v="0"/>
    <n v="5"/>
    <n v="5"/>
    <x v="1"/>
    <n v="1"/>
    <x v="183"/>
    <n v="1"/>
    <n v="19"/>
    <s v="Production Technician I"/>
    <s v="MA"/>
    <n v="1760"/>
    <d v="1968-05-30T00:00:00"/>
    <s v="F"/>
    <s v="Single"/>
    <s v="US Citizen"/>
    <s v="No"/>
    <s v="Black or African American"/>
    <d v="2012-04-02T00:00:00"/>
    <d v="2016-11-11T00:00:00"/>
    <s v="Another position"/>
    <s v="Voluntarily Terminated"/>
    <x v="0"/>
    <s v="Kelley Spirea"/>
    <n v="18"/>
    <s v="Diversity Job Fair"/>
    <x v="1"/>
    <x v="83"/>
    <n v="4"/>
    <n v="0"/>
    <s v="2/5/2016"/>
    <n v="0"/>
    <n v="17"/>
    <s v="Normal"/>
    <s v="low Outlier"/>
    <n v="57"/>
    <n v="13"/>
    <n v="4"/>
    <s v="10+ Years"/>
    <s v="55+"/>
    <s v="Mid (40-70K)"/>
    <n v="0"/>
    <x v="3"/>
    <n v="4"/>
    <s v="Q2"/>
    <s v="Apr"/>
    <s v="2012-04"/>
    <n v="2016"/>
    <s v="Production       "/>
    <n v="25"/>
    <n v="13"/>
    <s v="Medium"/>
  </r>
  <r>
    <s v="Medeiros, Jennifer"/>
    <n v="10068"/>
    <n v="0"/>
    <n v="0"/>
    <n v="0"/>
    <n v="1"/>
    <n v="5"/>
    <x v="1"/>
    <n v="0"/>
    <x v="184"/>
    <n v="0"/>
    <n v="19"/>
    <s v="Production Technician I"/>
    <s v="MA"/>
    <n v="2346"/>
    <d v="1976-09-22T00:00:00"/>
    <s v="F"/>
    <s v="Single"/>
    <s v="US Citizen"/>
    <s v="No"/>
    <s v="White"/>
    <d v="2015-03-30T00:00:00"/>
    <m/>
    <s v="N/A-StillEmployed"/>
    <s v="Active"/>
    <x v="0"/>
    <s v="Michael Albert"/>
    <n v="22"/>
    <s v="CareerBuilder"/>
    <x v="1"/>
    <x v="4"/>
    <n v="4"/>
    <n v="0"/>
    <s v="1/21/2019"/>
    <n v="0"/>
    <n v="10"/>
    <s v="Normal"/>
    <s v="low Outlier"/>
    <n v="49"/>
    <n v="11"/>
    <n v="11"/>
    <s v="10+ Years"/>
    <s v="46-55"/>
    <s v="Mid (40-70K)"/>
    <n v="1"/>
    <x v="1"/>
    <n v="3"/>
    <s v="Q1"/>
    <s v="Mar"/>
    <s v="2015-03"/>
    <s v="N/A"/>
    <s v="Production       "/>
    <n v="37.5"/>
    <n v="0"/>
    <s v="Medium"/>
  </r>
  <r>
    <s v="Miller, Brannon"/>
    <n v="10116"/>
    <n v="0"/>
    <n v="0"/>
    <n v="1"/>
    <n v="1"/>
    <n v="5"/>
    <x v="1"/>
    <n v="0"/>
    <x v="185"/>
    <n v="0"/>
    <n v="18"/>
    <s v="Production Manager"/>
    <s v="MA"/>
    <n v="2045"/>
    <d v="1981-08-10T00:00:00"/>
    <s v="M "/>
    <s v="Single"/>
    <s v="US Citizen"/>
    <s v="Yes"/>
    <s v="Hispanic"/>
    <d v="2012-08-16T00:00:00"/>
    <m/>
    <s v="N/A-StillEmployed"/>
    <s v="Active"/>
    <x v="0"/>
    <s v="Janet King"/>
    <n v="2"/>
    <s v="Indeed"/>
    <x v="1"/>
    <x v="84"/>
    <n v="3"/>
    <n v="0"/>
    <s v="1/14/2019"/>
    <n v="0"/>
    <n v="2"/>
    <s v="Normal"/>
    <s v="low Outlier"/>
    <n v="44"/>
    <n v="13"/>
    <n v="13"/>
    <s v="10+ Years"/>
    <s v="36-45"/>
    <s v="Senior (70-100K)"/>
    <n v="1"/>
    <x v="3"/>
    <n v="8"/>
    <s v="Q3"/>
    <s v="Aug"/>
    <s v="2012-08"/>
    <s v="N/A"/>
    <s v="Production       "/>
    <n v="37.5"/>
    <n v="0"/>
    <s v="Medium"/>
  </r>
  <r>
    <s v="Miller, Ned"/>
    <n v="10298"/>
    <n v="0"/>
    <n v="0"/>
    <n v="1"/>
    <n v="5"/>
    <n v="5"/>
    <x v="3"/>
    <n v="0"/>
    <x v="186"/>
    <n v="1"/>
    <n v="20"/>
    <s v="Production Technician II"/>
    <s v="MA"/>
    <n v="2472"/>
    <d v="1985-06-29T00:00:00"/>
    <s v="M "/>
    <s v="Single"/>
    <s v="US Citizen"/>
    <s v="No"/>
    <s v="White"/>
    <d v="2011-08-15T00:00:00"/>
    <d v="2014-09-04T00:00:00"/>
    <s v="unhappy"/>
    <s v="Voluntarily Terminated"/>
    <x v="0"/>
    <s v="Brannon Miller"/>
    <n v="12"/>
    <s v="LinkedIn"/>
    <x v="3"/>
    <x v="24"/>
    <n v="2"/>
    <n v="0"/>
    <s v="1/14/2013"/>
    <n v="6"/>
    <n v="6"/>
    <s v="Normal"/>
    <s v="low Outlier"/>
    <n v="40"/>
    <n v="14"/>
    <n v="3"/>
    <s v="10+ Years"/>
    <s v="36-45"/>
    <s v="Mid (40-70K)"/>
    <n v="0"/>
    <x v="0"/>
    <n v="8"/>
    <s v="Q3"/>
    <s v="Aug"/>
    <s v="2011-08"/>
    <n v="2014"/>
    <s v="Production       "/>
    <n v="44.444444444444443"/>
    <n v="7"/>
    <s v="High"/>
  </r>
  <r>
    <s v="Monkfish, Erasumus"/>
    <n v="10213"/>
    <n v="1"/>
    <n v="1"/>
    <n v="1"/>
    <n v="1"/>
    <n v="5"/>
    <x v="1"/>
    <n v="0"/>
    <x v="187"/>
    <n v="0"/>
    <n v="20"/>
    <s v="Production Technician II"/>
    <s v="MA"/>
    <n v="1450"/>
    <d v="1992-08-17T00:00:00"/>
    <s v="M "/>
    <s v="Married"/>
    <s v="US Citizen"/>
    <s v="No"/>
    <s v="White"/>
    <d v="2011-11-07T00:00:00"/>
    <m/>
    <s v="N/A-StillEmployed"/>
    <s v="Active"/>
    <x v="0"/>
    <s v="David Stanley"/>
    <n v="14"/>
    <s v="LinkedIn"/>
    <x v="1"/>
    <x v="30"/>
    <n v="3"/>
    <n v="0"/>
    <s v="1/8/2019"/>
    <n v="0"/>
    <n v="14"/>
    <s v="Normal"/>
    <s v="low Outlier"/>
    <n v="33"/>
    <n v="14"/>
    <n v="14"/>
    <s v="10+ Years"/>
    <s v="26-35"/>
    <s v="Mid (40-70K)"/>
    <n v="1"/>
    <x v="0"/>
    <n v="11"/>
    <s v="Q4"/>
    <s v="Nov"/>
    <s v="2011-11"/>
    <s v="N/A"/>
    <s v="Production       "/>
    <n v="22.222222222222221"/>
    <n v="0"/>
    <s v="Medium"/>
  </r>
  <r>
    <s v="Monroe, Peter"/>
    <n v="10288"/>
    <n v="1"/>
    <n v="1"/>
    <n v="1"/>
    <n v="1"/>
    <n v="3"/>
    <x v="2"/>
    <n v="1"/>
    <x v="188"/>
    <n v="0"/>
    <n v="13"/>
    <s v="IT Manager - Infra"/>
    <s v="MA"/>
    <n v="2134"/>
    <d v="1986-10-05T00:00:00"/>
    <s v="M "/>
    <s v="Married"/>
    <s v="Eligible NonCitizen"/>
    <s v="Yes"/>
    <s v="Black or African American"/>
    <d v="2012-02-15T00:00:00"/>
    <m/>
    <s v="N/A-StillEmployed"/>
    <s v="Active"/>
    <x v="1"/>
    <s v="Jennifer Zamora"/>
    <n v="5"/>
    <s v="Diversity Job Fair"/>
    <x v="2"/>
    <x v="85"/>
    <n v="3"/>
    <n v="6"/>
    <s v="2/22/2019"/>
    <n v="4"/>
    <n v="13"/>
    <s v=" high Outlier"/>
    <s v="low Outlier"/>
    <n v="39"/>
    <n v="14"/>
    <n v="14"/>
    <s v="10+ Years"/>
    <s v="36-45"/>
    <s v="Executive (100K+)"/>
    <n v="1"/>
    <x v="3"/>
    <n v="2"/>
    <s v="Q1"/>
    <s v="Feb"/>
    <s v="2012-02"/>
    <s v="N/A"/>
    <s v="Production       "/>
    <n v="33.333333333333329"/>
    <n v="0"/>
    <s v="High"/>
  </r>
  <r>
    <s v="Monterro, Luisa"/>
    <n v="10025"/>
    <n v="0"/>
    <n v="0"/>
    <n v="0"/>
    <n v="1"/>
    <n v="5"/>
    <x v="0"/>
    <n v="0"/>
    <x v="189"/>
    <n v="0"/>
    <n v="20"/>
    <s v="Production Technician II"/>
    <s v="MA"/>
    <n v="2126"/>
    <d v="1970-04-24T00:00:00"/>
    <s v="F"/>
    <s v="Single"/>
    <s v="US Citizen"/>
    <s v="No"/>
    <s v="Black or African American"/>
    <d v="2013-05-13T00:00:00"/>
    <m/>
    <s v="N/A-StillEmployed"/>
    <s v="Active"/>
    <x v="0"/>
    <s v="Kissy Sullivan"/>
    <n v="20"/>
    <s v="Indeed"/>
    <x v="0"/>
    <x v="27"/>
    <n v="3"/>
    <n v="0"/>
    <s v="1/14/2019"/>
    <n v="0"/>
    <n v="1"/>
    <s v="Normal"/>
    <s v="low Outlier"/>
    <n v="55"/>
    <n v="12"/>
    <n v="12"/>
    <s v="10+ Years"/>
    <s v="46-55"/>
    <s v="Senior (70-100K)"/>
    <n v="1"/>
    <x v="5"/>
    <n v="5"/>
    <s v="Q2"/>
    <s v="May"/>
    <s v="2013-05"/>
    <s v="N/A"/>
    <s v="Production       "/>
    <n v="60"/>
    <n v="0"/>
    <s v="Low"/>
  </r>
  <r>
    <s v="Moran, Patrick"/>
    <n v="10223"/>
    <n v="0"/>
    <n v="0"/>
    <n v="1"/>
    <n v="3"/>
    <n v="5"/>
    <x v="1"/>
    <n v="1"/>
    <x v="190"/>
    <n v="0"/>
    <n v="20"/>
    <s v="Production Technician II"/>
    <s v="MA"/>
    <n v="2127"/>
    <d v="1976-12-03T00:00:00"/>
    <s v="M "/>
    <s v="Single"/>
    <s v="US Citizen"/>
    <s v="No"/>
    <s v="Black or African American"/>
    <d v="2012-01-09T00:00:00"/>
    <m/>
    <s v="N/A-StillEmployed"/>
    <s v="Active"/>
    <x v="0"/>
    <s v="Kelley Spirea"/>
    <n v="18"/>
    <s v="Diversity Job Fair"/>
    <x v="1"/>
    <x v="28"/>
    <n v="4"/>
    <n v="0"/>
    <s v="1/31/2019"/>
    <n v="0"/>
    <n v="12"/>
    <s v="Normal"/>
    <s v="low Outlier"/>
    <n v="49"/>
    <n v="14"/>
    <n v="14"/>
    <s v="10+ Years"/>
    <s v="46-55"/>
    <s v="Senior (70-100K)"/>
    <n v="1"/>
    <x v="3"/>
    <n v="1"/>
    <s v="Q1"/>
    <s v="Jan"/>
    <s v="2012-01"/>
    <s v="N/A"/>
    <s v="Production       "/>
    <n v="14.285714285714285"/>
    <n v="0"/>
    <s v="Medium"/>
  </r>
  <r>
    <s v="Morway, Tanya"/>
    <n v="10151"/>
    <n v="1"/>
    <n v="1"/>
    <n v="0"/>
    <n v="1"/>
    <n v="3"/>
    <x v="1"/>
    <n v="0"/>
    <x v="191"/>
    <n v="0"/>
    <n v="15"/>
    <s v="Network Engineer"/>
    <s v="MA"/>
    <n v="2048"/>
    <d v="1979-04-04T00:00:00"/>
    <s v="F"/>
    <s v="Married"/>
    <s v="US Citizen"/>
    <s v="No"/>
    <s v="White"/>
    <d v="2015-02-16T00:00:00"/>
    <m/>
    <s v="N/A-StillEmployed"/>
    <s v="Active"/>
    <x v="1"/>
    <s v="Peter Monroe"/>
    <n v="7"/>
    <s v="CareerBuilder"/>
    <x v="1"/>
    <x v="86"/>
    <n v="3"/>
    <n v="6"/>
    <s v="2/11/2019"/>
    <n v="0"/>
    <n v="6"/>
    <s v="Normal"/>
    <s v="low Outlier"/>
    <n v="46"/>
    <n v="11"/>
    <n v="11"/>
    <s v="10+ Years"/>
    <s v="46-55"/>
    <s v="Mid (40-70K)"/>
    <n v="1"/>
    <x v="1"/>
    <n v="2"/>
    <s v="Q1"/>
    <s v="Feb"/>
    <s v="2015-02"/>
    <s v="N/A"/>
    <s v="Production       "/>
    <n v="16.666666666666664"/>
    <n v="0"/>
    <s v="Medium"/>
  </r>
  <r>
    <s v="Motlagh,  Dawn"/>
    <n v="10254"/>
    <n v="0"/>
    <n v="2"/>
    <n v="0"/>
    <n v="1"/>
    <n v="5"/>
    <x v="1"/>
    <n v="0"/>
    <x v="192"/>
    <n v="0"/>
    <n v="19"/>
    <s v="Production Technician I"/>
    <s v="MA"/>
    <n v="2453"/>
    <d v="1984-07-07T00:00:00"/>
    <s v="F"/>
    <s v="Divorced"/>
    <s v="US Citizen"/>
    <s v="No"/>
    <s v="White"/>
    <d v="2013-04-01T00:00:00"/>
    <m/>
    <s v="N/A-StillEmployed"/>
    <s v="Active"/>
    <x v="0"/>
    <s v="Elijiah Gray"/>
    <n v="16"/>
    <s v="LinkedIn"/>
    <x v="1"/>
    <x v="9"/>
    <n v="4"/>
    <n v="0"/>
    <s v="1/17/2019"/>
    <n v="0"/>
    <n v="18"/>
    <s v="Normal"/>
    <s v="low Outlier"/>
    <n v="41"/>
    <n v="13"/>
    <n v="13"/>
    <s v="10+ Years"/>
    <s v="36-45"/>
    <s v="Mid (40-70K)"/>
    <n v="1"/>
    <x v="5"/>
    <n v="4"/>
    <s v="Q2"/>
    <s v="Apr"/>
    <s v="2013-04"/>
    <s v="N/A"/>
    <s v="Production       "/>
    <n v="44.444444444444443"/>
    <n v="0"/>
    <s v="Medium"/>
  </r>
  <r>
    <s v="Moumanil, Maliki "/>
    <n v="10120"/>
    <n v="0"/>
    <n v="3"/>
    <n v="1"/>
    <n v="1"/>
    <n v="5"/>
    <x v="1"/>
    <n v="0"/>
    <x v="193"/>
    <n v="0"/>
    <n v="20"/>
    <s v="Production Technician II"/>
    <s v="MA"/>
    <n v="1460"/>
    <d v="1974-12-01T00:00:00"/>
    <s v="M "/>
    <s v="Separated"/>
    <s v="US Citizen"/>
    <s v="No"/>
    <s v="Black or African American"/>
    <d v="2013-05-13T00:00:00"/>
    <m/>
    <s v="N/A-StillEmployed"/>
    <s v="Active"/>
    <x v="0"/>
    <s v="Michael Albert"/>
    <n v="22"/>
    <s v="LinkedIn"/>
    <x v="1"/>
    <x v="87"/>
    <n v="5"/>
    <n v="0"/>
    <s v="1/28/2019"/>
    <n v="0"/>
    <n v="11"/>
    <s v="Normal"/>
    <s v="low Outlier"/>
    <n v="51"/>
    <n v="12"/>
    <n v="12"/>
    <s v="10+ Years"/>
    <s v="46-55"/>
    <s v="Senior (70-100K)"/>
    <n v="1"/>
    <x v="5"/>
    <n v="5"/>
    <s v="Q2"/>
    <s v="May"/>
    <s v="2013-05"/>
    <s v="N/A"/>
    <s v="Production       "/>
    <n v="42.857142857142854"/>
    <n v="0"/>
    <s v="Medium"/>
  </r>
  <r>
    <s v="Myers, Michael"/>
    <n v="10216"/>
    <n v="0"/>
    <n v="0"/>
    <n v="1"/>
    <n v="1"/>
    <n v="5"/>
    <x v="1"/>
    <n v="0"/>
    <x v="194"/>
    <n v="0"/>
    <n v="19"/>
    <s v="Production Technician I"/>
    <s v="MA"/>
    <n v="1550"/>
    <d v="1980-04-18T00:00:00"/>
    <s v="M "/>
    <s v="Single"/>
    <s v="US Citizen"/>
    <s v="No"/>
    <s v="Asian"/>
    <d v="2013-07-08T00:00:00"/>
    <m/>
    <s v="N/A-StillEmployed"/>
    <s v="Active"/>
    <x v="0"/>
    <s v="Kissy Sullivan"/>
    <n v="20"/>
    <s v="LinkedIn"/>
    <x v="1"/>
    <x v="28"/>
    <n v="4"/>
    <n v="0"/>
    <s v="1/22/2019"/>
    <n v="0"/>
    <n v="13"/>
    <s v="Normal"/>
    <s v="low Outlier"/>
    <n v="45"/>
    <n v="12"/>
    <n v="12"/>
    <s v="10+ Years"/>
    <s v="36-45"/>
    <s v="Mid (40-70K)"/>
    <n v="1"/>
    <x v="5"/>
    <n v="7"/>
    <s v="Q3"/>
    <s v="Jul"/>
    <s v="2013-07"/>
    <s v="N/A"/>
    <s v="Production       "/>
    <n v="66.666666666666657"/>
    <n v="0"/>
    <s v="Medium"/>
  </r>
  <r>
    <s v="Navathe, Kurt"/>
    <n v="10079"/>
    <n v="0"/>
    <n v="0"/>
    <n v="1"/>
    <n v="1"/>
    <n v="3"/>
    <x v="1"/>
    <n v="0"/>
    <x v="195"/>
    <n v="0"/>
    <n v="22"/>
    <s v="Senior BI Developer"/>
    <s v="MA"/>
    <n v="2056"/>
    <d v="1970-04-25T00:00:00"/>
    <s v="M "/>
    <s v="Single"/>
    <s v="US Citizen"/>
    <s v="No"/>
    <s v="Asian"/>
    <d v="2017-02-10T00:00:00"/>
    <m/>
    <s v="N/A-StillEmployed"/>
    <s v="Active"/>
    <x v="1"/>
    <s v="Brian Champaigne"/>
    <n v="13"/>
    <s v="Indeed"/>
    <x v="1"/>
    <x v="4"/>
    <n v="3"/>
    <n v="6"/>
    <s v="2/25/2019"/>
    <n v="0"/>
    <n v="17"/>
    <s v="Normal"/>
    <s v="low Outlier"/>
    <n v="55"/>
    <n v="9"/>
    <n v="9"/>
    <s v="5-10 Years"/>
    <s v="46-55"/>
    <s v="Senior (70-100K)"/>
    <n v="1"/>
    <x v="10"/>
    <n v="2"/>
    <s v="Q1"/>
    <s v="Feb"/>
    <s v="2017-02"/>
    <s v="N/A"/>
    <s v="Production       "/>
    <n v="0"/>
    <n v="0"/>
    <s v="Medium"/>
  </r>
  <r>
    <s v="Ndzi, Colombui"/>
    <n v="10215"/>
    <n v="0"/>
    <n v="0"/>
    <n v="1"/>
    <n v="5"/>
    <n v="5"/>
    <x v="1"/>
    <n v="1"/>
    <x v="196"/>
    <n v="1"/>
    <n v="19"/>
    <s v="Production Technician I"/>
    <s v="MA"/>
    <n v="2110"/>
    <d v="1989-05-02T00:00:00"/>
    <s v="M "/>
    <s v="Single"/>
    <s v="US Citizen"/>
    <s v="No"/>
    <s v="Black or African American"/>
    <d v="2011-09-26T00:00:00"/>
    <d v="2014-04-04T00:00:00"/>
    <s v="return to school"/>
    <s v="Voluntarily Terminated"/>
    <x v="0"/>
    <s v="Webster Butler"/>
    <n v="39"/>
    <s v="Diversity Job Fair"/>
    <x v="1"/>
    <x v="25"/>
    <n v="3"/>
    <n v="0"/>
    <s v="3/2/2013"/>
    <n v="0"/>
    <n v="19"/>
    <s v="Normal"/>
    <s v="low Outlier"/>
    <n v="36"/>
    <n v="14"/>
    <n v="2"/>
    <s v="10+ Years"/>
    <s v="36-45"/>
    <s v="Mid (40-70K)"/>
    <n v="0"/>
    <x v="0"/>
    <n v="9"/>
    <s v="Q3"/>
    <s v="Sep"/>
    <s v="2011-09"/>
    <n v="2014"/>
    <s v="Production       "/>
    <n v="75"/>
    <n v="3"/>
    <s v="Medium"/>
  </r>
  <r>
    <s v="Ndzi, Horia"/>
    <n v="10185"/>
    <n v="1"/>
    <n v="1"/>
    <n v="1"/>
    <n v="5"/>
    <n v="5"/>
    <x v="1"/>
    <n v="0"/>
    <x v="197"/>
    <n v="1"/>
    <n v="19"/>
    <s v="Production Technician I"/>
    <s v="MA"/>
    <n v="2421"/>
    <d v="1983-03-28T00:00:00"/>
    <s v="M "/>
    <s v="Married"/>
    <s v="US Citizen"/>
    <s v="No"/>
    <s v="White"/>
    <d v="2013-04-01T00:00:00"/>
    <d v="2016-05-25T00:00:00"/>
    <s v="more money"/>
    <s v="Voluntarily Terminated"/>
    <x v="0"/>
    <s v="Amy Dunn"/>
    <n v="11"/>
    <s v="Employee Referral"/>
    <x v="1"/>
    <x v="79"/>
    <n v="3"/>
    <n v="0"/>
    <s v="3/6/2016"/>
    <n v="0"/>
    <n v="10"/>
    <s v="Normal"/>
    <s v="low Outlier"/>
    <n v="43"/>
    <n v="13"/>
    <n v="3"/>
    <s v="10+ Years"/>
    <s v="36-45"/>
    <s v="Mid (40-70K)"/>
    <n v="0"/>
    <x v="5"/>
    <n v="4"/>
    <s v="Q2"/>
    <s v="Apr"/>
    <s v="2013-04"/>
    <n v="2016"/>
    <s v="Production       "/>
    <n v="87.5"/>
    <n v="4"/>
    <s v="Medium"/>
  </r>
  <r>
    <s v="Newman, Richard "/>
    <n v="10063"/>
    <n v="1"/>
    <n v="1"/>
    <n v="1"/>
    <n v="3"/>
    <n v="5"/>
    <x v="1"/>
    <n v="0"/>
    <x v="198"/>
    <n v="0"/>
    <n v="19"/>
    <s v="Production Technician I"/>
    <s v="MA"/>
    <n v="2136"/>
    <d v="1977-04-08T00:00:00"/>
    <s v="M "/>
    <s v="Married"/>
    <s v="US Citizen"/>
    <s v="No"/>
    <s v="White"/>
    <d v="2014-05-12T00:00:00"/>
    <m/>
    <s v="N/A-StillEmployed"/>
    <s v="Active"/>
    <x v="0"/>
    <s v="Ketsia Liebig"/>
    <n v="19"/>
    <s v="LinkedIn"/>
    <x v="1"/>
    <x v="4"/>
    <n v="5"/>
    <n v="0"/>
    <s v="2/18/2019"/>
    <n v="0"/>
    <n v="11"/>
    <s v="Normal"/>
    <s v="low Outlier"/>
    <n v="48"/>
    <n v="11"/>
    <n v="11"/>
    <s v="10+ Years"/>
    <s v="46-55"/>
    <s v="Mid (40-70K)"/>
    <n v="1"/>
    <x v="4"/>
    <n v="5"/>
    <s v="Q2"/>
    <s v="May"/>
    <s v="2014-05"/>
    <s v="N/A"/>
    <s v="Production       "/>
    <n v="57.142857142857139"/>
    <n v="0"/>
    <s v="Medium"/>
  </r>
  <r>
    <s v="Ngodup, Shari "/>
    <n v="10037"/>
    <n v="0"/>
    <n v="3"/>
    <n v="0"/>
    <n v="1"/>
    <n v="5"/>
    <x v="0"/>
    <n v="1"/>
    <x v="199"/>
    <n v="0"/>
    <n v="19"/>
    <s v="Production Technician I"/>
    <s v="MA"/>
    <n v="1810"/>
    <d v="1967-06-03T00:00:00"/>
    <s v="F"/>
    <s v="Separated"/>
    <s v="US Citizen"/>
    <s v="No"/>
    <s v="Black or African American"/>
    <d v="2013-04-01T00:00:00"/>
    <m/>
    <s v="N/A-StillEmployed"/>
    <s v="Active"/>
    <x v="0"/>
    <s v="Brannon Miller"/>
    <n v="12"/>
    <s v="Diversity Job Fair"/>
    <x v="0"/>
    <x v="48"/>
    <n v="3"/>
    <n v="0"/>
    <s v="2/13/2019"/>
    <n v="0"/>
    <n v="12"/>
    <s v="Normal"/>
    <s v="low Outlier"/>
    <n v="58"/>
    <n v="13"/>
    <n v="13"/>
    <s v="10+ Years"/>
    <s v="55+"/>
    <s v="Mid (40-70K)"/>
    <n v="1"/>
    <x v="5"/>
    <n v="4"/>
    <s v="Q2"/>
    <s v="Apr"/>
    <s v="2013-04"/>
    <s v="N/A"/>
    <s v="Production       "/>
    <n v="37.5"/>
    <n v="0"/>
    <s v="Low"/>
  </r>
  <r>
    <s v="Nguyen, Dheepa"/>
    <n v="10042"/>
    <n v="0"/>
    <n v="0"/>
    <n v="0"/>
    <n v="1"/>
    <n v="6"/>
    <x v="1"/>
    <n v="0"/>
    <x v="200"/>
    <n v="0"/>
    <n v="3"/>
    <s v="Area Sales Manager"/>
    <s v="GA"/>
    <n v="30428"/>
    <d v="1989-03-31T00:00:00"/>
    <s v="F"/>
    <s v="Single"/>
    <s v="US Citizen"/>
    <s v="No"/>
    <s v="Two or more races"/>
    <d v="2013-07-08T00:00:00"/>
    <m/>
    <s v="N/A-StillEmployed"/>
    <s v="Active"/>
    <x v="4"/>
    <s v="Lynn Daneault"/>
    <n v="21"/>
    <s v="Indeed"/>
    <x v="1"/>
    <x v="4"/>
    <n v="5"/>
    <n v="0"/>
    <s v="1/25/2019"/>
    <n v="0"/>
    <n v="2"/>
    <s v="Normal"/>
    <s v="low Outlier"/>
    <n v="37"/>
    <n v="12"/>
    <n v="12"/>
    <s v="10+ Years"/>
    <s v="36-45"/>
    <s v="Mid (40-70K)"/>
    <n v="1"/>
    <x v="5"/>
    <n v="7"/>
    <s v="Q3"/>
    <s v="Jul"/>
    <s v="2013-07"/>
    <s v="N/A"/>
    <s v="Production       "/>
    <n v="0"/>
    <n v="0"/>
    <s v="Medium"/>
  </r>
  <r>
    <s v="Nguyen, Lei-Ming"/>
    <n v="10206"/>
    <n v="0"/>
    <n v="0"/>
    <n v="0"/>
    <n v="1"/>
    <n v="5"/>
    <x v="1"/>
    <n v="0"/>
    <x v="201"/>
    <n v="0"/>
    <n v="19"/>
    <s v="Production Technician I"/>
    <s v="MA"/>
    <n v="2132"/>
    <d v="1984-07-07T00:00:00"/>
    <s v="F"/>
    <s v="Single"/>
    <s v="US Citizen"/>
    <s v="No"/>
    <s v="White"/>
    <d v="2013-07-08T00:00:00"/>
    <m/>
    <s v="N/A-StillEmployed"/>
    <s v="Active"/>
    <x v="0"/>
    <s v="David Stanley"/>
    <n v="14"/>
    <s v="LinkedIn"/>
    <x v="1"/>
    <x v="62"/>
    <n v="5"/>
    <n v="0"/>
    <s v="1/2/2019"/>
    <n v="0"/>
    <n v="4"/>
    <s v="Normal"/>
    <s v="low Outlier"/>
    <n v="41"/>
    <n v="12"/>
    <n v="12"/>
    <s v="10+ Years"/>
    <s v="36-45"/>
    <s v="Mid (40-70K)"/>
    <n v="1"/>
    <x v="5"/>
    <n v="7"/>
    <s v="Q3"/>
    <s v="Jul"/>
    <s v="2013-07"/>
    <s v="N/A"/>
    <s v="Production       "/>
    <n v="25"/>
    <n v="0"/>
    <s v="Medium"/>
  </r>
  <r>
    <s v="Nowlan, Kristie"/>
    <n v="10104"/>
    <n v="0"/>
    <n v="0"/>
    <n v="0"/>
    <n v="1"/>
    <n v="5"/>
    <x v="1"/>
    <n v="0"/>
    <x v="202"/>
    <n v="0"/>
    <n v="20"/>
    <s v="Production Technician II"/>
    <s v="MA"/>
    <n v="1040"/>
    <d v="1985-11-23T00:00:00"/>
    <s v="F"/>
    <s v="Single"/>
    <s v="US Citizen"/>
    <s v="No"/>
    <s v="White"/>
    <d v="2014-11-10T00:00:00"/>
    <m/>
    <s v="N/A-StillEmployed"/>
    <s v="Active"/>
    <x v="0"/>
    <s v="Elijiah Gray"/>
    <n v="16"/>
    <s v="Indeed"/>
    <x v="1"/>
    <x v="78"/>
    <n v="5"/>
    <n v="0"/>
    <s v="1/16/2019"/>
    <n v="0"/>
    <n v="5"/>
    <s v="Normal"/>
    <s v="low Outlier"/>
    <n v="40"/>
    <n v="11"/>
    <n v="11"/>
    <s v="10+ Years"/>
    <s v="36-45"/>
    <s v="Mid (40-70K)"/>
    <n v="1"/>
    <x v="4"/>
    <n v="11"/>
    <s v="Q4"/>
    <s v="Nov"/>
    <s v="2014-11"/>
    <s v="N/A"/>
    <s v="Production       "/>
    <n v="50"/>
    <n v="0"/>
    <s v="Medium"/>
  </r>
  <r>
    <s v="O'hare, Lynn"/>
    <n v="10303"/>
    <n v="0"/>
    <n v="0"/>
    <n v="0"/>
    <n v="4"/>
    <n v="5"/>
    <x v="3"/>
    <n v="0"/>
    <x v="203"/>
    <n v="1"/>
    <n v="19"/>
    <s v="Production Technician I"/>
    <s v="MA"/>
    <n v="2152"/>
    <d v="1980-09-30T00:00:00"/>
    <s v="F"/>
    <s v="Single"/>
    <s v="US Citizen"/>
    <s v="No"/>
    <s v="Two or more races"/>
    <d v="2014-03-31T00:00:00"/>
    <d v="2018-05-01T00:00:00"/>
    <s v="performance"/>
    <s v="Terminated for Cause"/>
    <x v="0"/>
    <s v="Kissy Sullivan"/>
    <n v="20"/>
    <s v="LinkedIn"/>
    <x v="3"/>
    <x v="88"/>
    <n v="2"/>
    <n v="0"/>
    <s v="3/9/2018"/>
    <n v="6"/>
    <n v="3"/>
    <s v="Normal"/>
    <s v="low Outlier"/>
    <n v="45"/>
    <n v="12"/>
    <n v="4"/>
    <s v="10+ Years"/>
    <s v="36-45"/>
    <s v="Mid (40-70K)"/>
    <n v="0"/>
    <x v="4"/>
    <n v="3"/>
    <s v="Q1"/>
    <s v="Mar"/>
    <s v="2014-03"/>
    <n v="2018"/>
    <s v="Production       "/>
    <n v="75"/>
    <n v="2"/>
    <s v="High"/>
  </r>
  <r>
    <s v="Oliver, Brooke "/>
    <n v="10078"/>
    <n v="1"/>
    <n v="1"/>
    <n v="0"/>
    <n v="5"/>
    <n v="5"/>
    <x v="1"/>
    <n v="0"/>
    <x v="204"/>
    <n v="1"/>
    <n v="20"/>
    <s v="Production Technician II"/>
    <s v="MA"/>
    <n v="2492"/>
    <d v="1952-02-11T00:00:00"/>
    <s v="F"/>
    <s v="Married"/>
    <s v="US Citizen"/>
    <s v="No"/>
    <s v="Asian"/>
    <d v="2012-05-14T00:00:00"/>
    <d v="2013-08-19T00:00:00"/>
    <s v="unhappy"/>
    <s v="Voluntarily Terminated"/>
    <x v="0"/>
    <s v="Webster Butler"/>
    <n v="39"/>
    <s v="LinkedIn"/>
    <x v="1"/>
    <x v="4"/>
    <n v="3"/>
    <n v="0"/>
    <s v="7/2/2013"/>
    <n v="0"/>
    <n v="17"/>
    <s v="Normal"/>
    <s v="low Outlier"/>
    <n v="74"/>
    <n v="13"/>
    <n v="1"/>
    <s v="10+ Years"/>
    <s v="55+"/>
    <s v="Senior (70-100K)"/>
    <n v="0"/>
    <x v="3"/>
    <n v="5"/>
    <s v="Q2"/>
    <s v="May"/>
    <s v="2012-05"/>
    <n v="2013"/>
    <s v="Production       "/>
    <n v="71.428571428571431"/>
    <n v="6"/>
    <s v="Medium"/>
  </r>
  <r>
    <s v="Onque, Jasmine"/>
    <n v="10121"/>
    <n v="0"/>
    <n v="0"/>
    <n v="0"/>
    <n v="1"/>
    <n v="6"/>
    <x v="1"/>
    <n v="0"/>
    <x v="205"/>
    <n v="0"/>
    <n v="3"/>
    <s v="Area Sales Manager"/>
    <s v="FL"/>
    <n v="33174"/>
    <d v="1990-05-11T00:00:00"/>
    <s v="F"/>
    <s v="Single"/>
    <s v="US Citizen"/>
    <s v="Yes"/>
    <s v="White"/>
    <d v="2013-09-30T00:00:00"/>
    <m/>
    <s v="N/A-StillEmployed"/>
    <s v="Active"/>
    <x v="4"/>
    <s v="Lynn Daneault"/>
    <n v="21"/>
    <s v="Indeed"/>
    <x v="1"/>
    <x v="8"/>
    <n v="3"/>
    <n v="0"/>
    <s v="1/25/2019"/>
    <n v="0"/>
    <n v="1"/>
    <s v="Normal"/>
    <s v="low Outlier"/>
    <n v="35"/>
    <n v="12"/>
    <n v="12"/>
    <s v="10+ Years"/>
    <s v="26-35"/>
    <s v="Mid (40-70K)"/>
    <n v="1"/>
    <x v="5"/>
    <n v="9"/>
    <s v="Q3"/>
    <s v="Sep"/>
    <s v="2013-09"/>
    <s v="N/A"/>
    <s v="Production       "/>
    <n v="0"/>
    <n v="0"/>
    <s v="Medium"/>
  </r>
  <r>
    <s v="Osturnka, Adeel"/>
    <n v="10021"/>
    <n v="1"/>
    <n v="1"/>
    <n v="1"/>
    <n v="1"/>
    <n v="5"/>
    <x v="0"/>
    <n v="0"/>
    <x v="206"/>
    <n v="0"/>
    <n v="19"/>
    <s v="Production Technician I"/>
    <s v="MA"/>
    <n v="2478"/>
    <d v="1976-12-11T00:00:00"/>
    <s v="M "/>
    <s v="Married"/>
    <s v="US Citizen"/>
    <s v="No"/>
    <s v="White"/>
    <d v="2013-09-30T00:00:00"/>
    <m/>
    <s v="N/A-StillEmployed"/>
    <s v="Active"/>
    <x v="0"/>
    <s v="Kelley Spirea"/>
    <n v="18"/>
    <s v="LinkedIn"/>
    <x v="0"/>
    <x v="4"/>
    <n v="3"/>
    <n v="0"/>
    <s v="2/7/2019"/>
    <n v="0"/>
    <n v="13"/>
    <s v="Normal"/>
    <s v="low Outlier"/>
    <n v="49"/>
    <n v="12"/>
    <n v="12"/>
    <s v="10+ Years"/>
    <s v="46-55"/>
    <s v="Mid (40-70K)"/>
    <n v="1"/>
    <x v="5"/>
    <n v="9"/>
    <s v="Q3"/>
    <s v="Sep"/>
    <s v="2013-09"/>
    <s v="N/A"/>
    <s v="Production       "/>
    <n v="16.666666666666664"/>
    <n v="0"/>
    <s v="Low"/>
  </r>
  <r>
    <s v="Owad, Clinton"/>
    <n v="10281"/>
    <n v="0"/>
    <n v="0"/>
    <n v="1"/>
    <n v="1"/>
    <n v="5"/>
    <x v="2"/>
    <n v="0"/>
    <x v="207"/>
    <n v="0"/>
    <n v="19"/>
    <s v="Production Technician I"/>
    <s v="MA"/>
    <n v="1760"/>
    <d v="1979-11-24T00:00:00"/>
    <s v="M "/>
    <s v="Single"/>
    <s v="US Citizen"/>
    <s v="No"/>
    <s v="Black or African American"/>
    <d v="2014-02-17T00:00:00"/>
    <m/>
    <s v="N/A-StillEmployed"/>
    <s v="Active"/>
    <x v="0"/>
    <s v="Michael Albert"/>
    <n v="22"/>
    <s v="LinkedIn"/>
    <x v="2"/>
    <x v="89"/>
    <n v="3"/>
    <n v="0"/>
    <s v="2/4/2019"/>
    <n v="4"/>
    <n v="6"/>
    <s v="Normal"/>
    <s v="low Outlier"/>
    <n v="46"/>
    <n v="12"/>
    <n v="12"/>
    <s v="10+ Years"/>
    <s v="46-55"/>
    <s v="Mid (40-70K)"/>
    <n v="1"/>
    <x v="4"/>
    <n v="2"/>
    <s v="Q1"/>
    <s v="Feb"/>
    <s v="2014-02"/>
    <s v="N/A"/>
    <s v="Production       "/>
    <n v="50"/>
    <n v="0"/>
    <s v="High"/>
  </r>
  <r>
    <s v="Ozark, Travis"/>
    <n v="10041"/>
    <n v="0"/>
    <n v="0"/>
    <n v="1"/>
    <n v="1"/>
    <n v="6"/>
    <x v="1"/>
    <n v="0"/>
    <x v="208"/>
    <n v="0"/>
    <n v="3"/>
    <s v="Area Sales Manager"/>
    <s v="NC"/>
    <n v="27229"/>
    <d v="1982-05-19T00:00:00"/>
    <s v="M "/>
    <s v="Single"/>
    <s v="US Citizen"/>
    <s v="No"/>
    <s v="White"/>
    <d v="2015-01-05T00:00:00"/>
    <m/>
    <s v="N/A-StillEmployed"/>
    <s v="Active"/>
    <x v="4"/>
    <s v="John Smith"/>
    <n v="17"/>
    <s v="Website"/>
    <x v="1"/>
    <x v="4"/>
    <n v="5"/>
    <n v="0"/>
    <s v="1/14/2019"/>
    <n v="0"/>
    <n v="18"/>
    <s v="Normal"/>
    <s v="low Outlier"/>
    <n v="43"/>
    <n v="11"/>
    <n v="11"/>
    <s v="10+ Years"/>
    <s v="36-45"/>
    <s v="Mid (40-70K)"/>
    <n v="1"/>
    <x v="1"/>
    <n v="1"/>
    <s v="Q1"/>
    <s v="Jan"/>
    <s v="2015-01"/>
    <s v="N/A"/>
    <s v="Production       "/>
    <n v="0"/>
    <n v="0"/>
    <s v="Medium"/>
  </r>
  <r>
    <s v="Panjwani, Nina"/>
    <n v="10148"/>
    <n v="1"/>
    <n v="1"/>
    <n v="0"/>
    <n v="5"/>
    <n v="5"/>
    <x v="1"/>
    <n v="0"/>
    <x v="209"/>
    <n v="1"/>
    <n v="19"/>
    <s v="Production Technician I"/>
    <s v="MA"/>
    <n v="2351"/>
    <d v="1979-05-01T00:00:00"/>
    <s v="F"/>
    <s v="Married"/>
    <s v="US Citizen"/>
    <s v="No"/>
    <s v="White"/>
    <d v="2011-02-07T00:00:00"/>
    <d v="2014-01-12T00:00:00"/>
    <s v="Another position"/>
    <s v="Voluntarily Terminated"/>
    <x v="0"/>
    <s v="Elijiah Gray"/>
    <n v="16"/>
    <s v="Google Search"/>
    <x v="1"/>
    <x v="90"/>
    <n v="4"/>
    <n v="0"/>
    <s v="3/4/2013"/>
    <n v="0"/>
    <n v="7"/>
    <s v="Normal"/>
    <s v="low Outlier"/>
    <n v="46"/>
    <n v="15"/>
    <n v="2"/>
    <s v="10+ Years"/>
    <s v="46-55"/>
    <s v="Mid (40-70K)"/>
    <n v="0"/>
    <x v="0"/>
    <n v="2"/>
    <s v="Q1"/>
    <s v="Feb"/>
    <s v="2011-02"/>
    <n v="2014"/>
    <s v="Production       "/>
    <n v="57.142857142857139"/>
    <n v="12"/>
    <s v="Medium"/>
  </r>
  <r>
    <s v="Patronick, Lucas"/>
    <n v="10005"/>
    <n v="0"/>
    <n v="0"/>
    <n v="1"/>
    <n v="5"/>
    <n v="4"/>
    <x v="0"/>
    <n v="1"/>
    <x v="210"/>
    <n v="1"/>
    <n v="24"/>
    <s v="Software Engineer"/>
    <s v="MA"/>
    <n v="1844"/>
    <d v="1979-02-20T00:00:00"/>
    <s v="M "/>
    <s v="Single"/>
    <s v="US Citizen"/>
    <s v="No"/>
    <s v="Black or African American"/>
    <d v="2011-11-07T00:00:00"/>
    <d v="2015-09-07T00:00:00"/>
    <s v="Another position"/>
    <s v="Voluntarily Terminated"/>
    <x v="2"/>
    <s v="Alex Sweetwater"/>
    <n v="10"/>
    <s v="Diversity Job Fair"/>
    <x v="0"/>
    <x v="4"/>
    <n v="5"/>
    <n v="3"/>
    <s v="8/16/2015"/>
    <n v="0"/>
    <n v="13"/>
    <s v="Normal"/>
    <s v="low Outlier"/>
    <n v="47"/>
    <n v="14"/>
    <n v="3"/>
    <s v="10+ Years"/>
    <s v="46-55"/>
    <s v="Executive (100K+)"/>
    <n v="0"/>
    <x v="0"/>
    <n v="11"/>
    <s v="Q4"/>
    <s v="Nov"/>
    <s v="2011-11"/>
    <n v="2015"/>
    <s v="Production       "/>
    <n v="50"/>
    <n v="11"/>
    <s v="Low"/>
  </r>
  <r>
    <s v="Pearson, Randall"/>
    <n v="10259"/>
    <n v="1"/>
    <n v="1"/>
    <n v="1"/>
    <n v="5"/>
    <n v="3"/>
    <x v="1"/>
    <n v="0"/>
    <x v="211"/>
    <n v="1"/>
    <n v="9"/>
    <s v="Data Analyst"/>
    <s v="MA"/>
    <n v="2747"/>
    <d v="1984-09-05T00:00:00"/>
    <s v="M "/>
    <s v="Married"/>
    <s v="US Citizen"/>
    <s v="No"/>
    <s v="White"/>
    <d v="2014-12-01T00:00:00"/>
    <d v="2016-05-01T00:00:00"/>
    <s v="performance"/>
    <s v="Voluntarily Terminated"/>
    <x v="1"/>
    <s v="Simon Roup"/>
    <n v="4"/>
    <s v="Employee Referral"/>
    <x v="1"/>
    <x v="27"/>
    <n v="4"/>
    <n v="5"/>
    <s v="1/16/2016"/>
    <n v="0"/>
    <n v="19"/>
    <s v="Normal"/>
    <s v="low Outlier"/>
    <n v="41"/>
    <n v="11"/>
    <n v="1"/>
    <s v="10+ Years"/>
    <s v="36-45"/>
    <s v="Senior (70-100K)"/>
    <n v="0"/>
    <x v="4"/>
    <n v="12"/>
    <s v="Q4"/>
    <s v="Dec"/>
    <s v="2014-12"/>
    <n v="2016"/>
    <s v="Production       "/>
    <n v="50"/>
    <n v="1"/>
    <s v="Medium"/>
  </r>
  <r>
    <s v="Smith, Martin"/>
    <n v="10286"/>
    <n v="0"/>
    <n v="0"/>
    <n v="1"/>
    <n v="5"/>
    <n v="5"/>
    <x v="2"/>
    <n v="0"/>
    <x v="212"/>
    <n v="1"/>
    <n v="19"/>
    <s v="Production Technician I"/>
    <s v="MA"/>
    <n v="2458"/>
    <d v="1988-03-17T00:00:00"/>
    <s v="M "/>
    <s v="Single"/>
    <s v="US Citizen"/>
    <s v="No"/>
    <s v="Black or African American"/>
    <d v="2011-01-10T00:00:00"/>
    <d v="2017-12-28T00:00:00"/>
    <s v="career change"/>
    <s v="Voluntarily Terminated"/>
    <x v="0"/>
    <s v="Webster Butler"/>
    <n v="39"/>
    <s v="Google Search"/>
    <x v="2"/>
    <x v="91"/>
    <n v="5"/>
    <n v="0"/>
    <s v="4/6/2017"/>
    <n v="4"/>
    <n v="15"/>
    <s v="Normal"/>
    <s v="low Outlier"/>
    <n v="38"/>
    <n v="15"/>
    <n v="6"/>
    <s v="10+ Years"/>
    <s v="36-45"/>
    <s v="Mid (40-70K)"/>
    <n v="0"/>
    <x v="0"/>
    <n v="1"/>
    <s v="Q1"/>
    <s v="Jan"/>
    <s v="2011-01"/>
    <n v="2017"/>
    <s v="Production       "/>
    <n v="66.666666666666657"/>
    <n v="4"/>
    <s v="High"/>
  </r>
  <r>
    <s v="Pelletier, Ermine"/>
    <n v="10297"/>
    <n v="1"/>
    <n v="1"/>
    <n v="0"/>
    <n v="5"/>
    <n v="5"/>
    <x v="2"/>
    <n v="0"/>
    <x v="213"/>
    <n v="1"/>
    <n v="20"/>
    <s v="Production Technician II"/>
    <s v="MA"/>
    <n v="2472"/>
    <d v="1989-07-18T00:00:00"/>
    <s v="F"/>
    <s v="Married"/>
    <s v="US Citizen"/>
    <s v="No"/>
    <s v="Asian"/>
    <d v="2011-07-05T00:00:00"/>
    <d v="2015-09-15T00:00:00"/>
    <s v="unhappy"/>
    <s v="Voluntarily Terminated"/>
    <x v="0"/>
    <s v="Amy Dunn"/>
    <n v="11"/>
    <s v="CareerBuilder"/>
    <x v="2"/>
    <x v="92"/>
    <n v="5"/>
    <n v="0"/>
    <s v="2/6/2015"/>
    <n v="5"/>
    <n v="2"/>
    <s v="Normal"/>
    <s v="low Outlier"/>
    <n v="36"/>
    <n v="14"/>
    <n v="4"/>
    <s v="10+ Years"/>
    <s v="36-45"/>
    <s v="Mid (40-70K)"/>
    <n v="0"/>
    <x v="0"/>
    <n v="7"/>
    <s v="Q3"/>
    <s v="Jul"/>
    <s v="2011-07"/>
    <n v="2015"/>
    <s v="Production       "/>
    <n v="85.714285714285708"/>
    <n v="5"/>
    <s v="High"/>
  </r>
  <r>
    <s v="Perry, Shakira"/>
    <n v="10171"/>
    <n v="0"/>
    <n v="0"/>
    <n v="0"/>
    <n v="5"/>
    <n v="5"/>
    <x v="1"/>
    <n v="0"/>
    <x v="214"/>
    <n v="1"/>
    <n v="19"/>
    <s v="Production Technician I"/>
    <s v="MA"/>
    <n v="2176"/>
    <d v="1986-07-20T00:00:00"/>
    <s v="F"/>
    <s v="Single"/>
    <s v="US Citizen"/>
    <s v="No"/>
    <s v="White"/>
    <d v="2011-05-16T00:00:00"/>
    <d v="2015-10-25T00:00:00"/>
    <s v="medical issues"/>
    <s v="Voluntarily Terminated"/>
    <x v="0"/>
    <s v="Amy Dunn"/>
    <n v="11"/>
    <s v="LinkedIn"/>
    <x v="1"/>
    <x v="93"/>
    <n v="4"/>
    <n v="0"/>
    <s v="5/13/2014"/>
    <n v="0"/>
    <n v="5"/>
    <s v="Normal"/>
    <s v="low Outlier"/>
    <n v="39"/>
    <n v="14"/>
    <n v="4"/>
    <s v="10+ Years"/>
    <s v="36-45"/>
    <s v="Mid (40-70K)"/>
    <n v="0"/>
    <x v="0"/>
    <n v="5"/>
    <s v="Q2"/>
    <s v="May"/>
    <s v="2011-05"/>
    <n v="2015"/>
    <s v="Production       "/>
    <n v="83.333333333333343"/>
    <n v="3"/>
    <s v="Medium"/>
  </r>
  <r>
    <s v="Peters, Lauren"/>
    <n v="10032"/>
    <n v="1"/>
    <n v="1"/>
    <n v="0"/>
    <n v="5"/>
    <n v="5"/>
    <x v="0"/>
    <n v="0"/>
    <x v="215"/>
    <n v="1"/>
    <n v="20"/>
    <s v="Production Technician II"/>
    <s v="MA"/>
    <n v="1886"/>
    <d v="1986-08-17T00:00:00"/>
    <s v="F"/>
    <s v="Married"/>
    <s v="US Citizen"/>
    <s v="No"/>
    <s v="White"/>
    <d v="2011-05-16T00:00:00"/>
    <d v="2013-02-04T00:00:00"/>
    <s v="more money"/>
    <s v="Voluntarily Terminated"/>
    <x v="0"/>
    <s v="Ketsia Liebig"/>
    <n v="19"/>
    <s v="Indeed"/>
    <x v="0"/>
    <x v="7"/>
    <n v="5"/>
    <n v="0"/>
    <s v="1/10/2013"/>
    <n v="0"/>
    <n v="12"/>
    <s v="Normal"/>
    <s v="low Outlier"/>
    <n v="39"/>
    <n v="14"/>
    <n v="1"/>
    <s v="10+ Years"/>
    <s v="36-45"/>
    <s v="Mid (40-70K)"/>
    <n v="0"/>
    <x v="0"/>
    <n v="5"/>
    <s v="Q2"/>
    <s v="May"/>
    <s v="2011-05"/>
    <n v="2013"/>
    <s v="Production       "/>
    <n v="66.666666666666657"/>
    <n v="3"/>
    <s v="Low"/>
  </r>
  <r>
    <s v="Peterson, Ebonee  "/>
    <n v="10130"/>
    <n v="1"/>
    <n v="1"/>
    <n v="0"/>
    <n v="5"/>
    <n v="5"/>
    <x v="1"/>
    <n v="0"/>
    <x v="216"/>
    <n v="1"/>
    <n v="18"/>
    <s v="Production Manager"/>
    <s v="MA"/>
    <n v="2030"/>
    <d v="1977-05-09T00:00:00"/>
    <s v="F"/>
    <s v="Married"/>
    <s v="US Citizen"/>
    <s v="No"/>
    <s v="White"/>
    <d v="2010-10-25T00:00:00"/>
    <d v="2016-05-18T00:00:00"/>
    <s v="Another position"/>
    <s v="Voluntarily Terminated"/>
    <x v="0"/>
    <s v="Janet King"/>
    <n v="2"/>
    <s v="Indeed"/>
    <x v="1"/>
    <x v="94"/>
    <n v="5"/>
    <n v="0"/>
    <s v="3/5/2015"/>
    <n v="0"/>
    <n v="6"/>
    <s v="Normal"/>
    <s v="low Outlier"/>
    <n v="48"/>
    <n v="15"/>
    <n v="5"/>
    <s v="10+ Years"/>
    <s v="46-55"/>
    <s v="Senior (70-100K)"/>
    <n v="0"/>
    <x v="8"/>
    <n v="10"/>
    <s v="Q4"/>
    <s v="Oct"/>
    <s v="2010-10"/>
    <n v="2016"/>
    <s v="Production       "/>
    <n v="42.857142857142854"/>
    <n v="10"/>
    <s v="Medium"/>
  </r>
  <r>
    <s v="Petingill, Shana  "/>
    <n v="10217"/>
    <n v="1"/>
    <n v="1"/>
    <n v="0"/>
    <n v="1"/>
    <n v="5"/>
    <x v="1"/>
    <n v="0"/>
    <x v="217"/>
    <n v="0"/>
    <n v="20"/>
    <s v="Production Technician II"/>
    <s v="MA"/>
    <n v="2050"/>
    <d v="1979-03-10T00:00:00"/>
    <s v="F"/>
    <s v="Married"/>
    <s v="Eligible NonCitizen"/>
    <s v="No"/>
    <s v="Asian"/>
    <d v="2012-04-02T00:00:00"/>
    <m/>
    <s v="N/A-StillEmployed"/>
    <s v="Active"/>
    <x v="0"/>
    <s v="Brannon Miller"/>
    <n v="12"/>
    <s v="LinkedIn"/>
    <x v="1"/>
    <x v="25"/>
    <n v="3"/>
    <n v="0"/>
    <s v="1/14/2019"/>
    <n v="0"/>
    <n v="14"/>
    <s v="Normal"/>
    <s v="low Outlier"/>
    <n v="47"/>
    <n v="13"/>
    <n v="13"/>
    <s v="10+ Years"/>
    <s v="46-55"/>
    <s v="Senior (70-100K)"/>
    <n v="1"/>
    <x v="3"/>
    <n v="4"/>
    <s v="Q2"/>
    <s v="Apr"/>
    <s v="2012-04"/>
    <s v="N/A"/>
    <s v="Production       "/>
    <n v="42.857142857142854"/>
    <n v="0"/>
    <s v="Medium"/>
  </r>
  <r>
    <s v="Petrowsky, Thelma"/>
    <n v="10016"/>
    <n v="1"/>
    <n v="1"/>
    <n v="0"/>
    <n v="1"/>
    <n v="3"/>
    <x v="0"/>
    <n v="0"/>
    <x v="218"/>
    <n v="0"/>
    <n v="9"/>
    <s v="Data Analyst"/>
    <s v="MA"/>
    <n v="1886"/>
    <d v="1984-09-16T00:00:00"/>
    <s v="F"/>
    <s v="Married"/>
    <s v="US Citizen"/>
    <s v="No"/>
    <s v="Black or African American"/>
    <d v="2014-11-10T00:00:00"/>
    <m/>
    <s v="N/A-StillEmployed"/>
    <s v="Active"/>
    <x v="1"/>
    <s v="Simon Roup"/>
    <n v="4"/>
    <s v="Employee Referral"/>
    <x v="0"/>
    <x v="0"/>
    <n v="5"/>
    <n v="7"/>
    <s v="1/4/2019"/>
    <n v="0"/>
    <n v="16"/>
    <s v="Normal"/>
    <s v="low Outlier"/>
    <n v="41"/>
    <n v="11"/>
    <n v="11"/>
    <s v="10+ Years"/>
    <s v="36-45"/>
    <s v="Senior (70-100K)"/>
    <n v="1"/>
    <x v="4"/>
    <n v="11"/>
    <s v="Q4"/>
    <s v="Nov"/>
    <s v="2014-11"/>
    <s v="N/A"/>
    <s v="Production       "/>
    <n v="42.857142857142854"/>
    <n v="0"/>
    <s v="Low"/>
  </r>
  <r>
    <s v="Pham, Hong"/>
    <n v="10050"/>
    <n v="1"/>
    <n v="1"/>
    <n v="1"/>
    <n v="5"/>
    <n v="5"/>
    <x v="1"/>
    <n v="0"/>
    <x v="219"/>
    <n v="1"/>
    <n v="19"/>
    <s v="Production Technician I"/>
    <s v="MA"/>
    <n v="2451"/>
    <d v="1988-03-06T00:00:00"/>
    <s v="M "/>
    <s v="Married"/>
    <s v="US Citizen"/>
    <s v="No"/>
    <s v="Asian"/>
    <d v="2011-07-05T00:00:00"/>
    <d v="2012-11-30T00:00:00"/>
    <s v="more money"/>
    <s v="Voluntarily Terminated"/>
    <x v="0"/>
    <s v="Brannon Miller"/>
    <n v="12"/>
    <s v="Google Search"/>
    <x v="1"/>
    <x v="4"/>
    <n v="3"/>
    <n v="0"/>
    <s v="2/20/2012"/>
    <n v="0"/>
    <n v="13"/>
    <s v="Normal"/>
    <s v="low Outlier"/>
    <n v="38"/>
    <n v="14"/>
    <n v="1"/>
    <s v="10+ Years"/>
    <s v="36-45"/>
    <s v="Mid (40-70K)"/>
    <n v="0"/>
    <x v="0"/>
    <n v="7"/>
    <s v="Q3"/>
    <s v="Jul"/>
    <s v="2011-07"/>
    <n v="2012"/>
    <s v="Production       "/>
    <n v="50"/>
    <n v="2"/>
    <s v="Medium"/>
  </r>
  <r>
    <s v="Pitt, Brad "/>
    <n v="10164"/>
    <n v="0"/>
    <n v="0"/>
    <n v="1"/>
    <n v="1"/>
    <n v="5"/>
    <x v="1"/>
    <n v="0"/>
    <x v="220"/>
    <n v="0"/>
    <n v="19"/>
    <s v="Production Technician I"/>
    <s v="MA"/>
    <n v="2451"/>
    <d v="1981-11-23T00:00:00"/>
    <s v="M "/>
    <s v="Single"/>
    <s v="US Citizen"/>
    <s v="No"/>
    <s v="White"/>
    <d v="2007-11-05T00:00:00"/>
    <m/>
    <s v="N/A-StillEmployed"/>
    <s v="Active"/>
    <x v="0"/>
    <s v="David Stanley"/>
    <n v="14"/>
    <s v="Google Search"/>
    <x v="1"/>
    <x v="53"/>
    <n v="3"/>
    <n v="0"/>
    <s v="2/25/2019"/>
    <n v="0"/>
    <n v="15"/>
    <s v="Normal"/>
    <s v="low Outlier"/>
    <n v="44"/>
    <n v="18"/>
    <n v="18"/>
    <s v="10+ Years"/>
    <s v="36-45"/>
    <s v="Mid (40-70K)"/>
    <n v="1"/>
    <x v="11"/>
    <n v="11"/>
    <s v="Q4"/>
    <s v="Nov"/>
    <s v="2007-11"/>
    <s v="N/A"/>
    <s v="Production       "/>
    <n v="28.571428571428569"/>
    <n v="0"/>
    <s v="Medium"/>
  </r>
  <r>
    <s v="Potts, Xana"/>
    <n v="10124"/>
    <n v="1"/>
    <n v="1"/>
    <n v="0"/>
    <n v="1"/>
    <n v="6"/>
    <x v="1"/>
    <n v="0"/>
    <x v="221"/>
    <n v="0"/>
    <n v="3"/>
    <s v="Area Sales Manager"/>
    <s v="KY"/>
    <n v="40220"/>
    <d v="1988-08-29T00:00:00"/>
    <s v="F"/>
    <s v="Married"/>
    <s v="US Citizen"/>
    <s v="No"/>
    <s v="Black or African American"/>
    <d v="2012-01-09T00:00:00"/>
    <m/>
    <s v="N/A-StillEmployed"/>
    <s v="Active"/>
    <x v="4"/>
    <s v="Lynn Daneault"/>
    <n v="21"/>
    <s v="Website"/>
    <x v="1"/>
    <x v="7"/>
    <n v="5"/>
    <n v="0"/>
    <s v="2/1/2019"/>
    <n v="0"/>
    <n v="9"/>
    <s v="Normal"/>
    <s v="low Outlier"/>
    <n v="37"/>
    <n v="14"/>
    <n v="14"/>
    <s v="10+ Years"/>
    <s v="36-45"/>
    <s v="Mid (40-70K)"/>
    <n v="1"/>
    <x v="3"/>
    <n v="1"/>
    <s v="Q1"/>
    <s v="Jan"/>
    <s v="2012-01"/>
    <s v="N/A"/>
    <s v="Production       "/>
    <n v="0"/>
    <n v="0"/>
    <s v="Medium"/>
  </r>
  <r>
    <s v="Power, Morissa"/>
    <n v="10187"/>
    <n v="0"/>
    <n v="2"/>
    <n v="0"/>
    <n v="5"/>
    <n v="5"/>
    <x v="1"/>
    <n v="0"/>
    <x v="222"/>
    <n v="1"/>
    <n v="19"/>
    <s v="Production Technician I"/>
    <s v="MA"/>
    <n v="1742"/>
    <d v="1984-10-15T00:00:00"/>
    <s v="F"/>
    <s v="Divorced"/>
    <s v="Eligible NonCitizen"/>
    <s v="No"/>
    <s v="Asian"/>
    <d v="2011-05-16T00:00:00"/>
    <d v="2018-06-04T00:00:00"/>
    <s v="Another position"/>
    <s v="Voluntarily Terminated"/>
    <x v="0"/>
    <s v="Kissy Sullivan"/>
    <n v="20"/>
    <s v="Google Search"/>
    <x v="1"/>
    <x v="95"/>
    <n v="4"/>
    <n v="0"/>
    <s v="4/2/2018"/>
    <n v="0"/>
    <n v="14"/>
    <s v="Normal"/>
    <s v="low Outlier"/>
    <n v="41"/>
    <n v="14"/>
    <n v="7"/>
    <s v="10+ Years"/>
    <s v="36-45"/>
    <s v="Mid (40-70K)"/>
    <n v="0"/>
    <x v="0"/>
    <n v="5"/>
    <s v="Q2"/>
    <s v="May"/>
    <s v="2011-05"/>
    <n v="2018"/>
    <s v="Production       "/>
    <n v="71.428571428571431"/>
    <n v="9"/>
    <s v="Medium"/>
  </r>
  <r>
    <s v="Punjabhi, Louis  "/>
    <n v="10225"/>
    <n v="0"/>
    <n v="0"/>
    <n v="1"/>
    <n v="1"/>
    <n v="5"/>
    <x v="1"/>
    <n v="0"/>
    <x v="223"/>
    <n v="0"/>
    <n v="19"/>
    <s v="Production Technician I"/>
    <s v="MA"/>
    <n v="2109"/>
    <d v="1961-06-19T00:00:00"/>
    <s v="M "/>
    <s v="Single"/>
    <s v="US Citizen"/>
    <s v="No"/>
    <s v="White"/>
    <d v="2014-01-06T00:00:00"/>
    <m/>
    <s v="N/A-StillEmployed"/>
    <s v="Active"/>
    <x v="0"/>
    <s v="Kelley Spirea"/>
    <n v="18"/>
    <s v="Employee Referral"/>
    <x v="1"/>
    <x v="12"/>
    <n v="3"/>
    <n v="0"/>
    <s v="1/7/2019"/>
    <n v="0"/>
    <n v="14"/>
    <s v="Normal"/>
    <s v="low Outlier"/>
    <n v="64"/>
    <n v="12"/>
    <n v="12"/>
    <s v="10+ Years"/>
    <s v="55+"/>
    <s v="Mid (40-70K)"/>
    <n v="1"/>
    <x v="4"/>
    <n v="1"/>
    <s v="Q1"/>
    <s v="Jan"/>
    <s v="2014-01"/>
    <s v="N/A"/>
    <s v="Production       "/>
    <n v="20"/>
    <n v="0"/>
    <s v="Medium"/>
  </r>
  <r>
    <s v="Purinton, Janine"/>
    <n v="10262"/>
    <n v="0"/>
    <n v="2"/>
    <n v="0"/>
    <n v="5"/>
    <n v="5"/>
    <x v="1"/>
    <n v="0"/>
    <x v="224"/>
    <n v="1"/>
    <n v="19"/>
    <s v="Production Technician I"/>
    <s v="MA"/>
    <n v="2474"/>
    <d v="1970-09-22T00:00:00"/>
    <s v="F"/>
    <s v="Divorced"/>
    <s v="US Citizen"/>
    <s v="No"/>
    <s v="White"/>
    <d v="2012-09-24T00:00:00"/>
    <d v="2013-06-18T00:00:00"/>
    <s v="unhappy"/>
    <s v="Voluntarily Terminated"/>
    <x v="0"/>
    <s v="Kissy Sullivan"/>
    <n v="20"/>
    <s v="Indeed"/>
    <x v="1"/>
    <x v="10"/>
    <n v="5"/>
    <n v="0"/>
    <s v="4/2/2013"/>
    <n v="0"/>
    <n v="16"/>
    <s v="Normal"/>
    <s v="low Outlier"/>
    <n v="55"/>
    <n v="13"/>
    <n v="0"/>
    <s v="10+ Years"/>
    <s v="46-55"/>
    <s v="Mid (40-70K)"/>
    <n v="0"/>
    <x v="3"/>
    <n v="9"/>
    <s v="Q3"/>
    <s v="Sep"/>
    <s v="2012-09"/>
    <n v="2013"/>
    <s v="Production       "/>
    <n v="66.666666666666657"/>
    <n v="4"/>
    <s v="Medium"/>
  </r>
  <r>
    <s v="Quinn, Sean"/>
    <n v="10131"/>
    <n v="1"/>
    <n v="1"/>
    <n v="1"/>
    <n v="5"/>
    <n v="1"/>
    <x v="1"/>
    <n v="1"/>
    <x v="225"/>
    <n v="1"/>
    <n v="23"/>
    <s v="Software Engineer"/>
    <s v="MA"/>
    <n v="2045"/>
    <d v="1984-11-06T00:00:00"/>
    <s v="M "/>
    <s v="Married"/>
    <s v="Eligible NonCitizen"/>
    <s v="No"/>
    <s v="Black or African American"/>
    <d v="2011-02-21T00:00:00"/>
    <d v="2015-08-15T00:00:00"/>
    <s v="career change"/>
    <s v="Voluntarily Terminated"/>
    <x v="2"/>
    <s v="Janet King"/>
    <n v="2"/>
    <s v="Diversity Job Fair"/>
    <x v="1"/>
    <x v="96"/>
    <n v="4"/>
    <n v="0"/>
    <s v="4/19/2014"/>
    <n v="0"/>
    <n v="4"/>
    <s v="Normal"/>
    <s v="low Outlier"/>
    <n v="41"/>
    <n v="15"/>
    <n v="4"/>
    <s v="10+ Years"/>
    <s v="36-45"/>
    <s v="Senior (70-100K)"/>
    <n v="0"/>
    <x v="0"/>
    <n v="2"/>
    <s v="Q1"/>
    <s v="Feb"/>
    <s v="2011-02"/>
    <n v="2015"/>
    <s v="Production       "/>
    <n v="33.333333333333329"/>
    <n v="3"/>
    <s v="Medium"/>
  </r>
  <r>
    <s v="Rachael, Maggie"/>
    <n v="10239"/>
    <n v="1"/>
    <n v="1"/>
    <n v="0"/>
    <n v="1"/>
    <n v="3"/>
    <x v="1"/>
    <n v="0"/>
    <x v="226"/>
    <n v="0"/>
    <n v="4"/>
    <s v="BI Developer"/>
    <s v="MA"/>
    <n v="2110"/>
    <d v="1980-05-12T00:00:00"/>
    <s v="F"/>
    <s v="Married"/>
    <s v="US Citizen"/>
    <s v="No"/>
    <s v="Black or African American"/>
    <d v="2016-10-02T00:00:00"/>
    <m/>
    <s v="N/A-StillEmployed"/>
    <s v="Active"/>
    <x v="1"/>
    <s v="Brian Champaigne"/>
    <n v="13"/>
    <s v="Indeed"/>
    <x v="1"/>
    <x v="9"/>
    <n v="4"/>
    <n v="6"/>
    <s v="2/6/2019"/>
    <n v="0"/>
    <n v="10"/>
    <s v="Normal"/>
    <s v="low Outlier"/>
    <n v="45"/>
    <n v="9"/>
    <n v="9"/>
    <s v="5-10 Years"/>
    <s v="36-45"/>
    <s v="Senior (70-100K)"/>
    <n v="1"/>
    <x v="7"/>
    <n v="10"/>
    <s v="Q4"/>
    <s v="Oct"/>
    <s v="2016-10"/>
    <s v="N/A"/>
    <s v="Production       "/>
    <n v="0"/>
    <n v="0"/>
    <s v="Medium"/>
  </r>
  <r>
    <s v="Rarrick, Quinn"/>
    <n v="10152"/>
    <n v="0"/>
    <n v="2"/>
    <n v="1"/>
    <n v="5"/>
    <n v="5"/>
    <x v="1"/>
    <n v="0"/>
    <x v="227"/>
    <n v="1"/>
    <n v="19"/>
    <s v="Production Technician I"/>
    <s v="MA"/>
    <n v="2478"/>
    <d v="1984-12-31T00:00:00"/>
    <s v="M "/>
    <s v="Divorced"/>
    <s v="US Citizen"/>
    <s v="No"/>
    <s v="White"/>
    <d v="2011-09-26T00:00:00"/>
    <d v="2018-04-07T00:00:00"/>
    <s v="more money"/>
    <s v="Voluntarily Terminated"/>
    <x v="0"/>
    <s v="Michael Albert"/>
    <n v="22"/>
    <s v="Indeed"/>
    <x v="1"/>
    <x v="23"/>
    <n v="5"/>
    <n v="0"/>
    <s v="2/4/2018"/>
    <n v="0"/>
    <n v="19"/>
    <s v="Normal"/>
    <s v="low Outlier"/>
    <n v="41"/>
    <n v="14"/>
    <n v="6"/>
    <s v="10+ Years"/>
    <s v="36-45"/>
    <s v="Mid (40-70K)"/>
    <n v="0"/>
    <x v="0"/>
    <n v="9"/>
    <s v="Q3"/>
    <s v="Sep"/>
    <s v="2011-09"/>
    <n v="2018"/>
    <s v="Production       "/>
    <n v="60"/>
    <n v="1"/>
    <s v="Medium"/>
  </r>
  <r>
    <s v="Ren, Kylo"/>
    <n v="10140"/>
    <n v="1"/>
    <n v="1"/>
    <n v="1"/>
    <n v="1"/>
    <n v="6"/>
    <x v="1"/>
    <n v="0"/>
    <x v="228"/>
    <n v="0"/>
    <n v="3"/>
    <s v="Area Sales Manager"/>
    <s v="ID"/>
    <n v="83706"/>
    <d v="1954-10-12T00:00:00"/>
    <s v="M "/>
    <s v="Married"/>
    <s v="US Citizen"/>
    <s v="No"/>
    <s v="White"/>
    <d v="2014-05-12T00:00:00"/>
    <m/>
    <s v="N/A-StillEmployed"/>
    <s v="Active"/>
    <x v="4"/>
    <s v="John Smith"/>
    <n v="17"/>
    <s v="CareerBuilder"/>
    <x v="1"/>
    <x v="97"/>
    <n v="3"/>
    <n v="0"/>
    <s v="1/28/2019"/>
    <n v="0"/>
    <n v="4"/>
    <s v="Normal"/>
    <s v="low Outlier"/>
    <n v="71"/>
    <n v="11"/>
    <n v="11"/>
    <s v="10+ Years"/>
    <s v="55+"/>
    <s v="Mid (40-70K)"/>
    <n v="1"/>
    <x v="4"/>
    <n v="5"/>
    <s v="Q2"/>
    <s v="May"/>
    <s v="2014-05"/>
    <s v="N/A"/>
    <s v="Production       "/>
    <n v="0"/>
    <n v="0"/>
    <s v="Medium"/>
  </r>
  <r>
    <s v="Rhoads, Thomas"/>
    <n v="10058"/>
    <n v="0"/>
    <n v="2"/>
    <n v="1"/>
    <n v="5"/>
    <n v="5"/>
    <x v="1"/>
    <n v="0"/>
    <x v="229"/>
    <n v="1"/>
    <n v="19"/>
    <s v="Production Technician I"/>
    <s v="MA"/>
    <n v="2176"/>
    <d v="1982-07-22T00:00:00"/>
    <s v="M "/>
    <s v="Divorced"/>
    <s v="US Citizen"/>
    <s v="Yes"/>
    <s v="White"/>
    <d v="2011-05-16T00:00:00"/>
    <d v="2016-01-15T00:00:00"/>
    <s v="retiring"/>
    <s v="Voluntarily Terminated"/>
    <x v="0"/>
    <s v="Elijiah Gray"/>
    <n v="16"/>
    <s v="LinkedIn"/>
    <x v="1"/>
    <x v="4"/>
    <n v="4"/>
    <n v="0"/>
    <s v="3/30/2015"/>
    <n v="0"/>
    <n v="11"/>
    <s v="Normal"/>
    <s v="low Outlier"/>
    <n v="43"/>
    <n v="14"/>
    <n v="4"/>
    <s v="10+ Years"/>
    <s v="36-45"/>
    <s v="Mid (40-70K)"/>
    <n v="0"/>
    <x v="0"/>
    <n v="5"/>
    <s v="Q2"/>
    <s v="May"/>
    <s v="2011-05"/>
    <n v="2016"/>
    <s v="Production       "/>
    <n v="50"/>
    <n v="2"/>
    <s v="Medium"/>
  </r>
  <r>
    <s v="Rivera, Haley  "/>
    <n v="10011"/>
    <n v="1"/>
    <n v="1"/>
    <n v="0"/>
    <n v="1"/>
    <n v="5"/>
    <x v="0"/>
    <n v="0"/>
    <x v="230"/>
    <n v="0"/>
    <n v="19"/>
    <s v="Production Technician I"/>
    <s v="MA"/>
    <n v="2171"/>
    <d v="1973-01-12T00:00:00"/>
    <s v="F"/>
    <s v="Married"/>
    <s v="US Citizen"/>
    <s v="No"/>
    <s v="Asian"/>
    <d v="2011-11-28T00:00:00"/>
    <m/>
    <s v="N/A-StillEmployed"/>
    <s v="Active"/>
    <x v="0"/>
    <s v="Webster Butler"/>
    <m/>
    <s v="Google Search"/>
    <x v="0"/>
    <x v="98"/>
    <n v="5"/>
    <n v="0"/>
    <s v="2/11/2019"/>
    <n v="0"/>
    <n v="16"/>
    <s v="Normal"/>
    <s v="low Outlier"/>
    <n v="53"/>
    <n v="14"/>
    <n v="14"/>
    <s v="10+ Years"/>
    <s v="46-55"/>
    <s v="Mid (40-70K)"/>
    <n v="1"/>
    <x v="0"/>
    <n v="11"/>
    <s v="Q4"/>
    <s v="Nov"/>
    <s v="2011-11"/>
    <s v="N/A"/>
    <s v="Production       "/>
    <n v="60"/>
    <n v="0"/>
    <s v="Low"/>
  </r>
  <r>
    <s v="Roberson, May"/>
    <n v="10230"/>
    <n v="0"/>
    <n v="2"/>
    <n v="0"/>
    <n v="5"/>
    <n v="5"/>
    <x v="1"/>
    <n v="0"/>
    <x v="231"/>
    <n v="1"/>
    <n v="20"/>
    <s v="Production Technician II"/>
    <s v="MA"/>
    <n v="1902"/>
    <d v="1981-09-05T00:00:00"/>
    <s v="F"/>
    <s v="Divorced"/>
    <s v="Eligible NonCitizen"/>
    <s v="No"/>
    <s v="Black or African American"/>
    <d v="2011-09-26T00:00:00"/>
    <d v="2011-10-22T00:00:00"/>
    <s v="return to school"/>
    <s v="Voluntarily Terminated"/>
    <x v="0"/>
    <s v="David Stanley"/>
    <n v="14"/>
    <s v="Google Search"/>
    <x v="1"/>
    <x v="10"/>
    <n v="4"/>
    <n v="0"/>
    <s v="10/22/2011"/>
    <n v="0"/>
    <n v="10"/>
    <s v="Normal"/>
    <s v="low Outlier"/>
    <n v="44"/>
    <n v="14"/>
    <n v="0"/>
    <s v="10+ Years"/>
    <s v="36-45"/>
    <s v="Mid (40-70K)"/>
    <n v="0"/>
    <x v="0"/>
    <n v="9"/>
    <s v="Q3"/>
    <s v="Sep"/>
    <s v="2011-09"/>
    <n v="2011"/>
    <s v="Production       "/>
    <n v="33.333333333333329"/>
    <n v="2"/>
    <s v="Medium"/>
  </r>
  <r>
    <s v="Robertson, Peter"/>
    <n v="10224"/>
    <n v="1"/>
    <n v="1"/>
    <n v="1"/>
    <n v="5"/>
    <n v="5"/>
    <x v="1"/>
    <n v="0"/>
    <x v="232"/>
    <n v="1"/>
    <n v="20"/>
    <s v="Production Technician II"/>
    <s v="MA"/>
    <n v="2138"/>
    <d v="1972-07-03T00:00:00"/>
    <s v="M "/>
    <s v="Married"/>
    <s v="US Citizen"/>
    <s v="No"/>
    <s v="White"/>
    <d v="2011-07-05T00:00:00"/>
    <d v="2012-02-08T00:00:00"/>
    <s v="Another position"/>
    <s v="Voluntarily Terminated"/>
    <x v="0"/>
    <s v="Kissy Sullivan"/>
    <n v="20"/>
    <s v="Indeed"/>
    <x v="1"/>
    <x v="7"/>
    <n v="5"/>
    <n v="0"/>
    <s v="1/6/2012"/>
    <n v="0"/>
    <n v="13"/>
    <s v="Normal"/>
    <s v="low Outlier"/>
    <n v="53"/>
    <n v="14"/>
    <n v="0"/>
    <s v="10+ Years"/>
    <s v="46-55"/>
    <s v="Mid (40-70K)"/>
    <n v="0"/>
    <x v="0"/>
    <n v="7"/>
    <s v="Q3"/>
    <s v="Jul"/>
    <s v="2011-07"/>
    <n v="2012"/>
    <s v="Production       "/>
    <n v="60"/>
    <n v="8"/>
    <s v="Medium"/>
  </r>
  <r>
    <s v="Robinson, Alain  "/>
    <n v="10047"/>
    <n v="1"/>
    <n v="1"/>
    <n v="1"/>
    <n v="5"/>
    <n v="5"/>
    <x v="1"/>
    <n v="0"/>
    <x v="233"/>
    <n v="1"/>
    <n v="19"/>
    <s v="Production Technician I"/>
    <s v="MA"/>
    <n v="1420"/>
    <d v="1974-01-07T00:00:00"/>
    <s v="M "/>
    <s v="Married"/>
    <s v="US Citizen"/>
    <s v="No"/>
    <s v="Black or African American"/>
    <d v="2011-01-10T00:00:00"/>
    <d v="2016-01-26T00:00:00"/>
    <s v="attendance"/>
    <s v="Voluntarily Terminated"/>
    <x v="0"/>
    <s v="Amy Dunn"/>
    <n v="11"/>
    <s v="Indeed"/>
    <x v="1"/>
    <x v="4"/>
    <n v="3"/>
    <n v="0"/>
    <s v="1/10/2015"/>
    <n v="0"/>
    <n v="11"/>
    <s v="Normal"/>
    <s v="low Outlier"/>
    <n v="52"/>
    <n v="15"/>
    <n v="5"/>
    <s v="10+ Years"/>
    <s v="46-55"/>
    <s v="Mid (40-70K)"/>
    <n v="0"/>
    <x v="0"/>
    <n v="1"/>
    <s v="Q1"/>
    <s v="Jan"/>
    <s v="2011-01"/>
    <n v="2016"/>
    <s v="Production       "/>
    <n v="80"/>
    <n v="2"/>
    <s v="Medium"/>
  </r>
  <r>
    <s v="Robinson, Cherly"/>
    <n v="10285"/>
    <n v="1"/>
    <n v="1"/>
    <n v="0"/>
    <n v="4"/>
    <n v="5"/>
    <x v="2"/>
    <n v="0"/>
    <x v="234"/>
    <n v="1"/>
    <n v="19"/>
    <s v="Production Technician I"/>
    <s v="MA"/>
    <n v="1460"/>
    <d v="1985-01-07T00:00:00"/>
    <s v="F"/>
    <s v="Married"/>
    <s v="US Citizen"/>
    <s v="No"/>
    <s v="White"/>
    <d v="2011-01-10T00:00:00"/>
    <d v="2016-05-17T00:00:00"/>
    <s v="attendance"/>
    <s v="Terminated for Cause"/>
    <x v="0"/>
    <s v="Ketsia Liebig"/>
    <n v="19"/>
    <s v="Indeed"/>
    <x v="2"/>
    <x v="62"/>
    <n v="3"/>
    <n v="0"/>
    <s v="4/5/2016"/>
    <n v="4"/>
    <n v="16"/>
    <s v="Normal"/>
    <s v="low Outlier"/>
    <n v="41"/>
    <n v="15"/>
    <n v="5"/>
    <s v="10+ Years"/>
    <s v="36-45"/>
    <s v="Mid (40-70K)"/>
    <n v="0"/>
    <x v="0"/>
    <n v="1"/>
    <s v="Q1"/>
    <s v="Jan"/>
    <s v="2011-01"/>
    <n v="2016"/>
    <s v="Production       "/>
    <n v="60"/>
    <n v="1"/>
    <s v="High"/>
  </r>
  <r>
    <s v="Robinson, Elias"/>
    <n v="10020"/>
    <n v="0"/>
    <n v="4"/>
    <n v="1"/>
    <n v="1"/>
    <n v="5"/>
    <x v="0"/>
    <n v="0"/>
    <x v="235"/>
    <n v="0"/>
    <n v="19"/>
    <s v="Production Technician I"/>
    <s v="MA"/>
    <n v="1730"/>
    <d v="1985-01-28T00:00:00"/>
    <s v="M "/>
    <s v="Widowed"/>
    <s v="US Citizen"/>
    <s v="No"/>
    <s v="White"/>
    <d v="2013-07-08T00:00:00"/>
    <m/>
    <s v="N/A-StillEmployed"/>
    <s v="Active"/>
    <x v="0"/>
    <s v="Brannon Miller"/>
    <n v="12"/>
    <s v="Employee Referral"/>
    <x v="0"/>
    <x v="62"/>
    <n v="5"/>
    <n v="0"/>
    <s v="2/11/2019"/>
    <n v="0"/>
    <n v="4"/>
    <s v="Normal"/>
    <s v="low Outlier"/>
    <n v="41"/>
    <n v="12"/>
    <n v="12"/>
    <s v="10+ Years"/>
    <s v="36-45"/>
    <s v="Mid (40-70K)"/>
    <n v="1"/>
    <x v="5"/>
    <n v="7"/>
    <s v="Q3"/>
    <s v="Jul"/>
    <s v="2013-07"/>
    <s v="N/A"/>
    <s v="Production       "/>
    <n v="40"/>
    <n v="0"/>
    <s v="Medium"/>
  </r>
  <r>
    <s v="Roby, Lori "/>
    <n v="10162"/>
    <n v="1"/>
    <n v="1"/>
    <n v="0"/>
    <n v="1"/>
    <n v="3"/>
    <x v="1"/>
    <n v="0"/>
    <x v="236"/>
    <n v="0"/>
    <n v="9"/>
    <s v="Data Analyst"/>
    <s v="MA"/>
    <n v="1886"/>
    <d v="1981-10-11T00:00:00"/>
    <s v="F"/>
    <s v="Married"/>
    <s v="US Citizen"/>
    <s v="No"/>
    <s v="White"/>
    <d v="2015-02-16T00:00:00"/>
    <m/>
    <s v="N/A-StillEmployed"/>
    <s v="Active"/>
    <x v="1"/>
    <s v="Simon Roup"/>
    <n v="4"/>
    <s v="Employee Referral"/>
    <x v="1"/>
    <x v="99"/>
    <n v="5"/>
    <n v="6"/>
    <s v="2/14/2019"/>
    <n v="0"/>
    <n v="15"/>
    <s v="Normal"/>
    <s v="low Outlier"/>
    <n v="44"/>
    <n v="11"/>
    <n v="11"/>
    <s v="10+ Years"/>
    <s v="36-45"/>
    <s v="Senior (70-100K)"/>
    <n v="1"/>
    <x v="1"/>
    <n v="2"/>
    <s v="Q1"/>
    <s v="Feb"/>
    <s v="2015-02"/>
    <s v="N/A"/>
    <s v="Production       "/>
    <n v="50"/>
    <n v="0"/>
    <s v="Medium"/>
  </r>
  <r>
    <s v="Roehrich, Bianca"/>
    <n v="10149"/>
    <n v="0"/>
    <n v="0"/>
    <n v="0"/>
    <n v="5"/>
    <n v="3"/>
    <x v="1"/>
    <n v="0"/>
    <x v="237"/>
    <n v="1"/>
    <n v="29"/>
    <s v="Principal Data Architect"/>
    <s v="MA"/>
    <n v="2703"/>
    <d v="1973-05-27T00:00:00"/>
    <s v="F"/>
    <s v="Single"/>
    <s v="US Citizen"/>
    <s v="Yes"/>
    <s v="White"/>
    <d v="2015-01-05T00:00:00"/>
    <d v="2018-11-10T00:00:00"/>
    <s v="Another position"/>
    <s v="Voluntarily Terminated"/>
    <x v="1"/>
    <s v="Simon Roup"/>
    <n v="4"/>
    <s v="LinkedIn"/>
    <x v="1"/>
    <x v="41"/>
    <n v="3"/>
    <n v="7"/>
    <s v="2/13/2018"/>
    <n v="0"/>
    <n v="12"/>
    <s v="Normal"/>
    <s v="low Outlier"/>
    <n v="52"/>
    <n v="11"/>
    <n v="3"/>
    <s v="10+ Years"/>
    <s v="46-55"/>
    <s v="Executive (100K+)"/>
    <n v="0"/>
    <x v="1"/>
    <n v="1"/>
    <s v="Q1"/>
    <s v="Jan"/>
    <s v="2015-01"/>
    <n v="2018"/>
    <s v="Production       "/>
    <n v="60"/>
    <n v="7"/>
    <s v="Medium"/>
  </r>
  <r>
    <s v="Roper, Katie"/>
    <n v="10086"/>
    <n v="0"/>
    <n v="0"/>
    <n v="0"/>
    <n v="1"/>
    <n v="3"/>
    <x v="1"/>
    <n v="0"/>
    <x v="238"/>
    <n v="0"/>
    <n v="7"/>
    <s v="Data Architect"/>
    <s v="MA"/>
    <n v="2056"/>
    <d v="1972-11-21T00:00:00"/>
    <s v="F"/>
    <s v="Single"/>
    <s v="US Citizen"/>
    <s v="No"/>
    <s v="Black or African American"/>
    <d v="2017-01-07T00:00:00"/>
    <m/>
    <s v="N/A-StillEmployed"/>
    <s v="Active"/>
    <x v="1"/>
    <s v="Brian Champaigne"/>
    <n v="13"/>
    <s v="Indeed"/>
    <x v="1"/>
    <x v="100"/>
    <n v="3"/>
    <n v="5"/>
    <s v="2/6/2019"/>
    <n v="0"/>
    <n v="17"/>
    <s v=" high Outlier"/>
    <s v="low Outlier"/>
    <n v="53"/>
    <n v="9"/>
    <n v="9"/>
    <s v="5-10 Years"/>
    <s v="46-55"/>
    <s v="Executive (100K+)"/>
    <n v="1"/>
    <x v="10"/>
    <n v="1"/>
    <s v="Q1"/>
    <s v="Jan"/>
    <s v="2017-01"/>
    <s v="N/A"/>
    <s v="Production       "/>
    <n v="0"/>
    <n v="0"/>
    <s v="Medium"/>
  </r>
  <r>
    <s v="Rose, Ashley  "/>
    <n v="10054"/>
    <n v="0"/>
    <n v="3"/>
    <n v="0"/>
    <n v="1"/>
    <n v="5"/>
    <x v="1"/>
    <n v="0"/>
    <x v="239"/>
    <n v="0"/>
    <n v="19"/>
    <s v="Production Technician I"/>
    <s v="MA"/>
    <n v="1886"/>
    <d v="1974-12-05T00:00:00"/>
    <s v="F"/>
    <s v="Separated"/>
    <s v="US Citizen"/>
    <s v="No"/>
    <s v="White"/>
    <d v="2014-01-06T00:00:00"/>
    <m/>
    <s v="N/A-StillEmployed"/>
    <s v="Active"/>
    <x v="0"/>
    <s v="David Stanley"/>
    <n v="14"/>
    <s v="Website"/>
    <x v="1"/>
    <x v="4"/>
    <n v="4"/>
    <n v="0"/>
    <s v="1/31/2019"/>
    <n v="0"/>
    <n v="8"/>
    <s v="Normal"/>
    <s v="low Outlier"/>
    <n v="51"/>
    <n v="12"/>
    <n v="12"/>
    <s v="10+ Years"/>
    <s v="46-55"/>
    <s v="Mid (40-70K)"/>
    <n v="1"/>
    <x v="4"/>
    <n v="1"/>
    <s v="Q1"/>
    <s v="Jan"/>
    <s v="2014-01"/>
    <s v="N/A"/>
    <s v="Production       "/>
    <n v="20"/>
    <n v="0"/>
    <s v="Medium"/>
  </r>
  <r>
    <s v="Rossetti, Bruno"/>
    <n v="10065"/>
    <n v="0"/>
    <n v="0"/>
    <n v="1"/>
    <n v="5"/>
    <n v="5"/>
    <x v="1"/>
    <n v="0"/>
    <x v="240"/>
    <n v="1"/>
    <n v="19"/>
    <s v="Production Technician I"/>
    <s v="MA"/>
    <n v="2155"/>
    <d v="1987-03-18T00:00:00"/>
    <s v="M "/>
    <s v="Single"/>
    <s v="US Citizen"/>
    <s v="No"/>
    <s v="White"/>
    <d v="2011-04-04T00:00:00"/>
    <d v="2018-08-13T00:00:00"/>
    <s v="Another position"/>
    <s v="Voluntarily Terminated"/>
    <x v="0"/>
    <s v="Kissy Sullivan"/>
    <n v="20"/>
    <s v="Google Search"/>
    <x v="1"/>
    <x v="4"/>
    <n v="5"/>
    <n v="0"/>
    <s v="7/2/2018"/>
    <n v="0"/>
    <n v="4"/>
    <s v="Normal"/>
    <s v="low Outlier"/>
    <n v="39"/>
    <n v="14"/>
    <n v="7"/>
    <s v="10+ Years"/>
    <s v="36-45"/>
    <s v="Mid (40-70K)"/>
    <n v="0"/>
    <x v="0"/>
    <n v="4"/>
    <s v="Q2"/>
    <s v="Apr"/>
    <s v="2011-04"/>
    <n v="2018"/>
    <s v="Production       "/>
    <n v="50"/>
    <n v="6"/>
    <s v="Medium"/>
  </r>
  <r>
    <s v="Roup,Simon"/>
    <n v="10198"/>
    <n v="0"/>
    <n v="0"/>
    <n v="1"/>
    <n v="1"/>
    <n v="3"/>
    <x v="1"/>
    <n v="0"/>
    <x v="241"/>
    <n v="0"/>
    <n v="13"/>
    <s v="IT Manager - DB"/>
    <s v="MA"/>
    <n v="2481"/>
    <d v="1973-04-05T00:00:00"/>
    <s v="M "/>
    <s v="Single"/>
    <s v="US Citizen"/>
    <s v="No"/>
    <s v="White"/>
    <d v="2013-01-20T00:00:00"/>
    <m/>
    <s v="N/A-StillEmployed"/>
    <s v="Active"/>
    <x v="1"/>
    <s v="Jennifer Zamora"/>
    <n v="5"/>
    <s v="Indeed"/>
    <x v="1"/>
    <x v="62"/>
    <n v="5"/>
    <n v="7"/>
    <s v="2/18/2019"/>
    <n v="0"/>
    <n v="13"/>
    <s v=" high Outlier"/>
    <s v="low Outlier"/>
    <n v="52"/>
    <n v="13"/>
    <n v="13"/>
    <s v="10+ Years"/>
    <s v="46-55"/>
    <s v="Executive (100K+)"/>
    <n v="1"/>
    <x v="5"/>
    <n v="1"/>
    <s v="Q1"/>
    <s v="Jan"/>
    <s v="2013-01"/>
    <s v="N/A"/>
    <s v="Production       "/>
    <n v="50"/>
    <n v="0"/>
    <s v="Medium"/>
  </r>
  <r>
    <s v="Ruiz, Ricardo"/>
    <n v="10222"/>
    <n v="0"/>
    <n v="2"/>
    <n v="1"/>
    <n v="5"/>
    <n v="3"/>
    <x v="1"/>
    <n v="1"/>
    <x v="242"/>
    <n v="1"/>
    <n v="13"/>
    <s v="IT Manager - DB"/>
    <s v="MA"/>
    <n v="1915"/>
    <d v="1964-01-04T00:00:00"/>
    <s v="M "/>
    <s v="Divorced"/>
    <s v="US Citizen"/>
    <s v="No"/>
    <s v="Black or African American"/>
    <d v="2012-01-09T00:00:00"/>
    <d v="2015-11-04T00:00:00"/>
    <s v="hours"/>
    <s v="Voluntarily Terminated"/>
    <x v="1"/>
    <s v="Jennifer Zamora"/>
    <n v="5"/>
    <s v="Diversity Job Fair"/>
    <x v="1"/>
    <x v="25"/>
    <n v="4"/>
    <n v="6"/>
    <s v="1/4/2015"/>
    <n v="0"/>
    <n v="8"/>
    <s v=" high Outlier"/>
    <s v="low Outlier"/>
    <n v="62"/>
    <n v="14"/>
    <n v="3"/>
    <s v="10+ Years"/>
    <s v="55+"/>
    <s v="Executive (100K+)"/>
    <n v="0"/>
    <x v="3"/>
    <n v="1"/>
    <s v="Q1"/>
    <s v="Jan"/>
    <s v="2012-01"/>
    <n v="2015"/>
    <s v="Production       "/>
    <n v="100"/>
    <n v="3"/>
    <s v="Medium"/>
  </r>
  <r>
    <s v="Saada, Adell"/>
    <n v="10126"/>
    <n v="1"/>
    <n v="1"/>
    <n v="0"/>
    <n v="1"/>
    <n v="4"/>
    <x v="1"/>
    <n v="0"/>
    <x v="243"/>
    <n v="0"/>
    <n v="24"/>
    <s v="Software Engineer"/>
    <s v="MA"/>
    <n v="2132"/>
    <d v="1986-07-24T00:00:00"/>
    <s v="F"/>
    <s v="Married"/>
    <s v="US Citizen"/>
    <s v="No"/>
    <s v="White"/>
    <d v="2012-11-05T00:00:00"/>
    <m/>
    <s v="N/A-StillEmployed"/>
    <s v="Active"/>
    <x v="2"/>
    <s v="Alex Sweetwater"/>
    <n v="10"/>
    <s v="Indeed"/>
    <x v="1"/>
    <x v="7"/>
    <n v="3"/>
    <n v="6"/>
    <s v="2/13/2019"/>
    <n v="0"/>
    <n v="2"/>
    <s v="Normal"/>
    <s v="low Outlier"/>
    <n v="39"/>
    <n v="13"/>
    <n v="13"/>
    <s v="10+ Years"/>
    <s v="36-45"/>
    <s v="Senior (70-100K)"/>
    <n v="1"/>
    <x v="3"/>
    <n v="11"/>
    <s v="Q4"/>
    <s v="Nov"/>
    <s v="2012-11"/>
    <s v="N/A"/>
    <s v="Production       "/>
    <n v="33.333333333333329"/>
    <n v="0"/>
    <s v="Medium"/>
  </r>
  <r>
    <s v="Saar-Beckles, Melinda"/>
    <n v="10295"/>
    <n v="0"/>
    <n v="0"/>
    <n v="0"/>
    <n v="2"/>
    <n v="5"/>
    <x v="2"/>
    <n v="1"/>
    <x v="244"/>
    <n v="0"/>
    <n v="19"/>
    <s v="Production Technician I"/>
    <s v="MA"/>
    <n v="1801"/>
    <d v="1968-06-06T00:00:00"/>
    <s v="F"/>
    <s v="Single"/>
    <s v="US Citizen"/>
    <s v="No"/>
    <s v="Black or African American"/>
    <d v="2016-07-04T00:00:00"/>
    <m/>
    <s v="N/A-StillEmployed"/>
    <s v="Active"/>
    <x v="0"/>
    <s v="Kelley Spirea"/>
    <n v="18"/>
    <s v="Diversity Job Fair"/>
    <x v="2"/>
    <x v="101"/>
    <n v="4"/>
    <n v="0"/>
    <s v="2/18/2019"/>
    <n v="5"/>
    <n v="4"/>
    <s v="Normal"/>
    <s v="low Outlier"/>
    <n v="57"/>
    <n v="9"/>
    <n v="9"/>
    <s v="5-10 Years"/>
    <s v="55+"/>
    <s v="Mid (40-70K)"/>
    <n v="1"/>
    <x v="7"/>
    <n v="7"/>
    <s v="Q3"/>
    <s v="Jul"/>
    <s v="2016-07"/>
    <s v="N/A"/>
    <s v="Production       "/>
    <n v="25"/>
    <n v="0"/>
    <s v="High"/>
  </r>
  <r>
    <s v="Sadki, Nore  "/>
    <n v="10260"/>
    <n v="0"/>
    <n v="0"/>
    <n v="1"/>
    <n v="5"/>
    <n v="5"/>
    <x v="1"/>
    <n v="0"/>
    <x v="245"/>
    <n v="1"/>
    <n v="19"/>
    <s v="Production Technician I"/>
    <s v="MA"/>
    <n v="2148"/>
    <d v="1974-12-21T00:00:00"/>
    <s v="M "/>
    <s v="Single"/>
    <s v="US Citizen"/>
    <s v="No"/>
    <s v="White"/>
    <d v="2009-01-05T00:00:00"/>
    <d v="2018-07-30T00:00:00"/>
    <s v="relocation out of area"/>
    <s v="Voluntarily Terminated"/>
    <x v="0"/>
    <s v="Michael Albert"/>
    <n v="22"/>
    <s v="Google Search"/>
    <x v="1"/>
    <x v="0"/>
    <n v="5"/>
    <n v="0"/>
    <s v="2/5/2018"/>
    <n v="0"/>
    <n v="7"/>
    <s v="Normal"/>
    <s v="low Outlier"/>
    <n v="51"/>
    <n v="17"/>
    <n v="9"/>
    <s v="10+ Years"/>
    <s v="46-55"/>
    <s v="Mid (40-70K)"/>
    <n v="0"/>
    <x v="6"/>
    <n v="1"/>
    <s v="Q1"/>
    <s v="Jan"/>
    <s v="2009-01"/>
    <n v="2018"/>
    <s v="Production       "/>
    <n v="50"/>
    <n v="2"/>
    <s v="Medium"/>
  </r>
  <r>
    <s v="Sahoo, Adil"/>
    <n v="10233"/>
    <n v="1"/>
    <n v="1"/>
    <n v="1"/>
    <n v="1"/>
    <n v="5"/>
    <x v="1"/>
    <n v="0"/>
    <x v="246"/>
    <n v="0"/>
    <n v="20"/>
    <s v="Production Technician II"/>
    <s v="MA"/>
    <n v="2062"/>
    <d v="1986-04-26T00:00:00"/>
    <s v="M "/>
    <s v="Married"/>
    <s v="US Citizen"/>
    <s v="No"/>
    <s v="White"/>
    <d v="2010-08-30T00:00:00"/>
    <m/>
    <s v="N/A-StillEmployed"/>
    <s v="Active"/>
    <x v="0"/>
    <s v="Kelley Spirea"/>
    <n v="18"/>
    <s v="CareerBuilder"/>
    <x v="1"/>
    <x v="28"/>
    <n v="3"/>
    <n v="0"/>
    <s v="1/10/2019"/>
    <n v="0"/>
    <n v="13"/>
    <s v="Normal"/>
    <s v="low Outlier"/>
    <n v="39"/>
    <n v="15"/>
    <n v="15"/>
    <s v="10+ Years"/>
    <s v="36-45"/>
    <s v="Mid (40-70K)"/>
    <n v="1"/>
    <x v="8"/>
    <n v="8"/>
    <s v="Q3"/>
    <s v="Aug"/>
    <s v="2010-08"/>
    <s v="N/A"/>
    <s v="Production       "/>
    <n v="33.333333333333329"/>
    <n v="0"/>
    <s v="Medium"/>
  </r>
  <r>
    <s v="Salter, Jason"/>
    <n v="10229"/>
    <n v="0"/>
    <n v="2"/>
    <n v="1"/>
    <n v="5"/>
    <n v="3"/>
    <x v="1"/>
    <n v="0"/>
    <x v="247"/>
    <n v="1"/>
    <n v="9"/>
    <s v="Data Analyst "/>
    <s v="MA"/>
    <n v="2452"/>
    <d v="1987-12-17T00:00:00"/>
    <s v="M "/>
    <s v="Divorced"/>
    <s v="US Citizen"/>
    <s v="No"/>
    <s v="Black or African American"/>
    <d v="2015-01-05T00:00:00"/>
    <d v="2015-10-31T00:00:00"/>
    <s v="hours"/>
    <s v="Voluntarily Terminated"/>
    <x v="1"/>
    <s v="Simon Roup"/>
    <n v="4"/>
    <s v="LinkedIn"/>
    <x v="1"/>
    <x v="7"/>
    <n v="3"/>
    <n v="5"/>
    <s v="4/20/2015"/>
    <n v="0"/>
    <n v="2"/>
    <s v="Normal"/>
    <s v="low Outlier"/>
    <n v="38"/>
    <n v="11"/>
    <n v="0"/>
    <s v="10+ Years"/>
    <s v="36-45"/>
    <s v="Senior (70-100K)"/>
    <n v="0"/>
    <x v="1"/>
    <n v="1"/>
    <s v="Q1"/>
    <s v="Jan"/>
    <s v="2015-01"/>
    <n v="2015"/>
    <s v="Production       "/>
    <n v="50"/>
    <n v="2"/>
    <s v="Medium"/>
  </r>
  <r>
    <s v="Sander, Kamrin"/>
    <n v="10169"/>
    <n v="1"/>
    <n v="1"/>
    <n v="0"/>
    <n v="1"/>
    <n v="5"/>
    <x v="1"/>
    <n v="0"/>
    <x v="248"/>
    <n v="0"/>
    <n v="19"/>
    <s v="Production Technician I"/>
    <s v="MA"/>
    <n v="2154"/>
    <d v="1988-07-10T00:00:00"/>
    <s v="F"/>
    <s v="Married"/>
    <s v="US Citizen"/>
    <s v="No"/>
    <s v="Black or African American"/>
    <d v="2014-09-29T00:00:00"/>
    <m/>
    <s v="N/A-StillEmployed"/>
    <s v="Active"/>
    <x v="0"/>
    <s v="Elijiah Gray"/>
    <n v="16"/>
    <s v="LinkedIn"/>
    <x v="1"/>
    <x v="102"/>
    <n v="3"/>
    <n v="0"/>
    <s v="2/18/2019"/>
    <n v="0"/>
    <n v="2"/>
    <s v="Normal"/>
    <s v="low Outlier"/>
    <n v="37"/>
    <n v="11"/>
    <n v="11"/>
    <s v="10+ Years"/>
    <s v="36-45"/>
    <s v="Mid (40-70K)"/>
    <n v="1"/>
    <x v="4"/>
    <n v="9"/>
    <s v="Q3"/>
    <s v="Sep"/>
    <s v="2014-09"/>
    <s v="N/A"/>
    <s v="Production       "/>
    <n v="40"/>
    <n v="0"/>
    <s v="Medium"/>
  </r>
  <r>
    <s v="Sewkumar, Nori"/>
    <n v="10071"/>
    <n v="0"/>
    <n v="0"/>
    <n v="0"/>
    <n v="3"/>
    <n v="5"/>
    <x v="1"/>
    <n v="0"/>
    <x v="249"/>
    <n v="0"/>
    <n v="19"/>
    <s v="Production Technician I"/>
    <s v="MA"/>
    <n v="2191"/>
    <d v="1975-03-10T00:00:00"/>
    <s v="F"/>
    <s v="Single"/>
    <s v="US Citizen"/>
    <s v="No"/>
    <s v="Asian"/>
    <d v="2013-09-30T00:00:00"/>
    <m/>
    <s v="N/A-StillEmployed"/>
    <s v="Active"/>
    <x v="0"/>
    <s v="Webster Butler"/>
    <m/>
    <s v="Google Search"/>
    <x v="1"/>
    <x v="4"/>
    <n v="5"/>
    <n v="0"/>
    <s v="2/6/2019"/>
    <n v="0"/>
    <n v="14"/>
    <s v="Normal"/>
    <s v="low Outlier"/>
    <n v="51"/>
    <n v="12"/>
    <n v="12"/>
    <s v="10+ Years"/>
    <s v="46-55"/>
    <s v="Mid (40-70K)"/>
    <n v="1"/>
    <x v="5"/>
    <n v="9"/>
    <s v="Q3"/>
    <s v="Sep"/>
    <s v="2013-09"/>
    <s v="N/A"/>
    <s v="Production       "/>
    <n v="75"/>
    <n v="0"/>
    <s v="Medium"/>
  </r>
  <r>
    <s v="Shepard, Anita "/>
    <n v="10179"/>
    <n v="1"/>
    <n v="1"/>
    <n v="0"/>
    <n v="1"/>
    <n v="3"/>
    <x v="1"/>
    <n v="0"/>
    <x v="250"/>
    <n v="0"/>
    <n v="15"/>
    <s v="Network Engineer"/>
    <s v="MA"/>
    <n v="1773"/>
    <d v="1981-04-14T00:00:00"/>
    <s v="F"/>
    <s v="Married"/>
    <s v="US Citizen"/>
    <s v="No"/>
    <s v="White"/>
    <d v="2014-09-30T00:00:00"/>
    <m/>
    <s v="N/A-StillEmployed"/>
    <s v="Active"/>
    <x v="1"/>
    <s v="Peter Monroe"/>
    <n v="7"/>
    <s v="LinkedIn"/>
    <x v="1"/>
    <x v="103"/>
    <n v="3"/>
    <n v="6"/>
    <s v="1/7/2019"/>
    <n v="0"/>
    <n v="7"/>
    <s v="Normal"/>
    <s v="low Outlier"/>
    <n v="44"/>
    <n v="11"/>
    <n v="11"/>
    <s v="10+ Years"/>
    <s v="36-45"/>
    <s v="Mid (40-70K)"/>
    <n v="1"/>
    <x v="4"/>
    <n v="9"/>
    <s v="Q3"/>
    <s v="Sep"/>
    <s v="2014-09"/>
    <s v="N/A"/>
    <s v="Production       "/>
    <n v="20"/>
    <n v="0"/>
    <s v="Medium"/>
  </r>
  <r>
    <s v="Shields, Seffi"/>
    <n v="10091"/>
    <n v="1"/>
    <n v="1"/>
    <n v="0"/>
    <n v="1"/>
    <n v="5"/>
    <x v="1"/>
    <n v="0"/>
    <x v="251"/>
    <n v="0"/>
    <n v="19"/>
    <s v="Production Technician I"/>
    <s v="MA"/>
    <n v="2149"/>
    <d v="1985-08-24T00:00:00"/>
    <s v="F"/>
    <s v="Married"/>
    <s v="US Citizen"/>
    <s v="No"/>
    <s v="White"/>
    <d v="2013-08-19T00:00:00"/>
    <m/>
    <s v="N/A-StillEmployed"/>
    <s v="Active"/>
    <x v="0"/>
    <s v="Amy Dunn"/>
    <n v="11"/>
    <s v="LinkedIn"/>
    <x v="1"/>
    <x v="104"/>
    <n v="4"/>
    <n v="0"/>
    <s v="2/15/2019"/>
    <n v="0"/>
    <n v="15"/>
    <s v="Normal"/>
    <s v="low Outlier"/>
    <n v="40"/>
    <n v="12"/>
    <n v="12"/>
    <s v="10+ Years"/>
    <s v="36-45"/>
    <s v="Mid (40-70K)"/>
    <n v="1"/>
    <x v="5"/>
    <n v="8"/>
    <s v="Q3"/>
    <s v="Aug"/>
    <s v="2013-08"/>
    <s v="N/A"/>
    <s v="Production       "/>
    <n v="75"/>
    <n v="0"/>
    <s v="Medium"/>
  </r>
  <r>
    <s v="Simard, Kramer"/>
    <n v="10178"/>
    <n v="1"/>
    <n v="1"/>
    <n v="1"/>
    <n v="1"/>
    <n v="3"/>
    <x v="1"/>
    <n v="0"/>
    <x v="252"/>
    <n v="0"/>
    <n v="9"/>
    <s v="Data Analyst"/>
    <s v="MA"/>
    <n v="2110"/>
    <d v="1970-02-08T00:00:00"/>
    <s v="M "/>
    <s v="Married"/>
    <s v="US Citizen"/>
    <s v="Yes"/>
    <s v="White"/>
    <d v="2015-01-05T00:00:00"/>
    <m/>
    <s v="N/A-StillEmployed"/>
    <s v="Active"/>
    <x v="1"/>
    <s v="Simon Roup"/>
    <n v="4"/>
    <s v="Employee Referral"/>
    <x v="1"/>
    <x v="105"/>
    <n v="3"/>
    <n v="7"/>
    <s v="1/14/2019"/>
    <n v="0"/>
    <n v="16"/>
    <s v="Normal"/>
    <s v="low Outlier"/>
    <n v="56"/>
    <n v="11"/>
    <n v="11"/>
    <s v="10+ Years"/>
    <s v="55+"/>
    <s v="Senior (70-100K)"/>
    <n v="1"/>
    <x v="1"/>
    <n v="1"/>
    <s v="Q1"/>
    <s v="Jan"/>
    <s v="2015-01"/>
    <s v="N/A"/>
    <s v="Production       "/>
    <n v="33.333333333333329"/>
    <n v="0"/>
    <s v="Medium"/>
  </r>
  <r>
    <s v="Singh, Nan "/>
    <n v="10039"/>
    <n v="0"/>
    <n v="0"/>
    <n v="0"/>
    <n v="1"/>
    <n v="1"/>
    <x v="1"/>
    <n v="0"/>
    <x v="253"/>
    <n v="0"/>
    <n v="2"/>
    <s v="Administrative Assistant"/>
    <s v="MA"/>
    <n v="2330"/>
    <d v="1988-05-19T00:00:00"/>
    <s v="F"/>
    <s v="Single"/>
    <s v="US Citizen"/>
    <s v="No"/>
    <s v="White"/>
    <d v="2015-05-01T00:00:00"/>
    <m/>
    <s v="N/A-StillEmployed"/>
    <s v="Active"/>
    <x v="3"/>
    <s v="Brandon R. LeBlanc"/>
    <n v="1"/>
    <s v="Website"/>
    <x v="1"/>
    <x v="4"/>
    <n v="3"/>
    <n v="5"/>
    <s v="1/15/2019"/>
    <n v="0"/>
    <n v="2"/>
    <s v="Normal"/>
    <s v="low Outlier"/>
    <n v="37"/>
    <n v="10"/>
    <n v="10"/>
    <s v="10+ Years"/>
    <s v="36-45"/>
    <s v="Mid (40-70K)"/>
    <n v="1"/>
    <x v="1"/>
    <n v="5"/>
    <s v="Q2"/>
    <s v="May"/>
    <s v="2015-05"/>
    <s v="N/A"/>
    <s v="Production       "/>
    <n v="33.333333333333329"/>
    <n v="0"/>
    <s v="Medium"/>
  </r>
  <r>
    <s v="Sloan, Constance"/>
    <n v="10095"/>
    <n v="0"/>
    <n v="0"/>
    <n v="0"/>
    <n v="5"/>
    <n v="5"/>
    <x v="1"/>
    <n v="0"/>
    <x v="254"/>
    <n v="1"/>
    <n v="20"/>
    <s v="Production Technician II"/>
    <s v="MA"/>
    <n v="1851"/>
    <d v="1987-11-25T00:00:00"/>
    <s v="F"/>
    <s v="Single"/>
    <s v="US Citizen"/>
    <s v="No"/>
    <s v="White"/>
    <d v="2009-10-26T00:00:00"/>
    <d v="2015-04-08T00:00:00"/>
    <s v="maternity leave - did not return"/>
    <s v="Voluntarily Terminated"/>
    <x v="0"/>
    <s v="Michael Albert"/>
    <n v="22"/>
    <s v="CareerBuilder"/>
    <x v="1"/>
    <x v="106"/>
    <n v="4"/>
    <n v="0"/>
    <s v="4/2/2015"/>
    <n v="0"/>
    <n v="20"/>
    <s v="Normal"/>
    <s v="low Outlier"/>
    <n v="38"/>
    <n v="16"/>
    <n v="5"/>
    <s v="10+ Years"/>
    <s v="36-45"/>
    <s v="Mid (40-70K)"/>
    <n v="0"/>
    <x v="6"/>
    <n v="10"/>
    <s v="Q4"/>
    <s v="Oct"/>
    <s v="2009-10"/>
    <n v="2015"/>
    <s v="Production       "/>
    <n v="33.333333333333329"/>
    <n v="2"/>
    <s v="Medium"/>
  </r>
  <r>
    <s v="Smith, Joe"/>
    <n v="10027"/>
    <n v="0"/>
    <n v="0"/>
    <n v="1"/>
    <n v="1"/>
    <n v="5"/>
    <x v="0"/>
    <n v="0"/>
    <x v="255"/>
    <n v="0"/>
    <n v="20"/>
    <s v="Production Technician II"/>
    <s v="MA"/>
    <n v="2045"/>
    <d v="1963-10-30T00:00:00"/>
    <s v="M "/>
    <s v="Single"/>
    <s v="US Citizen"/>
    <s v="No"/>
    <s v="White"/>
    <d v="2014-09-29T00:00:00"/>
    <m/>
    <s v="N/A-StillEmployed"/>
    <s v="Active"/>
    <x v="0"/>
    <s v="Elijiah Gray"/>
    <n v="16"/>
    <s v="Indeed"/>
    <x v="0"/>
    <x v="25"/>
    <n v="3"/>
    <n v="0"/>
    <s v="1/28/2019"/>
    <n v="0"/>
    <n v="4"/>
    <s v="Normal"/>
    <s v="low Outlier"/>
    <n v="62"/>
    <n v="11"/>
    <n v="11"/>
    <s v="10+ Years"/>
    <s v="55+"/>
    <s v="Mid (40-70K)"/>
    <n v="1"/>
    <x v="4"/>
    <n v="9"/>
    <s v="Q3"/>
    <s v="Sep"/>
    <s v="2014-09"/>
    <s v="N/A"/>
    <s v="Production       "/>
    <n v="50"/>
    <n v="0"/>
    <s v="Low"/>
  </r>
  <r>
    <s v="Smith, John"/>
    <n v="10291"/>
    <n v="0"/>
    <n v="2"/>
    <n v="1"/>
    <n v="1"/>
    <n v="6"/>
    <x v="2"/>
    <n v="1"/>
    <x v="256"/>
    <n v="0"/>
    <n v="21"/>
    <s v="Sales Manager"/>
    <s v="MA"/>
    <n v="1886"/>
    <d v="1984-08-16T00:00:00"/>
    <s v="M "/>
    <s v="Divorced"/>
    <s v="US Citizen"/>
    <s v="No"/>
    <s v="Black or African American"/>
    <d v="2014-05-18T00:00:00"/>
    <m/>
    <s v="N/A-StillEmployed"/>
    <s v="Active"/>
    <x v="4"/>
    <s v="Debra Houlihan"/>
    <n v="15"/>
    <s v="Diversity Job Fair"/>
    <x v="2"/>
    <x v="92"/>
    <n v="4"/>
    <n v="0"/>
    <s v="1/16/2019"/>
    <n v="2"/>
    <n v="16"/>
    <s v="Normal"/>
    <s v="low Outlier"/>
    <n v="41"/>
    <n v="11"/>
    <n v="11"/>
    <s v="10+ Years"/>
    <s v="36-45"/>
    <s v="Senior (70-100K)"/>
    <n v="1"/>
    <x v="4"/>
    <n v="5"/>
    <s v="Q2"/>
    <s v="May"/>
    <s v="2014-05"/>
    <s v="N/A"/>
    <s v="Production       "/>
    <n v="0"/>
    <n v="0"/>
    <s v="High"/>
  </r>
  <r>
    <s v="Smith, Leigh Ann"/>
    <n v="10153"/>
    <n v="1"/>
    <n v="1"/>
    <n v="0"/>
    <n v="5"/>
    <n v="1"/>
    <x v="1"/>
    <n v="1"/>
    <x v="257"/>
    <n v="1"/>
    <n v="2"/>
    <s v="Administrative Assistant"/>
    <s v="MA"/>
    <n v="1844"/>
    <d v="1987-06-14T00:00:00"/>
    <s v="F"/>
    <s v="Married"/>
    <s v="US Citizen"/>
    <s v="No"/>
    <s v="Black or African American"/>
    <d v="2011-09-26T00:00:00"/>
    <d v="2013-09-25T00:00:00"/>
    <s v="career change"/>
    <s v="Voluntarily Terminated"/>
    <x v="3"/>
    <s v="Brandon R. LeBlanc"/>
    <n v="1"/>
    <s v="Diversity Job Fair"/>
    <x v="1"/>
    <x v="23"/>
    <n v="4"/>
    <n v="4"/>
    <s v="8/15/2013"/>
    <n v="0"/>
    <n v="17"/>
    <s v="Normal"/>
    <s v="low Outlier"/>
    <n v="38"/>
    <n v="14"/>
    <n v="1"/>
    <s v="10+ Years"/>
    <s v="36-45"/>
    <s v="Mid (40-70K)"/>
    <n v="0"/>
    <x v="0"/>
    <n v="9"/>
    <s v="Q3"/>
    <s v="Sep"/>
    <s v="2011-09"/>
    <n v="2013"/>
    <s v="Production       "/>
    <n v="50"/>
    <n v="2"/>
    <s v="Medium"/>
  </r>
  <r>
    <s v="Smith, Sade"/>
    <n v="10157"/>
    <n v="0"/>
    <n v="0"/>
    <n v="0"/>
    <n v="1"/>
    <n v="5"/>
    <x v="1"/>
    <n v="0"/>
    <x v="258"/>
    <n v="0"/>
    <n v="19"/>
    <s v="Production Technician I"/>
    <s v="MA"/>
    <n v="2130"/>
    <d v="1965-02-02T00:00:00"/>
    <s v="F"/>
    <s v="Single"/>
    <s v="US Citizen"/>
    <s v="No"/>
    <s v="White"/>
    <d v="2013-11-11T00:00:00"/>
    <m/>
    <s v="N/A-StillEmployed"/>
    <s v="Active"/>
    <x v="0"/>
    <s v="Ketsia Liebig"/>
    <n v="19"/>
    <s v="Employee Referral"/>
    <x v="1"/>
    <x v="54"/>
    <n v="3"/>
    <n v="0"/>
    <s v="1/24/2019"/>
    <n v="0"/>
    <n v="16"/>
    <s v="Normal"/>
    <s v="low Outlier"/>
    <n v="61"/>
    <n v="12"/>
    <n v="12"/>
    <s v="10+ Years"/>
    <s v="55+"/>
    <s v="Mid (40-70K)"/>
    <n v="1"/>
    <x v="5"/>
    <n v="11"/>
    <s v="Q4"/>
    <s v="Nov"/>
    <s v="2013-11"/>
    <s v="N/A"/>
    <s v="Production       "/>
    <n v="50"/>
    <n v="0"/>
    <s v="Medium"/>
  </r>
  <r>
    <s v="Soto, Julia "/>
    <n v="10119"/>
    <n v="1"/>
    <n v="1"/>
    <n v="0"/>
    <n v="1"/>
    <n v="3"/>
    <x v="1"/>
    <n v="0"/>
    <x v="259"/>
    <n v="0"/>
    <n v="14"/>
    <s v="IT Support"/>
    <s v="MA"/>
    <n v="2360"/>
    <d v="1973-03-12T00:00:00"/>
    <s v="F"/>
    <s v="Married"/>
    <s v="US Citizen"/>
    <s v="No"/>
    <s v="Black or African American"/>
    <d v="2011-06-10T00:00:00"/>
    <m/>
    <s v="N/A-StillEmployed"/>
    <s v="Active"/>
    <x v="1"/>
    <s v="Eric Dougall"/>
    <n v="6"/>
    <s v="LinkedIn"/>
    <x v="1"/>
    <x v="25"/>
    <n v="3"/>
    <n v="5"/>
    <s v="2/8/2019"/>
    <n v="0"/>
    <n v="19"/>
    <s v="Normal"/>
    <s v="low Outlier"/>
    <n v="53"/>
    <n v="14"/>
    <n v="14"/>
    <s v="10+ Years"/>
    <s v="46-55"/>
    <s v="Mid (40-70K)"/>
    <n v="1"/>
    <x v="0"/>
    <n v="6"/>
    <s v="Q2"/>
    <s v="Jun"/>
    <s v="2011-06"/>
    <s v="N/A"/>
    <s v="Production       "/>
    <n v="0"/>
    <n v="0"/>
    <s v="Medium"/>
  </r>
  <r>
    <s v="Soze, Keyser"/>
    <n v="10180"/>
    <n v="1"/>
    <n v="1"/>
    <n v="1"/>
    <n v="2"/>
    <n v="3"/>
    <x v="1"/>
    <n v="0"/>
    <x v="260"/>
    <n v="0"/>
    <n v="28"/>
    <s v="Sr. Network Engineer"/>
    <s v="MA"/>
    <n v="1545"/>
    <d v="1983-02-09T00:00:00"/>
    <s v="M "/>
    <s v="Married"/>
    <s v="US Citizen"/>
    <s v="No"/>
    <s v="Asian"/>
    <d v="2016-06-30T00:00:00"/>
    <m/>
    <s v="N/A-StillEmployed"/>
    <s v="Active"/>
    <x v="1"/>
    <s v="Peter Monroe"/>
    <n v="7"/>
    <s v="LinkedIn"/>
    <x v="1"/>
    <x v="107"/>
    <n v="4"/>
    <n v="5"/>
    <s v="1/14/2019"/>
    <n v="0"/>
    <n v="13"/>
    <s v="Normal"/>
    <s v="low Outlier"/>
    <n v="43"/>
    <n v="9"/>
    <n v="9"/>
    <s v="5-10 Years"/>
    <s v="36-45"/>
    <s v="Senior (70-100K)"/>
    <n v="1"/>
    <x v="7"/>
    <n v="6"/>
    <s v="Q2"/>
    <s v="Jun"/>
    <s v="2016-06"/>
    <s v="N/A"/>
    <s v="Production       "/>
    <n v="25"/>
    <n v="0"/>
    <s v="Medium"/>
  </r>
  <r>
    <s v="Sparks, Taylor  "/>
    <n v="10302"/>
    <n v="1"/>
    <n v="1"/>
    <n v="0"/>
    <n v="1"/>
    <n v="5"/>
    <x v="3"/>
    <n v="0"/>
    <x v="261"/>
    <n v="0"/>
    <n v="19"/>
    <s v="Production Technician I"/>
    <s v="MA"/>
    <n v="2093"/>
    <d v="1968-07-20T00:00:00"/>
    <s v="F"/>
    <s v="Married"/>
    <s v="US Citizen"/>
    <s v="No"/>
    <s v="White"/>
    <d v="2012-02-20T00:00:00"/>
    <m/>
    <s v="N/A-StillEmployed"/>
    <s v="Active"/>
    <x v="0"/>
    <s v="Brannon Miller"/>
    <n v="12"/>
    <s v="Indeed"/>
    <x v="3"/>
    <x v="92"/>
    <n v="2"/>
    <n v="1"/>
    <s v="2/25/2019"/>
    <n v="6"/>
    <n v="20"/>
    <s v="Normal"/>
    <s v="low Outlier"/>
    <n v="57"/>
    <n v="14"/>
    <n v="14"/>
    <s v="10+ Years"/>
    <s v="55+"/>
    <s v="Mid (40-70K)"/>
    <n v="1"/>
    <x v="3"/>
    <n v="2"/>
    <s v="Q1"/>
    <s v="Feb"/>
    <s v="2012-02"/>
    <s v="N/A"/>
    <s v="Production       "/>
    <n v="50"/>
    <n v="0"/>
    <s v="High"/>
  </r>
  <r>
    <s v="Spirea, Kelley"/>
    <n v="10090"/>
    <n v="1"/>
    <n v="1"/>
    <n v="0"/>
    <n v="1"/>
    <n v="5"/>
    <x v="1"/>
    <n v="0"/>
    <x v="262"/>
    <n v="0"/>
    <n v="18"/>
    <s v="Production Manager"/>
    <s v="MA"/>
    <n v="2451"/>
    <d v="1975-09-30T00:00:00"/>
    <s v="F"/>
    <s v="Married"/>
    <s v="US Citizen"/>
    <s v="No"/>
    <s v="White"/>
    <d v="2012-10-02T00:00:00"/>
    <m/>
    <s v="N/A-StillEmployed"/>
    <s v="Active"/>
    <x v="0"/>
    <s v="Janet King"/>
    <n v="2"/>
    <s v="LinkedIn"/>
    <x v="1"/>
    <x v="71"/>
    <n v="5"/>
    <n v="0"/>
    <s v="2/14/2019"/>
    <n v="0"/>
    <n v="15"/>
    <s v="Normal"/>
    <s v="low Outlier"/>
    <n v="50"/>
    <n v="13"/>
    <n v="13"/>
    <s v="10+ Years"/>
    <s v="46-55"/>
    <s v="Mid (40-70K)"/>
    <n v="1"/>
    <x v="3"/>
    <n v="10"/>
    <s v="Q4"/>
    <s v="Oct"/>
    <s v="2012-10"/>
    <s v="N/A"/>
    <s v="Production       "/>
    <n v="20"/>
    <n v="0"/>
    <s v="Medium"/>
  </r>
  <r>
    <s v="Squatrito, Kristen"/>
    <n v="10030"/>
    <n v="0"/>
    <n v="2"/>
    <n v="0"/>
    <n v="5"/>
    <n v="5"/>
    <x v="0"/>
    <n v="0"/>
    <x v="263"/>
    <n v="1"/>
    <n v="19"/>
    <s v="Production Technician I"/>
    <s v="MA"/>
    <n v="2359"/>
    <d v="1973-03-26T00:00:00"/>
    <s v="F"/>
    <s v="Divorced"/>
    <s v="US Citizen"/>
    <s v="No"/>
    <s v="White"/>
    <d v="2013-05-13T00:00:00"/>
    <d v="2015-06-29T00:00:00"/>
    <s v="unhappy"/>
    <s v="Voluntarily Terminated"/>
    <x v="0"/>
    <s v="David Stanley"/>
    <n v="14"/>
    <s v="LinkedIn"/>
    <x v="0"/>
    <x v="28"/>
    <n v="4"/>
    <n v="0"/>
    <s v="3/2/2015"/>
    <n v="0"/>
    <n v="16"/>
    <s v="Normal"/>
    <s v="low Outlier"/>
    <n v="53"/>
    <n v="12"/>
    <n v="2"/>
    <s v="10+ Years"/>
    <s v="46-55"/>
    <s v="Mid (40-70K)"/>
    <n v="0"/>
    <x v="5"/>
    <n v="5"/>
    <s v="Q2"/>
    <s v="May"/>
    <s v="2013-05"/>
    <n v="2015"/>
    <s v="Production       "/>
    <n v="25"/>
    <n v="3"/>
    <s v="Low"/>
  </r>
  <r>
    <s v="Stanford,Barbara  M"/>
    <n v="10278"/>
    <n v="0"/>
    <n v="2"/>
    <n v="0"/>
    <n v="1"/>
    <n v="5"/>
    <x v="1"/>
    <n v="0"/>
    <x v="264"/>
    <n v="0"/>
    <n v="19"/>
    <s v="Production Technician I"/>
    <s v="MA"/>
    <n v="2050"/>
    <d v="1982-08-25T00:00:00"/>
    <s v="F"/>
    <s v="Divorced"/>
    <s v="US Citizen"/>
    <s v="No"/>
    <s v="Two or more races"/>
    <d v="2011-01-10T00:00:00"/>
    <m/>
    <s v="N/A-StillEmployed"/>
    <s v="Active"/>
    <x v="0"/>
    <s v="Kissy Sullivan"/>
    <n v="20"/>
    <s v="Google Search"/>
    <x v="1"/>
    <x v="28"/>
    <n v="4"/>
    <n v="0"/>
    <s v="2/7/2019"/>
    <n v="0"/>
    <n v="9"/>
    <s v="Normal"/>
    <s v="low Outlier"/>
    <n v="43"/>
    <n v="15"/>
    <n v="15"/>
    <s v="10+ Years"/>
    <s v="36-45"/>
    <s v="Mid (40-70K)"/>
    <n v="1"/>
    <x v="0"/>
    <n v="1"/>
    <s v="Q1"/>
    <s v="Jan"/>
    <s v="2011-01"/>
    <s v="N/A"/>
    <s v="Production       "/>
    <n v="33.333333333333329"/>
    <n v="0"/>
    <s v="Medium"/>
  </r>
  <r>
    <s v="Stansfield, Norman"/>
    <n v="10307"/>
    <n v="1"/>
    <n v="1"/>
    <n v="1"/>
    <n v="1"/>
    <n v="6"/>
    <x v="3"/>
    <n v="0"/>
    <x v="265"/>
    <n v="0"/>
    <n v="3"/>
    <s v="Area Sales Manager"/>
    <s v="NV"/>
    <n v="89139"/>
    <d v="1974-05-09T00:00:00"/>
    <s v="M "/>
    <s v="Married"/>
    <s v="US Citizen"/>
    <s v="No"/>
    <s v="White"/>
    <d v="2014-05-12T00:00:00"/>
    <m/>
    <s v="N/A-StillEmployed"/>
    <s v="Active"/>
    <x v="4"/>
    <s v="Lynn Daneault"/>
    <n v="21"/>
    <s v="Website"/>
    <x v="3"/>
    <x v="108"/>
    <n v="2"/>
    <n v="0"/>
    <s v="1/17/2019"/>
    <n v="3"/>
    <n v="5"/>
    <s v="Normal"/>
    <s v="low Outlier"/>
    <n v="51"/>
    <n v="11"/>
    <n v="11"/>
    <s v="10+ Years"/>
    <s v="46-55"/>
    <s v="Mid (40-70K)"/>
    <n v="1"/>
    <x v="4"/>
    <n v="5"/>
    <s v="Q2"/>
    <s v="May"/>
    <s v="2014-05"/>
    <s v="N/A"/>
    <s v="Production       "/>
    <n v="0"/>
    <n v="0"/>
    <s v="High"/>
  </r>
  <r>
    <s v="Steans, Tyrone  "/>
    <n v="10147"/>
    <n v="0"/>
    <n v="0"/>
    <n v="1"/>
    <n v="1"/>
    <n v="1"/>
    <x v="1"/>
    <n v="0"/>
    <x v="266"/>
    <n v="0"/>
    <n v="1"/>
    <s v="Accountant I"/>
    <s v="MA"/>
    <n v="2703"/>
    <d v="1986-09-01T00:00:00"/>
    <s v="M "/>
    <s v="Single"/>
    <s v="US Citizen"/>
    <s v="No"/>
    <s v="White"/>
    <d v="2014-09-29T00:00:00"/>
    <m/>
    <s v="N/A-StillEmployed"/>
    <s v="Active"/>
    <x v="3"/>
    <s v="Brandon R. LeBlanc"/>
    <n v="1"/>
    <s v="Indeed"/>
    <x v="1"/>
    <x v="57"/>
    <n v="5"/>
    <n v="5"/>
    <s v="1/18/2019"/>
    <n v="0"/>
    <n v="9"/>
    <s v="Normal"/>
    <s v="low Outlier"/>
    <n v="39"/>
    <n v="11"/>
    <n v="11"/>
    <s v="10+ Years"/>
    <s v="36-45"/>
    <s v="Mid (40-70K)"/>
    <n v="1"/>
    <x v="4"/>
    <n v="9"/>
    <s v="Q3"/>
    <s v="Sep"/>
    <s v="2014-09"/>
    <s v="N/A"/>
    <s v="Production       "/>
    <n v="0"/>
    <n v="0"/>
    <s v="Medium"/>
  </r>
  <r>
    <s v="Stoica, Rick"/>
    <n v="10266"/>
    <n v="1"/>
    <n v="1"/>
    <n v="1"/>
    <n v="1"/>
    <n v="5"/>
    <x v="1"/>
    <n v="0"/>
    <x v="267"/>
    <n v="0"/>
    <n v="19"/>
    <s v="Production Technician I"/>
    <s v="MA"/>
    <n v="2301"/>
    <d v="1985-03-14T00:00:00"/>
    <s v="M "/>
    <s v="Married"/>
    <s v="US Citizen"/>
    <s v="No"/>
    <s v="Asian"/>
    <d v="2014-02-17T00:00:00"/>
    <m/>
    <s v="N/A-StillEmployed"/>
    <s v="Active"/>
    <x v="0"/>
    <s v="Kelley Spirea"/>
    <n v="18"/>
    <s v="LinkedIn"/>
    <x v="1"/>
    <x v="27"/>
    <n v="3"/>
    <n v="0"/>
    <s v="1/11/2019"/>
    <n v="0"/>
    <n v="4"/>
    <s v="Normal"/>
    <s v="low Outlier"/>
    <n v="41"/>
    <n v="12"/>
    <n v="12"/>
    <s v="10+ Years"/>
    <s v="36-45"/>
    <s v="Mid (40-70K)"/>
    <n v="1"/>
    <x v="4"/>
    <n v="2"/>
    <s v="Q1"/>
    <s v="Feb"/>
    <s v="2014-02"/>
    <s v="N/A"/>
    <s v="Production       "/>
    <n v="50"/>
    <n v="0"/>
    <s v="Medium"/>
  </r>
  <r>
    <s v="Strong, Caitrin"/>
    <n v="10241"/>
    <n v="1"/>
    <n v="1"/>
    <n v="0"/>
    <n v="1"/>
    <n v="6"/>
    <x v="1"/>
    <n v="0"/>
    <x v="268"/>
    <n v="0"/>
    <n v="3"/>
    <s v="Area Sales Manager"/>
    <s v="MT"/>
    <n v="59102"/>
    <d v="1989-05-12T00:00:00"/>
    <s v="F"/>
    <s v="Married"/>
    <s v="US Citizen"/>
    <s v="No"/>
    <s v="Black or African American"/>
    <d v="2010-09-27T00:00:00"/>
    <m/>
    <s v="N/A-StillEmployed"/>
    <s v="Active"/>
    <x v="4"/>
    <s v="John Smith"/>
    <n v="17"/>
    <s v="Indeed"/>
    <x v="1"/>
    <x v="28"/>
    <n v="4"/>
    <n v="0"/>
    <s v="1/31/2019"/>
    <n v="0"/>
    <n v="18"/>
    <s v="Normal"/>
    <s v="low Outlier"/>
    <n v="36"/>
    <n v="15"/>
    <n v="15"/>
    <s v="10+ Years"/>
    <s v="36-45"/>
    <s v="Mid (40-70K)"/>
    <n v="1"/>
    <x v="8"/>
    <n v="9"/>
    <s v="Q3"/>
    <s v="Sep"/>
    <s v="2010-09"/>
    <s v="N/A"/>
    <s v="Production       "/>
    <n v="0"/>
    <n v="0"/>
    <s v="Medium"/>
  </r>
  <r>
    <s v="Sullivan, Kissy "/>
    <n v="10158"/>
    <n v="1"/>
    <n v="1"/>
    <n v="0"/>
    <n v="1"/>
    <n v="5"/>
    <x v="1"/>
    <n v="0"/>
    <x v="269"/>
    <n v="0"/>
    <n v="18"/>
    <s v="Production Manager"/>
    <s v="MA"/>
    <n v="1776"/>
    <d v="1978-03-28T00:00:00"/>
    <s v="F"/>
    <s v="Married"/>
    <s v="US Citizen"/>
    <s v="No"/>
    <s v="Black or African American"/>
    <d v="2009-01-08T00:00:00"/>
    <m/>
    <s v="N/A-StillEmployed"/>
    <s v="Active"/>
    <x v="0"/>
    <s v="Janet King"/>
    <n v="2"/>
    <s v="Indeed"/>
    <x v="1"/>
    <x v="54"/>
    <n v="4"/>
    <n v="0"/>
    <s v="1/24/2019"/>
    <n v="0"/>
    <n v="12"/>
    <s v="Normal"/>
    <s v="low Outlier"/>
    <n v="48"/>
    <n v="17"/>
    <n v="17"/>
    <s v="10+ Years"/>
    <s v="46-55"/>
    <s v="Mid (40-70K)"/>
    <n v="1"/>
    <x v="6"/>
    <n v="1"/>
    <s v="Q1"/>
    <s v="Jan"/>
    <s v="2009-01"/>
    <s v="N/A"/>
    <s v="Production       "/>
    <n v="25"/>
    <n v="0"/>
    <s v="Medium"/>
  </r>
  <r>
    <s v="Sullivan, Timothy"/>
    <n v="10117"/>
    <n v="1"/>
    <n v="1"/>
    <n v="1"/>
    <n v="1"/>
    <n v="5"/>
    <x v="1"/>
    <n v="0"/>
    <x v="270"/>
    <n v="0"/>
    <n v="19"/>
    <s v="Production Technician I"/>
    <s v="MA"/>
    <n v="2747"/>
    <d v="1982-10-07T00:00:00"/>
    <s v="M "/>
    <s v="Married"/>
    <s v="US Citizen"/>
    <s v="Yes"/>
    <s v="White"/>
    <d v="2015-01-05T00:00:00"/>
    <m/>
    <s v="N/A-StillEmployed"/>
    <s v="Active"/>
    <x v="0"/>
    <s v="Michael Albert"/>
    <n v="22"/>
    <s v="Google Search"/>
    <x v="1"/>
    <x v="98"/>
    <n v="5"/>
    <n v="0"/>
    <s v="1/24/2019"/>
    <n v="0"/>
    <n v="10"/>
    <s v="Normal"/>
    <s v="low Outlier"/>
    <n v="43"/>
    <n v="11"/>
    <n v="11"/>
    <s v="10+ Years"/>
    <s v="36-45"/>
    <s v="Mid (40-70K)"/>
    <n v="1"/>
    <x v="1"/>
    <n v="1"/>
    <s v="Q1"/>
    <s v="Jan"/>
    <s v="2015-01"/>
    <s v="N/A"/>
    <s v="Production       "/>
    <n v="0"/>
    <n v="0"/>
    <s v="Medium"/>
  </r>
  <r>
    <s v="Sutwell, Barbara"/>
    <n v="10209"/>
    <n v="0"/>
    <n v="0"/>
    <n v="0"/>
    <n v="1"/>
    <n v="5"/>
    <x v="1"/>
    <n v="0"/>
    <x v="271"/>
    <n v="0"/>
    <n v="19"/>
    <s v="Production Technician I"/>
    <s v="MA"/>
    <n v="2718"/>
    <d v="1968-08-15T00:00:00"/>
    <s v="F"/>
    <s v="Single"/>
    <s v="Eligible NonCitizen"/>
    <s v="No"/>
    <s v="Asian"/>
    <d v="2012-05-14T00:00:00"/>
    <m/>
    <s v="N/A-StillEmployed"/>
    <s v="Active"/>
    <x v="0"/>
    <s v="Elijiah Gray"/>
    <n v="16"/>
    <s v="Indeed"/>
    <x v="1"/>
    <x v="42"/>
    <n v="5"/>
    <n v="0"/>
    <s v="1/31/2019"/>
    <n v="0"/>
    <n v="13"/>
    <s v="Normal"/>
    <s v="low Outlier"/>
    <n v="57"/>
    <n v="13"/>
    <n v="13"/>
    <s v="10+ Years"/>
    <s v="55+"/>
    <s v="Mid (40-70K)"/>
    <n v="1"/>
    <x v="3"/>
    <n v="5"/>
    <s v="Q2"/>
    <s v="May"/>
    <s v="2012-05"/>
    <s v="N/A"/>
    <s v="Production       "/>
    <n v="66.666666666666657"/>
    <n v="0"/>
    <s v="Medium"/>
  </r>
  <r>
    <s v="Szabo, Andrew"/>
    <n v="10024"/>
    <n v="0"/>
    <n v="0"/>
    <n v="1"/>
    <n v="1"/>
    <n v="4"/>
    <x v="0"/>
    <n v="0"/>
    <x v="272"/>
    <n v="0"/>
    <n v="24"/>
    <s v="Software Engineer"/>
    <s v="MA"/>
    <n v="2140"/>
    <d v="1983-05-06T00:00:00"/>
    <s v="M "/>
    <s v="Single"/>
    <s v="US Citizen"/>
    <s v="No"/>
    <s v="White"/>
    <d v="2014-07-07T00:00:00"/>
    <m/>
    <s v="N/A-StillEmployed"/>
    <s v="Active"/>
    <x v="2"/>
    <s v="Alex Sweetwater"/>
    <n v="10"/>
    <s v="LinkedIn"/>
    <x v="0"/>
    <x v="10"/>
    <n v="5"/>
    <n v="5"/>
    <s v="2/18/2019"/>
    <n v="0"/>
    <n v="1"/>
    <s v="Normal"/>
    <s v="low Outlier"/>
    <n v="42"/>
    <n v="11"/>
    <n v="11"/>
    <s v="10+ Years"/>
    <s v="36-45"/>
    <s v="Senior (70-100K)"/>
    <n v="1"/>
    <x v="4"/>
    <n v="7"/>
    <s v="Q3"/>
    <s v="Jul"/>
    <s v="2014-07"/>
    <s v="N/A"/>
    <s v="Production       "/>
    <n v="50"/>
    <n v="0"/>
    <s v="Low"/>
  </r>
  <r>
    <s v="Tannen, Biff"/>
    <n v="10173"/>
    <n v="1"/>
    <n v="1"/>
    <n v="1"/>
    <n v="1"/>
    <n v="3"/>
    <x v="1"/>
    <n v="0"/>
    <x v="273"/>
    <n v="0"/>
    <n v="4"/>
    <s v="BI Developer"/>
    <s v="MA"/>
    <n v="2134"/>
    <d v="1987-10-24T00:00:00"/>
    <s v="M "/>
    <s v="Married"/>
    <s v="US Citizen"/>
    <s v="No"/>
    <s v="White"/>
    <d v="2017-04-20T00:00:00"/>
    <m/>
    <s v="N/A-StillEmployed"/>
    <s v="Active"/>
    <x v="1"/>
    <s v="Brian Champaigne"/>
    <n v="13"/>
    <s v="Indeed"/>
    <x v="1"/>
    <x v="42"/>
    <n v="3"/>
    <n v="6"/>
    <s v="1/2/2019"/>
    <n v="0"/>
    <n v="14"/>
    <s v="Normal"/>
    <s v="low Outlier"/>
    <n v="38"/>
    <n v="8"/>
    <n v="8"/>
    <s v="5-10 Years"/>
    <s v="36-45"/>
    <s v="Senior (70-100K)"/>
    <n v="1"/>
    <x v="10"/>
    <n v="4"/>
    <s v="Q2"/>
    <s v="Apr"/>
    <s v="2017-04"/>
    <s v="N/A"/>
    <s v="Production       "/>
    <n v="0"/>
    <n v="0"/>
    <s v="Medium"/>
  </r>
  <r>
    <s v="Tavares, Desiree  "/>
    <n v="10221"/>
    <n v="1"/>
    <n v="1"/>
    <n v="0"/>
    <n v="5"/>
    <n v="5"/>
    <x v="1"/>
    <n v="1"/>
    <x v="274"/>
    <n v="1"/>
    <n v="19"/>
    <s v="Production Technician I"/>
    <s v="MA"/>
    <n v="1801"/>
    <d v="1975-04-03T00:00:00"/>
    <s v="F"/>
    <s v="Married"/>
    <s v="Non-Citizen"/>
    <s v="No"/>
    <s v="Black or African American"/>
    <d v="2009-04-27T00:00:00"/>
    <d v="2013-04-01T00:00:00"/>
    <s v="Another position"/>
    <s v="Voluntarily Terminated"/>
    <x v="0"/>
    <s v="Webster Butler"/>
    <n v="39"/>
    <s v="Diversity Job Fair"/>
    <x v="1"/>
    <x v="10"/>
    <n v="5"/>
    <n v="0"/>
    <s v="2/15/2012"/>
    <n v="0"/>
    <n v="11"/>
    <s v="Normal"/>
    <s v="low Outlier"/>
    <n v="50"/>
    <n v="16"/>
    <n v="3"/>
    <s v="10+ Years"/>
    <s v="46-55"/>
    <s v="Mid (40-70K)"/>
    <n v="0"/>
    <x v="6"/>
    <n v="4"/>
    <s v="Q2"/>
    <s v="Apr"/>
    <s v="2009-04"/>
    <n v="2013"/>
    <s v="Production       "/>
    <n v="100"/>
    <n v="5"/>
    <s v="Medium"/>
  </r>
  <r>
    <s v="Tejeda, Lenora "/>
    <n v="10146"/>
    <n v="1"/>
    <n v="1"/>
    <n v="0"/>
    <n v="5"/>
    <n v="5"/>
    <x v="1"/>
    <n v="0"/>
    <x v="275"/>
    <n v="1"/>
    <n v="20"/>
    <s v="Production Technician II"/>
    <s v="MA"/>
    <n v="2129"/>
    <d v="1953-05-24T00:00:00"/>
    <s v="F"/>
    <s v="Married"/>
    <s v="US Citizen"/>
    <s v="No"/>
    <s v="White"/>
    <d v="2011-05-16T00:00:00"/>
    <d v="2017-07-08T00:00:00"/>
    <s v="Another position"/>
    <s v="Voluntarily Terminated"/>
    <x v="0"/>
    <s v="Elijiah Gray"/>
    <n v="16"/>
    <s v="Google Search"/>
    <x v="1"/>
    <x v="82"/>
    <n v="3"/>
    <n v="0"/>
    <s v="4/18/2017"/>
    <n v="0"/>
    <n v="3"/>
    <s v="Normal"/>
    <s v="low Outlier"/>
    <n v="72"/>
    <n v="14"/>
    <n v="6"/>
    <s v="10+ Years"/>
    <s v="55+"/>
    <s v="Senior (70-100K)"/>
    <n v="0"/>
    <x v="0"/>
    <n v="5"/>
    <s v="Q2"/>
    <s v="May"/>
    <s v="2011-05"/>
    <n v="2017"/>
    <s v="Production       "/>
    <n v="100"/>
    <n v="4"/>
    <s v="Medium"/>
  </r>
  <r>
    <s v="Terry, Sharlene "/>
    <n v="10161"/>
    <n v="0"/>
    <n v="0"/>
    <n v="0"/>
    <n v="1"/>
    <n v="6"/>
    <x v="1"/>
    <n v="0"/>
    <x v="276"/>
    <n v="0"/>
    <n v="3"/>
    <s v="Area Sales Manager"/>
    <s v="OR"/>
    <n v="97756"/>
    <d v="1965-05-07T00:00:00"/>
    <s v="F"/>
    <s v="Single"/>
    <s v="US Citizen"/>
    <s v="No"/>
    <s v="Black or African American"/>
    <d v="2014-09-29T00:00:00"/>
    <m/>
    <s v="N/A-StillEmployed"/>
    <s v="Active"/>
    <x v="4"/>
    <s v="Lynn Daneault"/>
    <n v="21"/>
    <s v="Indeed"/>
    <x v="1"/>
    <x v="99"/>
    <n v="3"/>
    <n v="0"/>
    <s v="1/28/2019"/>
    <n v="0"/>
    <n v="18"/>
    <s v="Normal"/>
    <s v="low Outlier"/>
    <n v="60"/>
    <n v="11"/>
    <n v="11"/>
    <s v="10+ Years"/>
    <s v="55+"/>
    <s v="Mid (40-70K)"/>
    <n v="1"/>
    <x v="4"/>
    <n v="9"/>
    <s v="Q3"/>
    <s v="Sep"/>
    <s v="2014-09"/>
    <s v="N/A"/>
    <s v="Production       "/>
    <n v="0"/>
    <n v="0"/>
    <s v="Medium"/>
  </r>
  <r>
    <s v="Theamstern, Sophia"/>
    <n v="10141"/>
    <n v="0"/>
    <n v="0"/>
    <n v="0"/>
    <n v="5"/>
    <n v="5"/>
    <x v="1"/>
    <n v="0"/>
    <x v="277"/>
    <n v="1"/>
    <n v="19"/>
    <s v="Production Technician I"/>
    <s v="MA"/>
    <n v="2066"/>
    <d v="1965-05-09T00:00:00"/>
    <s v="F"/>
    <s v="Single"/>
    <s v="US Citizen"/>
    <s v="No"/>
    <s v="White"/>
    <d v="2011-07-05T00:00:00"/>
    <d v="2016-09-05T00:00:00"/>
    <s v="return to school"/>
    <s v="Voluntarily Terminated"/>
    <x v="0"/>
    <s v="Amy Dunn"/>
    <n v="11"/>
    <s v="Indeed"/>
    <x v="1"/>
    <x v="97"/>
    <n v="4"/>
    <n v="0"/>
    <s v="3/2/2016"/>
    <n v="0"/>
    <n v="1"/>
    <s v="Normal"/>
    <s v="low Outlier"/>
    <n v="60"/>
    <n v="14"/>
    <n v="5"/>
    <s v="10+ Years"/>
    <s v="55+"/>
    <s v="Mid (40-70K)"/>
    <n v="0"/>
    <x v="0"/>
    <n v="7"/>
    <s v="Q3"/>
    <s v="Jul"/>
    <s v="2011-07"/>
    <n v="2016"/>
    <s v="Production       "/>
    <n v="100"/>
    <n v="1"/>
    <s v="Medium"/>
  </r>
  <r>
    <s v="Thibaud, Kenneth"/>
    <n v="10268"/>
    <n v="0"/>
    <n v="4"/>
    <n v="1"/>
    <n v="5"/>
    <n v="5"/>
    <x v="1"/>
    <n v="0"/>
    <x v="278"/>
    <n v="1"/>
    <n v="20"/>
    <s v="Production Technician II"/>
    <s v="MA"/>
    <n v="2472"/>
    <d v="1975-09-16T00:00:00"/>
    <s v="M "/>
    <s v="Widowed"/>
    <s v="US Citizen"/>
    <s v="No"/>
    <s v="White"/>
    <d v="2007-06-25T00:00:00"/>
    <d v="2010-08-30T00:00:00"/>
    <s v="military"/>
    <s v="Voluntarily Terminated"/>
    <x v="0"/>
    <s v="Webster Butler"/>
    <n v="39"/>
    <s v="Other"/>
    <x v="1"/>
    <x v="28"/>
    <n v="4"/>
    <n v="0"/>
    <s v="7/14/2010"/>
    <n v="0"/>
    <n v="15"/>
    <s v="Normal"/>
    <s v="low Outlier"/>
    <n v="50"/>
    <n v="18"/>
    <n v="3"/>
    <s v="10+ Years"/>
    <s v="46-55"/>
    <s v="Mid (40-70K)"/>
    <n v="0"/>
    <x v="11"/>
    <n v="6"/>
    <s v="Q2"/>
    <s v="Jun"/>
    <s v="2007-06"/>
    <n v="2010"/>
    <s v="Production       "/>
    <n v="100"/>
    <n v="1"/>
    <s v="Medium"/>
  </r>
  <r>
    <s v="Tippett, Jeanette"/>
    <n v="10123"/>
    <n v="0"/>
    <n v="2"/>
    <n v="0"/>
    <n v="1"/>
    <n v="5"/>
    <x v="1"/>
    <n v="0"/>
    <x v="279"/>
    <n v="0"/>
    <n v="19"/>
    <s v="Production Technician I"/>
    <s v="MA"/>
    <n v="2093"/>
    <d v="1967-06-05T00:00:00"/>
    <s v="F"/>
    <s v="Divorced"/>
    <s v="US Citizen"/>
    <s v="No"/>
    <s v="Black or African American"/>
    <d v="2013-02-18T00:00:00"/>
    <m/>
    <s v="N/A-StillEmployed"/>
    <s v="Active"/>
    <x v="0"/>
    <s v="Brannon Miller"/>
    <n v="12"/>
    <s v="Indeed"/>
    <x v="1"/>
    <x v="109"/>
    <n v="5"/>
    <n v="0"/>
    <s v="1/14/2019"/>
    <n v="0"/>
    <n v="4"/>
    <s v="Normal"/>
    <s v="low Outlier"/>
    <n v="58"/>
    <n v="13"/>
    <n v="13"/>
    <s v="10+ Years"/>
    <s v="55+"/>
    <s v="Mid (40-70K)"/>
    <n v="1"/>
    <x v="5"/>
    <n v="2"/>
    <s v="Q1"/>
    <s v="Feb"/>
    <s v="2013-02"/>
    <s v="N/A"/>
    <s v="Production       "/>
    <n v="66.666666666666657"/>
    <n v="0"/>
    <s v="Medium"/>
  </r>
  <r>
    <s v="Torrence, Jack"/>
    <n v="10013"/>
    <n v="0"/>
    <n v="3"/>
    <n v="1"/>
    <n v="1"/>
    <n v="6"/>
    <x v="0"/>
    <n v="0"/>
    <x v="280"/>
    <n v="0"/>
    <n v="3"/>
    <s v="Area Sales Manager"/>
    <s v="ND"/>
    <n v="58782"/>
    <d v="1968-01-15T00:00:00"/>
    <s v="M "/>
    <s v="Separated"/>
    <s v="US Citizen"/>
    <s v="No"/>
    <s v="White"/>
    <d v="2006-01-09T00:00:00"/>
    <m/>
    <s v="N/A-StillEmployed"/>
    <s v="Active"/>
    <x v="4"/>
    <s v="Lynn Daneault"/>
    <n v="21"/>
    <s v="Indeed"/>
    <x v="0"/>
    <x v="28"/>
    <n v="3"/>
    <n v="0"/>
    <s v="1/4/2019"/>
    <n v="0"/>
    <n v="6"/>
    <s v="Normal"/>
    <s v="low Outlier"/>
    <n v="58"/>
    <n v="20"/>
    <n v="20"/>
    <s v="10+ Years"/>
    <s v="55+"/>
    <s v="Mid (40-70K)"/>
    <n v="1"/>
    <x v="12"/>
    <n v="1"/>
    <s v="Q1"/>
    <s v="Jan"/>
    <s v="2006-01"/>
    <s v="N/A"/>
    <s v="Production       "/>
    <n v="0"/>
    <n v="0"/>
    <s v="Low"/>
  </r>
  <r>
    <s v="Trang, Mei"/>
    <n v="10287"/>
    <n v="0"/>
    <n v="0"/>
    <n v="0"/>
    <n v="1"/>
    <n v="5"/>
    <x v="2"/>
    <n v="0"/>
    <x v="270"/>
    <n v="0"/>
    <n v="19"/>
    <s v="Production Technician I"/>
    <s v="MA"/>
    <n v="2021"/>
    <d v="1983-05-16T00:00:00"/>
    <s v="F"/>
    <s v="Single"/>
    <s v="US Citizen"/>
    <s v="No"/>
    <s v="White"/>
    <d v="2014-02-17T00:00:00"/>
    <m/>
    <s v="N/A-StillEmployed"/>
    <s v="Active"/>
    <x v="0"/>
    <s v="David Stanley"/>
    <n v="14"/>
    <s v="LinkedIn"/>
    <x v="2"/>
    <x v="110"/>
    <n v="5"/>
    <n v="0"/>
    <s v="2/11/2019"/>
    <n v="4"/>
    <n v="18"/>
    <s v="Normal"/>
    <s v="low Outlier"/>
    <n v="42"/>
    <n v="12"/>
    <n v="12"/>
    <s v="10+ Years"/>
    <s v="36-45"/>
    <s v="Mid (40-70K)"/>
    <n v="1"/>
    <x v="4"/>
    <n v="2"/>
    <s v="Q1"/>
    <s v="Feb"/>
    <s v="2014-02"/>
    <s v="N/A"/>
    <s v="Production       "/>
    <n v="0"/>
    <n v="0"/>
    <s v="High"/>
  </r>
  <r>
    <s v="Tredinnick, Neville "/>
    <n v="10044"/>
    <n v="1"/>
    <n v="1"/>
    <n v="1"/>
    <n v="5"/>
    <n v="3"/>
    <x v="1"/>
    <n v="0"/>
    <x v="281"/>
    <n v="1"/>
    <n v="15"/>
    <s v="Network Engineer"/>
    <s v="MA"/>
    <n v="1420"/>
    <d v="1988-05-05T00:00:00"/>
    <s v="M "/>
    <s v="Married"/>
    <s v="US Citizen"/>
    <s v="No"/>
    <s v="White"/>
    <d v="2015-01-05T00:00:00"/>
    <d v="2016-02-12T00:00:00"/>
    <s v="medical issues"/>
    <s v="Voluntarily Terminated"/>
    <x v="1"/>
    <s v="Peter Monroe"/>
    <n v="7"/>
    <s v="CareerBuilder"/>
    <x v="1"/>
    <x v="4"/>
    <n v="3"/>
    <n v="5"/>
    <s v="4/15/2015"/>
    <n v="0"/>
    <n v="11"/>
    <s v="Normal"/>
    <s v="low Outlier"/>
    <n v="37"/>
    <n v="11"/>
    <n v="1"/>
    <s v="10+ Years"/>
    <s v="36-45"/>
    <s v="Senior (70-100K)"/>
    <n v="0"/>
    <x v="1"/>
    <n v="1"/>
    <s v="Q1"/>
    <s v="Jan"/>
    <s v="2015-01"/>
    <n v="2016"/>
    <s v="Production       "/>
    <n v="33.333333333333329"/>
    <n v="2"/>
    <s v="Medium"/>
  </r>
  <r>
    <s v="True, Edward"/>
    <n v="10102"/>
    <n v="0"/>
    <n v="0"/>
    <n v="1"/>
    <n v="5"/>
    <n v="4"/>
    <x v="1"/>
    <n v="1"/>
    <x v="282"/>
    <n v="1"/>
    <n v="24"/>
    <s v="Software Engineer"/>
    <s v="MA"/>
    <n v="2451"/>
    <d v="1983-06-14T00:00:00"/>
    <s v="M "/>
    <s v="Single"/>
    <s v="Non-Citizen"/>
    <s v="No"/>
    <s v="Black or African American"/>
    <d v="2013-02-18T00:00:00"/>
    <d v="2018-04-15T00:00:00"/>
    <s v="medical issues"/>
    <s v="Voluntarily Terminated"/>
    <x v="2"/>
    <s v="Alex Sweetwater"/>
    <n v="10"/>
    <s v="Diversity Job Fair"/>
    <x v="1"/>
    <x v="0"/>
    <n v="3"/>
    <n v="4"/>
    <s v="2/12/2017"/>
    <n v="0"/>
    <n v="9"/>
    <s v="Normal"/>
    <s v="low Outlier"/>
    <n v="42"/>
    <n v="13"/>
    <n v="5"/>
    <s v="10+ Years"/>
    <s v="36-45"/>
    <s v="Executive (100K+)"/>
    <n v="0"/>
    <x v="5"/>
    <n v="2"/>
    <s v="Q1"/>
    <s v="Feb"/>
    <s v="2013-02"/>
    <n v="2018"/>
    <s v="Production       "/>
    <n v="100"/>
    <n v="1"/>
    <s v="Medium"/>
  </r>
  <r>
    <s v="Trzeciak, Cybil"/>
    <n v="10270"/>
    <n v="0"/>
    <n v="0"/>
    <n v="0"/>
    <n v="5"/>
    <n v="5"/>
    <x v="1"/>
    <n v="0"/>
    <x v="283"/>
    <n v="1"/>
    <n v="20"/>
    <s v="Production Technician II"/>
    <s v="MA"/>
    <n v="1778"/>
    <d v="1985-03-15T00:00:00"/>
    <s v="F"/>
    <s v="Single"/>
    <s v="US Citizen"/>
    <s v="No"/>
    <s v="White"/>
    <d v="2011-01-10T00:00:00"/>
    <d v="2014-07-02T00:00:00"/>
    <s v="unhappy"/>
    <s v="Voluntarily Terminated"/>
    <x v="0"/>
    <s v="Amy Dunn"/>
    <n v="11"/>
    <s v="LinkedIn"/>
    <x v="1"/>
    <x v="9"/>
    <n v="3"/>
    <n v="0"/>
    <s v="1/5/2014"/>
    <n v="0"/>
    <n v="5"/>
    <s v="Normal"/>
    <s v="low Outlier"/>
    <n v="41"/>
    <n v="15"/>
    <n v="3"/>
    <s v="10+ Years"/>
    <s v="36-45"/>
    <s v="Senior (70-100K)"/>
    <n v="0"/>
    <x v="0"/>
    <n v="1"/>
    <s v="Q1"/>
    <s v="Jan"/>
    <s v="2011-01"/>
    <n v="2014"/>
    <s v="Production       "/>
    <n v="100"/>
    <n v="2"/>
    <s v="Medium"/>
  </r>
  <r>
    <s v="Turpin, Jumil"/>
    <n v="10045"/>
    <n v="1"/>
    <n v="1"/>
    <n v="1"/>
    <n v="1"/>
    <n v="3"/>
    <x v="1"/>
    <n v="0"/>
    <x v="284"/>
    <n v="0"/>
    <n v="15"/>
    <s v="Network Engineer"/>
    <s v="MA"/>
    <n v="2343"/>
    <d v="1969-03-31T00:00:00"/>
    <s v="M "/>
    <s v="Married"/>
    <s v="Eligible NonCitizen"/>
    <s v="No"/>
    <s v="White"/>
    <d v="2015-03-30T00:00:00"/>
    <m/>
    <s v="N/A-StillEmployed"/>
    <s v="Active"/>
    <x v="1"/>
    <s v="Peter Monroe"/>
    <n v="7"/>
    <s v="Employee Referral"/>
    <x v="1"/>
    <x v="4"/>
    <n v="4"/>
    <n v="7"/>
    <s v="1/14/2019"/>
    <n v="0"/>
    <n v="8"/>
    <s v="Normal"/>
    <s v="low Outlier"/>
    <n v="57"/>
    <n v="11"/>
    <n v="11"/>
    <s v="10+ Years"/>
    <s v="55+"/>
    <s v="Senior (70-100K)"/>
    <n v="1"/>
    <x v="1"/>
    <n v="3"/>
    <s v="Q1"/>
    <s v="Mar"/>
    <s v="2015-03"/>
    <s v="N/A"/>
    <s v="Production       "/>
    <n v="0"/>
    <n v="0"/>
    <s v="Medium"/>
  </r>
  <r>
    <s v="Valentin,Jackie"/>
    <n v="10205"/>
    <n v="1"/>
    <n v="1"/>
    <n v="0"/>
    <n v="1"/>
    <n v="6"/>
    <x v="1"/>
    <n v="0"/>
    <x v="285"/>
    <n v="0"/>
    <n v="3"/>
    <s v="Area Sales Manager"/>
    <s v="AZ"/>
    <n v="85006"/>
    <d v="1991-05-23T00:00:00"/>
    <s v="F"/>
    <s v="Married"/>
    <s v="US Citizen"/>
    <s v="No"/>
    <s v="Two or more races"/>
    <d v="2011-07-05T00:00:00"/>
    <m/>
    <s v="N/A-StillEmployed"/>
    <s v="Active"/>
    <x v="4"/>
    <s v="John Smith"/>
    <n v="17"/>
    <s v="Indeed"/>
    <x v="1"/>
    <x v="111"/>
    <n v="3"/>
    <n v="0"/>
    <s v="1/17/2019"/>
    <n v="0"/>
    <n v="16"/>
    <s v="Normal"/>
    <s v="low Outlier"/>
    <n v="34"/>
    <n v="14"/>
    <n v="14"/>
    <s v="10+ Years"/>
    <s v="26-35"/>
    <s v="Mid (40-70K)"/>
    <n v="1"/>
    <x v="0"/>
    <n v="7"/>
    <s v="Q3"/>
    <s v="Jul"/>
    <s v="2011-07"/>
    <s v="N/A"/>
    <s v="Production       "/>
    <n v="0"/>
    <n v="0"/>
    <s v="Medium"/>
  </r>
  <r>
    <s v="Veera, Abdellah "/>
    <n v="10014"/>
    <n v="0"/>
    <n v="2"/>
    <n v="1"/>
    <n v="5"/>
    <n v="5"/>
    <x v="0"/>
    <n v="0"/>
    <x v="286"/>
    <n v="1"/>
    <n v="19"/>
    <s v="Production Technician I"/>
    <s v="MA"/>
    <n v="2171"/>
    <d v="1987-01-31T00:00:00"/>
    <s v="M "/>
    <s v="Divorced"/>
    <s v="US Citizen"/>
    <s v="No"/>
    <s v="White"/>
    <d v="2012-08-13T00:00:00"/>
    <d v="2016-02-05T00:00:00"/>
    <s v="maternity leave - did not return"/>
    <s v="Voluntarily Terminated"/>
    <x v="0"/>
    <s v="Kissy Sullivan"/>
    <n v="20"/>
    <s v="LinkedIn"/>
    <x v="0"/>
    <x v="10"/>
    <n v="5"/>
    <n v="0"/>
    <s v="2/1/2016"/>
    <n v="0"/>
    <n v="15"/>
    <s v="Normal"/>
    <s v="low Outlier"/>
    <n v="39"/>
    <n v="13"/>
    <n v="3"/>
    <s v="10+ Years"/>
    <s v="36-45"/>
    <s v="Mid (40-70K)"/>
    <n v="0"/>
    <x v="3"/>
    <n v="8"/>
    <s v="Q3"/>
    <s v="Aug"/>
    <s v="2012-08"/>
    <n v="2016"/>
    <s v="Production       "/>
    <n v="50"/>
    <n v="1"/>
    <s v="Low"/>
  </r>
  <r>
    <s v="Vega, Vincent"/>
    <n v="10144"/>
    <n v="0"/>
    <n v="2"/>
    <n v="1"/>
    <n v="1"/>
    <n v="5"/>
    <x v="1"/>
    <n v="0"/>
    <x v="287"/>
    <n v="0"/>
    <n v="17"/>
    <s v="Production Manager"/>
    <s v="MA"/>
    <n v="2169"/>
    <d v="1968-10-10T00:00:00"/>
    <s v="M "/>
    <s v="Divorced"/>
    <s v="US Citizen"/>
    <s v="No"/>
    <s v="White"/>
    <d v="2011-08-01T00:00:00"/>
    <m/>
    <s v="N/A-StillEmployed"/>
    <s v="Active"/>
    <x v="0"/>
    <s v="Janet King"/>
    <n v="2"/>
    <s v="Employee Referral"/>
    <x v="1"/>
    <x v="82"/>
    <n v="3"/>
    <n v="0"/>
    <s v="2/27/2019"/>
    <n v="0"/>
    <n v="19"/>
    <s v="Normal"/>
    <s v="low Outlier"/>
    <n v="57"/>
    <n v="14"/>
    <n v="14"/>
    <s v="10+ Years"/>
    <s v="55+"/>
    <s v="Senior (70-100K)"/>
    <n v="1"/>
    <x v="0"/>
    <n v="8"/>
    <s v="Q3"/>
    <s v="Aug"/>
    <s v="2011-08"/>
    <s v="N/A"/>
    <s v="Production       "/>
    <n v="33.333333333333329"/>
    <n v="0"/>
    <s v="Medium"/>
  </r>
  <r>
    <s v="Villanueva, Noah"/>
    <n v="10253"/>
    <n v="0"/>
    <n v="0"/>
    <n v="1"/>
    <n v="1"/>
    <n v="6"/>
    <x v="1"/>
    <n v="0"/>
    <x v="288"/>
    <n v="0"/>
    <n v="3"/>
    <s v="Area Sales Manager"/>
    <s v="ME"/>
    <n v="4063"/>
    <d v="1989-07-11T00:00:00"/>
    <s v="M "/>
    <s v="Single"/>
    <s v="US Citizen"/>
    <s v="No"/>
    <s v="Asian"/>
    <d v="2012-03-05T00:00:00"/>
    <m/>
    <s v="N/A-StillEmployed"/>
    <s v="Active"/>
    <x v="4"/>
    <s v="John Smith"/>
    <n v="17"/>
    <s v="Website"/>
    <x v="1"/>
    <x v="10"/>
    <n v="4"/>
    <n v="0"/>
    <s v="1/18/2019"/>
    <n v="0"/>
    <n v="11"/>
    <s v="Normal"/>
    <s v="low Outlier"/>
    <n v="36"/>
    <n v="14"/>
    <n v="14"/>
    <s v="10+ Years"/>
    <s v="36-45"/>
    <s v="Mid (40-70K)"/>
    <n v="1"/>
    <x v="3"/>
    <n v="3"/>
    <s v="Q1"/>
    <s v="Mar"/>
    <s v="2012-03"/>
    <s v="N/A"/>
    <s v="Production       "/>
    <n v="0"/>
    <n v="0"/>
    <s v="Medium"/>
  </r>
  <r>
    <s v="Voldemort, Lord"/>
    <n v="10118"/>
    <n v="1"/>
    <n v="1"/>
    <n v="1"/>
    <n v="4"/>
    <n v="3"/>
    <x v="1"/>
    <n v="0"/>
    <x v="289"/>
    <n v="1"/>
    <n v="8"/>
    <s v="Database Administrator"/>
    <s v="MA"/>
    <n v="1960"/>
    <d v="1986-08-07T00:00:00"/>
    <s v="M "/>
    <s v="Married"/>
    <s v="US Citizen"/>
    <s v="No"/>
    <s v="Black or African American"/>
    <d v="2015-02-16T00:00:00"/>
    <d v="2017-02-22T00:00:00"/>
    <s v="no-call, no-show"/>
    <s v="Terminated for Cause"/>
    <x v="1"/>
    <s v="Simon Roup"/>
    <n v="4"/>
    <s v="Employee Referral"/>
    <x v="1"/>
    <x v="112"/>
    <n v="3"/>
    <n v="7"/>
    <s v="2/15/2017"/>
    <n v="0"/>
    <n v="9"/>
    <s v="Normal"/>
    <s v="low Outlier"/>
    <n v="39"/>
    <n v="11"/>
    <n v="2"/>
    <s v="10+ Years"/>
    <s v="36-45"/>
    <s v="Executive (100K+)"/>
    <n v="0"/>
    <x v="1"/>
    <n v="2"/>
    <s v="Q1"/>
    <s v="Feb"/>
    <s v="2015-02"/>
    <n v="2017"/>
    <s v="Production       "/>
    <n v="50"/>
    <n v="1"/>
    <s v="Medium"/>
  </r>
  <r>
    <s v="Volk, Colleen"/>
    <n v="10022"/>
    <n v="1"/>
    <n v="1"/>
    <n v="0"/>
    <n v="4"/>
    <n v="5"/>
    <x v="0"/>
    <n v="0"/>
    <x v="290"/>
    <n v="1"/>
    <n v="19"/>
    <s v="Production Technician I"/>
    <s v="MA"/>
    <n v="2747"/>
    <d v="1986-06-03T00:00:00"/>
    <s v="F"/>
    <s v="Married"/>
    <s v="US Citizen"/>
    <s v="No"/>
    <s v="White"/>
    <d v="2011-09-26T00:00:00"/>
    <d v="2016-02-08T00:00:00"/>
    <s v="gross misconduct"/>
    <s v="Terminated for Cause"/>
    <x v="0"/>
    <s v="Kelley Spirea"/>
    <n v="18"/>
    <s v="Google Search"/>
    <x v="0"/>
    <x v="25"/>
    <n v="5"/>
    <n v="0"/>
    <s v="2/1/2015"/>
    <n v="0"/>
    <n v="18"/>
    <s v="Normal"/>
    <s v="low Outlier"/>
    <n v="39"/>
    <n v="14"/>
    <n v="4"/>
    <s v="10+ Years"/>
    <s v="36-45"/>
    <s v="Mid (40-70K)"/>
    <n v="0"/>
    <x v="0"/>
    <n v="9"/>
    <s v="Q3"/>
    <s v="Sep"/>
    <s v="2011-09"/>
    <n v="2016"/>
    <s v="Production       "/>
    <n v="100"/>
    <n v="1"/>
    <s v="Low"/>
  </r>
  <r>
    <s v="Von Massenbach, Anna"/>
    <n v="10183"/>
    <n v="0"/>
    <n v="0"/>
    <n v="0"/>
    <n v="2"/>
    <n v="5"/>
    <x v="1"/>
    <n v="0"/>
    <x v="291"/>
    <n v="0"/>
    <n v="19"/>
    <s v="Production Technician I"/>
    <s v="MA"/>
    <n v="2124"/>
    <d v="1985-04-06T00:00:00"/>
    <s v="F"/>
    <s v="Single"/>
    <s v="US Citizen"/>
    <s v="No"/>
    <s v="White"/>
    <d v="2015-07-05T00:00:00"/>
    <m/>
    <s v="N/A-StillEmployed"/>
    <s v="Active"/>
    <x v="0"/>
    <s v="Michael Albert"/>
    <n v="22"/>
    <s v="LinkedIn"/>
    <x v="1"/>
    <x v="113"/>
    <n v="3"/>
    <n v="0"/>
    <s v="1/29/2019"/>
    <n v="0"/>
    <n v="7"/>
    <s v="Normal"/>
    <s v="low Outlier"/>
    <n v="40"/>
    <n v="10"/>
    <n v="10"/>
    <s v="10+ Years"/>
    <s v="36-45"/>
    <s v="Mid (40-70K)"/>
    <n v="1"/>
    <x v="1"/>
    <n v="7"/>
    <s v="Q3"/>
    <s v="Jul"/>
    <s v="2015-07"/>
    <s v="N/A"/>
    <s v="Production       "/>
    <n v="0"/>
    <n v="0"/>
    <s v="Medium"/>
  </r>
  <r>
    <s v="Walker, Roger"/>
    <n v="10190"/>
    <n v="0"/>
    <n v="0"/>
    <n v="1"/>
    <n v="1"/>
    <n v="5"/>
    <x v="1"/>
    <n v="0"/>
    <x v="292"/>
    <n v="0"/>
    <n v="20"/>
    <s v="Production Technician II"/>
    <s v="MA"/>
    <n v="2459"/>
    <d v="1976-02-10T00:00:00"/>
    <s v="M "/>
    <s v="Single"/>
    <s v="US Citizen"/>
    <s v="No"/>
    <s v="Black or African American"/>
    <d v="2014-08-18T00:00:00"/>
    <m/>
    <s v="N/A-StillEmployed"/>
    <s v="Active"/>
    <x v="0"/>
    <s v="Ketsia Liebig"/>
    <n v="19"/>
    <s v="Employee Referral"/>
    <x v="1"/>
    <x v="114"/>
    <n v="5"/>
    <n v="0"/>
    <s v="2/12/2019"/>
    <n v="0"/>
    <n v="4"/>
    <s v="Normal"/>
    <s v="low Outlier"/>
    <n v="50"/>
    <n v="11"/>
    <n v="11"/>
    <s v="10+ Years"/>
    <s v="46-55"/>
    <s v="Mid (40-70K)"/>
    <n v="1"/>
    <x v="4"/>
    <n v="8"/>
    <s v="Q3"/>
    <s v="Aug"/>
    <s v="2014-08"/>
    <s v="N/A"/>
    <s v="Production       "/>
    <n v="66.666666666666657"/>
    <n v="0"/>
    <s v="Medium"/>
  </r>
  <r>
    <s v="Wallace, Courtney  E"/>
    <n v="10274"/>
    <n v="1"/>
    <n v="1"/>
    <n v="0"/>
    <n v="5"/>
    <n v="5"/>
    <x v="1"/>
    <n v="1"/>
    <x v="293"/>
    <n v="1"/>
    <n v="18"/>
    <s v="Production Manager"/>
    <s v="MA"/>
    <n v="2478"/>
    <d v="1955-11-14T00:00:00"/>
    <s v="F"/>
    <s v="Married"/>
    <s v="US Citizen"/>
    <s v="No"/>
    <s v="Black or African American"/>
    <d v="2011-09-26T00:00:00"/>
    <d v="2012-01-02T00:00:00"/>
    <s v="Another position"/>
    <s v="Voluntarily Terminated"/>
    <x v="0"/>
    <s v="Janet King"/>
    <n v="2"/>
    <s v="Diversity Job Fair"/>
    <x v="1"/>
    <x v="10"/>
    <n v="3"/>
    <n v="0"/>
    <s v="1/2/2012"/>
    <n v="0"/>
    <n v="5"/>
    <s v="Normal"/>
    <s v="low Outlier"/>
    <n v="70"/>
    <n v="14"/>
    <n v="0"/>
    <s v="10+ Years"/>
    <s v="55+"/>
    <s v="Senior (70-100K)"/>
    <n v="0"/>
    <x v="0"/>
    <n v="9"/>
    <s v="Q3"/>
    <s v="Sep"/>
    <s v="2011-09"/>
    <n v="2012"/>
    <s v="Production       "/>
    <n v="50"/>
    <n v="3"/>
    <s v="Medium"/>
  </r>
  <r>
    <s v="Wallace, Theresa"/>
    <n v="10293"/>
    <n v="0"/>
    <n v="0"/>
    <n v="0"/>
    <n v="5"/>
    <n v="5"/>
    <x v="2"/>
    <n v="0"/>
    <x v="294"/>
    <n v="1"/>
    <n v="19"/>
    <s v="Production Technician I"/>
    <s v="MA"/>
    <n v="1887"/>
    <d v="1980-08-02T00:00:00"/>
    <s v="F"/>
    <s v="Single"/>
    <s v="US Citizen"/>
    <s v="No"/>
    <s v="White"/>
    <d v="2012-08-13T00:00:00"/>
    <d v="2015-09-01T00:00:00"/>
    <s v="career change"/>
    <s v="Voluntarily Terminated"/>
    <x v="0"/>
    <s v="Elijiah Gray"/>
    <n v="16"/>
    <s v="CareerBuilder"/>
    <x v="2"/>
    <x v="115"/>
    <n v="3"/>
    <n v="0"/>
    <s v="9/5/2014"/>
    <n v="6"/>
    <n v="13"/>
    <s v="Normal"/>
    <s v="low Outlier"/>
    <n v="45"/>
    <n v="13"/>
    <n v="3"/>
    <s v="10+ Years"/>
    <s v="36-45"/>
    <s v="Mid (40-70K)"/>
    <n v="0"/>
    <x v="3"/>
    <n v="8"/>
    <s v="Q3"/>
    <s v="Aug"/>
    <s v="2012-08"/>
    <n v="2015"/>
    <s v="Production       "/>
    <n v="100"/>
    <n v="1"/>
    <s v="High"/>
  </r>
  <r>
    <s v="Wang, Charlie"/>
    <n v="10172"/>
    <n v="0"/>
    <n v="0"/>
    <n v="1"/>
    <n v="1"/>
    <n v="3"/>
    <x v="1"/>
    <n v="0"/>
    <x v="295"/>
    <n v="0"/>
    <n v="22"/>
    <s v="Senior BI Developer"/>
    <s v="MA"/>
    <n v="1887"/>
    <d v="1981-07-08T00:00:00"/>
    <s v="M "/>
    <s v="Single"/>
    <s v="US Citizen"/>
    <s v="No"/>
    <s v="Asian"/>
    <d v="2017-02-15T00:00:00"/>
    <m/>
    <s v="N/A-StillEmployed"/>
    <s v="Active"/>
    <x v="1"/>
    <s v="Brian Champaigne"/>
    <n v="13"/>
    <s v="Indeed"/>
    <x v="1"/>
    <x v="116"/>
    <n v="4"/>
    <n v="7"/>
    <s v="1/4/2019"/>
    <n v="0"/>
    <n v="17"/>
    <s v="Normal"/>
    <s v="low Outlier"/>
    <n v="44"/>
    <n v="9"/>
    <n v="9"/>
    <s v="5-10 Years"/>
    <s v="36-45"/>
    <s v="Senior (70-100K)"/>
    <n v="1"/>
    <x v="10"/>
    <n v="2"/>
    <s v="Q1"/>
    <s v="Feb"/>
    <s v="2017-02"/>
    <s v="N/A"/>
    <s v="Production       "/>
    <n v="0"/>
    <n v="0"/>
    <s v="Medium"/>
  </r>
  <r>
    <s v="Warfield, Sarah"/>
    <n v="10127"/>
    <n v="0"/>
    <n v="4"/>
    <n v="0"/>
    <n v="1"/>
    <n v="3"/>
    <x v="1"/>
    <n v="0"/>
    <x v="296"/>
    <n v="0"/>
    <n v="28"/>
    <s v="Sr. Network Engineer"/>
    <s v="MA"/>
    <n v="2453"/>
    <d v="1978-05-02T00:00:00"/>
    <s v="F"/>
    <s v="Widowed"/>
    <s v="US Citizen"/>
    <s v="No"/>
    <s v="Asian"/>
    <d v="2015-03-30T00:00:00"/>
    <m/>
    <s v="N/A-StillEmployed"/>
    <s v="Active"/>
    <x v="1"/>
    <s v="Peter Monroe"/>
    <n v="7"/>
    <s v="Employee Referral"/>
    <x v="1"/>
    <x v="7"/>
    <n v="4"/>
    <n v="8"/>
    <s v="2/5/2019"/>
    <n v="0"/>
    <n v="7"/>
    <s v="Normal"/>
    <s v="low Outlier"/>
    <n v="47"/>
    <n v="11"/>
    <n v="11"/>
    <s v="10+ Years"/>
    <s v="46-55"/>
    <s v="Executive (100K+)"/>
    <n v="1"/>
    <x v="1"/>
    <n v="3"/>
    <s v="Q1"/>
    <s v="Mar"/>
    <s v="2015-03"/>
    <s v="N/A"/>
    <s v="Production       "/>
    <n v="0"/>
    <n v="0"/>
    <s v="Medium"/>
  </r>
  <r>
    <s v="Whittier, Scott"/>
    <n v="10072"/>
    <n v="0"/>
    <n v="0"/>
    <n v="1"/>
    <n v="5"/>
    <n v="5"/>
    <x v="1"/>
    <n v="0"/>
    <x v="297"/>
    <n v="1"/>
    <n v="19"/>
    <s v="Production Technician I"/>
    <s v="MA"/>
    <n v="2030"/>
    <d v="1987-05-24T00:00:00"/>
    <s v="M "/>
    <s v="Single"/>
    <s v="US Citizen"/>
    <s v="Yes"/>
    <s v="White"/>
    <d v="2011-01-10T00:00:00"/>
    <d v="2014-05-15T00:00:00"/>
    <s v="hours"/>
    <s v="Voluntarily Terminated"/>
    <x v="0"/>
    <s v="Webster Butler"/>
    <n v="39"/>
    <s v="LinkedIn"/>
    <x v="1"/>
    <x v="4"/>
    <n v="5"/>
    <n v="0"/>
    <s v="5/15/2014"/>
    <n v="0"/>
    <n v="11"/>
    <s v="Normal"/>
    <s v="low Outlier"/>
    <n v="38"/>
    <n v="15"/>
    <n v="3"/>
    <s v="10+ Years"/>
    <s v="36-45"/>
    <s v="Mid (40-70K)"/>
    <n v="0"/>
    <x v="0"/>
    <n v="1"/>
    <s v="Q1"/>
    <s v="Jan"/>
    <s v="2011-01"/>
    <n v="2014"/>
    <s v="Production       "/>
    <n v="100"/>
    <n v="1"/>
    <s v="Medium"/>
  </r>
  <r>
    <s v="Wilber, Barry"/>
    <n v="10048"/>
    <n v="1"/>
    <n v="1"/>
    <n v="1"/>
    <n v="5"/>
    <n v="5"/>
    <x v="1"/>
    <n v="0"/>
    <x v="298"/>
    <n v="1"/>
    <n v="19"/>
    <s v="Production Technician I"/>
    <s v="MA"/>
    <n v="2324"/>
    <d v="1965-09-09T00:00:00"/>
    <s v="M "/>
    <s v="Married"/>
    <s v="Eligible NonCitizen"/>
    <s v="No"/>
    <s v="White"/>
    <d v="2011-05-16T00:00:00"/>
    <d v="2015-09-07T00:00:00"/>
    <s v="unhappy"/>
    <s v="Voluntarily Terminated"/>
    <x v="0"/>
    <s v="Amy Dunn"/>
    <n v="11"/>
    <s v="Website"/>
    <x v="1"/>
    <x v="4"/>
    <n v="3"/>
    <n v="0"/>
    <s v="2/15/2015"/>
    <n v="0"/>
    <n v="7"/>
    <s v="Normal"/>
    <s v="low Outlier"/>
    <n v="60"/>
    <n v="14"/>
    <n v="4"/>
    <s v="10+ Years"/>
    <s v="55+"/>
    <s v="Mid (40-70K)"/>
    <n v="0"/>
    <x v="0"/>
    <n v="5"/>
    <s v="Q2"/>
    <s v="May"/>
    <s v="2011-05"/>
    <n v="2015"/>
    <s v="Production       "/>
    <n v="100"/>
    <n v="1"/>
    <s v="Medium"/>
  </r>
  <r>
    <s v="Wilkes, Annie"/>
    <n v="10204"/>
    <n v="0"/>
    <n v="2"/>
    <n v="0"/>
    <n v="5"/>
    <n v="5"/>
    <x v="1"/>
    <n v="0"/>
    <x v="299"/>
    <n v="1"/>
    <n v="19"/>
    <s v="Production Technician I"/>
    <s v="MA"/>
    <n v="1876"/>
    <d v="1983-07-30T00:00:00"/>
    <s v="F"/>
    <s v="Divorced"/>
    <s v="US Citizen"/>
    <s v="No"/>
    <s v="White"/>
    <d v="2011-01-10T00:00:00"/>
    <d v="2012-05-14T00:00:00"/>
    <s v="Another position"/>
    <s v="Voluntarily Terminated"/>
    <x v="0"/>
    <s v="Ketsia Liebig"/>
    <n v="19"/>
    <s v="Google Search"/>
    <x v="1"/>
    <x v="62"/>
    <n v="5"/>
    <n v="0"/>
    <s v="2/6/2011"/>
    <n v="0"/>
    <n v="9"/>
    <s v="Normal"/>
    <s v="low Outlier"/>
    <n v="42"/>
    <n v="15"/>
    <n v="1"/>
    <s v="10+ Years"/>
    <s v="36-45"/>
    <s v="Mid (40-70K)"/>
    <n v="0"/>
    <x v="0"/>
    <n v="1"/>
    <s v="Q1"/>
    <s v="Jan"/>
    <s v="2011-01"/>
    <n v="2012"/>
    <s v="Production       "/>
    <n v="100"/>
    <n v="2"/>
    <s v="Medium"/>
  </r>
  <r>
    <s v="Williams, Jacquelyn  "/>
    <n v="10264"/>
    <n v="0"/>
    <n v="0"/>
    <n v="0"/>
    <n v="5"/>
    <n v="5"/>
    <x v="1"/>
    <n v="1"/>
    <x v="300"/>
    <n v="1"/>
    <n v="19"/>
    <s v="Production Technician I"/>
    <s v="MA"/>
    <n v="2109"/>
    <d v="1969-10-02T00:00:00"/>
    <s v="F"/>
    <s v="Single"/>
    <s v="US Citizen"/>
    <s v="Yes"/>
    <s v="Black or African American"/>
    <d v="2012-01-09T00:00:00"/>
    <d v="2015-06-27T00:00:00"/>
    <s v="relocation out of area"/>
    <s v="Voluntarily Terminated"/>
    <x v="0"/>
    <s v="Ketsia Liebig"/>
    <n v="19"/>
    <s v="Diversity Job Fair"/>
    <x v="1"/>
    <x v="25"/>
    <n v="4"/>
    <n v="0"/>
    <s v="6/2/2014"/>
    <n v="0"/>
    <n v="16"/>
    <s v="Normal"/>
    <s v="low Outlier"/>
    <n v="56"/>
    <n v="14"/>
    <n v="3"/>
    <s v="10+ Years"/>
    <s v="55+"/>
    <s v="Mid (40-70K)"/>
    <n v="0"/>
    <x v="3"/>
    <n v="1"/>
    <s v="Q1"/>
    <s v="Jan"/>
    <s v="2012-01"/>
    <n v="2015"/>
    <s v="Production       "/>
    <n v="100"/>
    <n v="1"/>
    <s v="Medium"/>
  </r>
  <r>
    <s v="Winthrop, Jordan  "/>
    <n v="10033"/>
    <n v="0"/>
    <n v="0"/>
    <n v="1"/>
    <n v="5"/>
    <n v="5"/>
    <x v="0"/>
    <n v="0"/>
    <x v="301"/>
    <n v="1"/>
    <n v="20"/>
    <s v="Production Technician II"/>
    <s v="MA"/>
    <n v="2045"/>
    <d v="1958-11-07T00:00:00"/>
    <s v="M "/>
    <s v="Single"/>
    <s v="US Citizen"/>
    <s v="No"/>
    <s v="White"/>
    <d v="2013-01-07T00:00:00"/>
    <d v="2016-02-21T00:00:00"/>
    <s v="retiring"/>
    <s v="Voluntarily Terminated"/>
    <x v="0"/>
    <s v="Brannon Miller"/>
    <n v="12"/>
    <s v="LinkedIn"/>
    <x v="0"/>
    <x v="4"/>
    <n v="3"/>
    <n v="0"/>
    <s v="1/19/2016"/>
    <n v="0"/>
    <n v="7"/>
    <s v="Normal"/>
    <s v="low Outlier"/>
    <n v="67"/>
    <n v="13"/>
    <n v="3"/>
    <s v="10+ Years"/>
    <s v="55+"/>
    <s v="Senior (70-100K)"/>
    <n v="0"/>
    <x v="5"/>
    <n v="1"/>
    <s v="Q1"/>
    <s v="Jan"/>
    <s v="2013-01"/>
    <n v="2016"/>
    <s v="Production       "/>
    <n v="100"/>
    <n v="1"/>
    <s v="Low"/>
  </r>
  <r>
    <s v="Wolk, Hang  T"/>
    <n v="10174"/>
    <n v="0"/>
    <n v="0"/>
    <n v="0"/>
    <n v="1"/>
    <n v="5"/>
    <x v="1"/>
    <n v="0"/>
    <x v="302"/>
    <n v="0"/>
    <n v="20"/>
    <s v="Production Technician II"/>
    <s v="MA"/>
    <n v="2302"/>
    <d v="1985-04-20T00:00:00"/>
    <s v="F"/>
    <s v="Single"/>
    <s v="US Citizen"/>
    <s v="No"/>
    <s v="White"/>
    <d v="2014-09-29T00:00:00"/>
    <m/>
    <s v="N/A-StillEmployed"/>
    <s v="Active"/>
    <x v="0"/>
    <s v="David Stanley"/>
    <n v="14"/>
    <s v="LinkedIn"/>
    <x v="1"/>
    <x v="42"/>
    <n v="4"/>
    <n v="0"/>
    <s v="2/21/2019"/>
    <n v="0"/>
    <n v="14"/>
    <s v="Normal"/>
    <s v="low Outlier"/>
    <n v="40"/>
    <n v="11"/>
    <n v="11"/>
    <s v="10+ Years"/>
    <s v="36-45"/>
    <s v="Mid (40-70K)"/>
    <n v="1"/>
    <x v="4"/>
    <n v="9"/>
    <s v="Q3"/>
    <s v="Sep"/>
    <s v="2014-09"/>
    <s v="N/A"/>
    <s v="Production       "/>
    <n v="0"/>
    <n v="0"/>
    <s v="Medium"/>
  </r>
  <r>
    <s v="Woodson, Jason"/>
    <n v="10135"/>
    <n v="0"/>
    <n v="0"/>
    <n v="1"/>
    <n v="1"/>
    <n v="5"/>
    <x v="1"/>
    <n v="0"/>
    <x v="303"/>
    <n v="0"/>
    <n v="20"/>
    <s v="Production Technician II"/>
    <s v="MA"/>
    <n v="1810"/>
    <d v="1985-05-11T00:00:00"/>
    <s v="M "/>
    <s v="Single"/>
    <s v="US Citizen"/>
    <s v="No"/>
    <s v="White"/>
    <d v="2014-07-07T00:00:00"/>
    <m/>
    <s v="N/A-StillEmployed"/>
    <s v="Active"/>
    <x v="0"/>
    <s v="Kissy Sullivan"/>
    <n v="20"/>
    <s v="LinkedIn"/>
    <x v="1"/>
    <x v="117"/>
    <n v="4"/>
    <n v="0"/>
    <s v="2/28/2019"/>
    <n v="0"/>
    <n v="13"/>
    <s v="Normal"/>
    <s v="low Outlier"/>
    <n v="40"/>
    <n v="11"/>
    <n v="11"/>
    <s v="10+ Years"/>
    <s v="36-45"/>
    <s v="Mid (40-70K)"/>
    <n v="1"/>
    <x v="4"/>
    <n v="7"/>
    <s v="Q3"/>
    <s v="Jul"/>
    <s v="2014-07"/>
    <s v="N/A"/>
    <s v="Production       "/>
    <n v="0"/>
    <n v="0"/>
    <s v="Medium"/>
  </r>
  <r>
    <s v="Ybarra, Catherine "/>
    <n v="10301"/>
    <n v="0"/>
    <n v="0"/>
    <n v="0"/>
    <n v="5"/>
    <n v="5"/>
    <x v="3"/>
    <n v="0"/>
    <x v="304"/>
    <n v="1"/>
    <n v="19"/>
    <s v="Production Technician I"/>
    <s v="MA"/>
    <n v="2458"/>
    <d v="1982-05-04T00:00:00"/>
    <s v="F"/>
    <s v="Single"/>
    <s v="US Citizen"/>
    <s v="No"/>
    <s v="Asian"/>
    <d v="2008-09-02T00:00:00"/>
    <d v="2015-09-29T00:00:00"/>
    <s v="Another position"/>
    <s v="Voluntarily Terminated"/>
    <x v="0"/>
    <s v="Brannon Miller"/>
    <n v="12"/>
    <s v="Google Search"/>
    <x v="3"/>
    <x v="118"/>
    <n v="2"/>
    <n v="0"/>
    <s v="9/2/2015"/>
    <n v="5"/>
    <n v="4"/>
    <s v="Normal"/>
    <s v="low Outlier"/>
    <n v="43"/>
    <n v="17"/>
    <n v="7"/>
    <s v="10+ Years"/>
    <s v="36-45"/>
    <s v="Mid (40-70K)"/>
    <n v="0"/>
    <x v="2"/>
    <n v="9"/>
    <s v="Q3"/>
    <s v="Sep"/>
    <s v="2008-09"/>
    <n v="2015"/>
    <s v="Production       "/>
    <n v="100"/>
    <n v="1"/>
    <s v="High"/>
  </r>
  <r>
    <s v="Zamora, Jennifer"/>
    <n v="10010"/>
    <n v="0"/>
    <n v="0"/>
    <n v="0"/>
    <n v="1"/>
    <n v="3"/>
    <x v="0"/>
    <n v="0"/>
    <x v="305"/>
    <n v="0"/>
    <n v="6"/>
    <s v="CIO"/>
    <s v="MA"/>
    <n v="2067"/>
    <d v="1979-08-30T00:00:00"/>
    <s v="F"/>
    <s v="Single"/>
    <s v="US Citizen"/>
    <s v="No"/>
    <s v="White"/>
    <d v="2010-04-10T00:00:00"/>
    <m/>
    <s v="N/A-StillEmployed"/>
    <s v="Active"/>
    <x v="1"/>
    <s v="Janet King"/>
    <n v="2"/>
    <s v="Employee Referral"/>
    <x v="0"/>
    <x v="0"/>
    <n v="5"/>
    <n v="6"/>
    <s v="2/21/2019"/>
    <n v="0"/>
    <n v="16"/>
    <s v=" high Outlier"/>
    <s v="low Outlier"/>
    <n v="46"/>
    <n v="15"/>
    <n v="15"/>
    <s v="10+ Years"/>
    <s v="46-55"/>
    <s v="Executive (100K+)"/>
    <n v="1"/>
    <x v="8"/>
    <n v="4"/>
    <s v="Q2"/>
    <s v="Apr"/>
    <s v="2010-04"/>
    <s v="N/A"/>
    <s v="IT/IS"/>
    <n v="0"/>
    <n v="0"/>
    <s v="Low"/>
  </r>
  <r>
    <s v="Zhou, Julia"/>
    <n v="10043"/>
    <n v="0"/>
    <n v="0"/>
    <n v="0"/>
    <n v="1"/>
    <n v="3"/>
    <x v="1"/>
    <n v="0"/>
    <x v="306"/>
    <n v="0"/>
    <n v="9"/>
    <s v="Data Analyst"/>
    <s v="MA"/>
    <n v="2148"/>
    <d v="1979-02-24T00:00:00"/>
    <s v="F"/>
    <s v="Single"/>
    <s v="US Citizen"/>
    <s v="No"/>
    <s v="White"/>
    <d v="2015-03-30T00:00:00"/>
    <m/>
    <s v="N/A-StillEmployed"/>
    <s v="Active"/>
    <x v="1"/>
    <s v="Simon Roup"/>
    <n v="4"/>
    <s v="Employee Referral"/>
    <x v="1"/>
    <x v="4"/>
    <n v="3"/>
    <n v="5"/>
    <s v="2/1/2019"/>
    <n v="0"/>
    <n v="11"/>
    <s v="Normal"/>
    <s v="low Outlier"/>
    <n v="47"/>
    <n v="11"/>
    <n v="11"/>
    <s v="10+ Years"/>
    <s v="46-55"/>
    <s v="Senior (70-100K)"/>
    <n v="1"/>
    <x v="1"/>
    <n v="3"/>
    <s v="Q1"/>
    <s v="Mar"/>
    <s v="2015-03"/>
    <s v="N/A"/>
    <s v="IT/IS"/>
    <n v="0"/>
    <n v="0"/>
    <s v="Medium"/>
  </r>
  <r>
    <s v="Zima, Colleen"/>
    <n v="10271"/>
    <n v="0"/>
    <n v="4"/>
    <n v="0"/>
    <n v="1"/>
    <n v="5"/>
    <x v="1"/>
    <n v="0"/>
    <x v="307"/>
    <n v="0"/>
    <n v="19"/>
    <s v="Production Technician I"/>
    <s v="MA"/>
    <n v="1730"/>
    <d v="1978-08-17T00:00:00"/>
    <s v="F"/>
    <s v="Widowed"/>
    <s v="US Citizen"/>
    <s v="No"/>
    <s v="Asian"/>
    <d v="2014-09-29T00:00:00"/>
    <m/>
    <s v="N/A-StillEmployed"/>
    <s v="Active"/>
    <x v="0"/>
    <s v="David Stanley"/>
    <n v="14"/>
    <s v="LinkedIn"/>
    <x v="1"/>
    <x v="10"/>
    <n v="5"/>
    <n v="0"/>
    <s v="1/30/2019"/>
    <n v="0"/>
    <n v="2"/>
    <s v="Normal"/>
    <s v="low Outlier"/>
    <n v="47"/>
    <n v="11"/>
    <n v="11"/>
    <s v="10+ Years"/>
    <s v="46-55"/>
    <s v="Mid (40-70K)"/>
    <n v="1"/>
    <x v="4"/>
    <n v="9"/>
    <s v="Q3"/>
    <s v="Sep"/>
    <s v="2014-09"/>
    <s v="N/A"/>
    <s v="Production       "/>
    <n v="0"/>
    <n v="0"/>
    <s v="Medium"/>
  </r>
  <r>
    <m/>
    <m/>
    <m/>
    <m/>
    <m/>
    <m/>
    <m/>
    <x v="4"/>
    <m/>
    <x v="308"/>
    <m/>
    <m/>
    <m/>
    <m/>
    <m/>
    <m/>
    <m/>
    <m/>
    <m/>
    <m/>
    <m/>
    <m/>
    <m/>
    <m/>
    <m/>
    <x v="6"/>
    <m/>
    <m/>
    <m/>
    <x v="4"/>
    <x v="119"/>
    <m/>
    <m/>
    <m/>
    <m/>
    <m/>
    <m/>
    <m/>
    <m/>
    <m/>
    <m/>
    <m/>
    <m/>
    <m/>
    <m/>
    <x v="13"/>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80744-D611-4973-AFDF-3BF278CB3714}"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G13" firstHeaderRow="1" firstDataRow="2" firstDataCol="1"/>
  <pivotFields count="57">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11"/>
        <item x="8"/>
        <item x="1"/>
        <item x="3"/>
        <item x="4"/>
        <item x="7"/>
        <item x="0"/>
        <item x="6"/>
        <item x="5"/>
        <item x="9"/>
        <item x="2"/>
        <item x="12"/>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5"/>
  </rowFields>
  <rowItems count="7">
    <i>
      <x/>
    </i>
    <i>
      <x v="1"/>
    </i>
    <i>
      <x v="2"/>
    </i>
    <i>
      <x v="3"/>
    </i>
    <i>
      <x v="4"/>
    </i>
    <i>
      <x v="5"/>
    </i>
    <i t="grand">
      <x/>
    </i>
  </rowItems>
  <colFields count="1">
    <field x="41"/>
  </colFields>
  <colItems count="3">
    <i>
      <x/>
    </i>
    <i>
      <x v="1"/>
    </i>
    <i t="grand">
      <x/>
    </i>
  </colItems>
  <dataFields count="1">
    <dataField name="Count of Termd" fld="10" subtotal="count" showDataAs="percentOfRow" baseField="25" baseItem="1" numFmtId="10"/>
  </dataFields>
  <formats count="2">
    <format dxfId="2">
      <pivotArea outline="0" collapsedLevelsAreSubtotals="1" fieldPosition="0"/>
    </format>
    <format dxfId="1">
      <pivotArea type="all" dataOnly="0" outline="0" fieldPosition="0"/>
    </format>
  </format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D6D5D0-B604-4169-ACCE-DF3D8B67CE30}"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89:E108" firstHeaderRow="0" firstDataRow="1" firstDataCol="1"/>
  <pivotFields count="5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axis="axisRow" dataField="1" showAll="0" sortType="descending">
      <items count="19">
        <item x="4"/>
        <item x="6"/>
        <item x="1"/>
        <item x="14"/>
        <item x="17"/>
        <item x="2"/>
        <item x="8"/>
        <item x="15"/>
        <item x="16"/>
        <item x="12"/>
        <item x="11"/>
        <item x="0"/>
        <item x="13"/>
        <item x="7"/>
        <item x="10"/>
        <item x="9"/>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19">
    <i>
      <x v="11"/>
    </i>
    <i>
      <x/>
    </i>
    <i>
      <x v="17"/>
    </i>
    <i>
      <x v="10"/>
    </i>
    <i>
      <x v="2"/>
    </i>
    <i>
      <x v="5"/>
    </i>
    <i>
      <x v="1"/>
    </i>
    <i>
      <x v="14"/>
    </i>
    <i>
      <x v="16"/>
    </i>
    <i>
      <x v="15"/>
    </i>
    <i>
      <x v="13"/>
    </i>
    <i>
      <x v="12"/>
    </i>
    <i>
      <x v="9"/>
    </i>
    <i>
      <x v="7"/>
    </i>
    <i>
      <x v="8"/>
    </i>
    <i>
      <x v="6"/>
    </i>
    <i>
      <x v="3"/>
    </i>
    <i>
      <x v="4"/>
    </i>
    <i t="grand">
      <x/>
    </i>
  </rowItems>
  <colFields count="1">
    <field x="-2"/>
  </colFields>
  <colItems count="2">
    <i>
      <x/>
    </i>
    <i i="1">
      <x v="1"/>
    </i>
  </colItems>
  <dataFields count="2">
    <dataField name="Count of TermReason" fld="23" subtotal="count" baseField="0" baseItem="0"/>
    <dataField name="Cumulative of TermReason" fld="23" subtotal="count" baseField="23" baseItem="0" numFmtId="10">
      <extLst>
        <ext xmlns:x14="http://schemas.microsoft.com/office/spreadsheetml/2009/9/main" uri="{E15A36E0-9728-4e99-A89B-3F7291B0FE68}">
          <x14:dataField pivotShowAs="percentOfRunningTotal"/>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CA333-FFD9-494E-A7B7-88508C925F3F}"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F24:G39" firstHeaderRow="1" firstDataRow="1" firstDataCol="1"/>
  <pivotFields count="55">
    <pivotField showAll="0"/>
    <pivotField dataField="1" showAll="0"/>
    <pivotField showAll="0"/>
    <pivotField showAll="0"/>
    <pivotField showAll="0"/>
    <pivotField showAll="0"/>
    <pivotField showAll="0"/>
    <pivotField showAll="0">
      <items count="6">
        <item x="3"/>
        <item x="2"/>
        <item x="1"/>
        <item x="0"/>
        <item x="4"/>
        <item t="default"/>
      </items>
    </pivotField>
    <pivotField showAll="0"/>
    <pivotField showAll="0">
      <items count="310">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x="3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3"/>
        <item x="5"/>
        <item x="1"/>
        <item x="0"/>
        <item x="4"/>
        <item x="2"/>
        <item x="6"/>
        <item t="default"/>
      </items>
    </pivotField>
    <pivotField showAll="0"/>
    <pivotField showAll="0"/>
    <pivotField showAll="0"/>
    <pivotField showAll="0">
      <items count="6">
        <item x="0"/>
        <item x="1"/>
        <item x="2"/>
        <item x="3"/>
        <item x="4"/>
        <item t="default"/>
      </items>
    </pivotField>
    <pivotField showAll="0">
      <items count="121">
        <item x="38"/>
        <item x="51"/>
        <item x="50"/>
        <item x="108"/>
        <item x="37"/>
        <item x="11"/>
        <item x="47"/>
        <item x="40"/>
        <item x="88"/>
        <item x="67"/>
        <item x="85"/>
        <item x="92"/>
        <item x="110"/>
        <item x="115"/>
        <item x="101"/>
        <item x="111"/>
        <item x="46"/>
        <item x="24"/>
        <item x="39"/>
        <item x="2"/>
        <item x="63"/>
        <item x="5"/>
        <item x="70"/>
        <item x="81"/>
        <item x="34"/>
        <item x="114"/>
        <item x="49"/>
        <item x="17"/>
        <item x="95"/>
        <item x="79"/>
        <item x="16"/>
        <item x="118"/>
        <item x="113"/>
        <item x="65"/>
        <item x="19"/>
        <item x="107"/>
        <item x="22"/>
        <item x="103"/>
        <item x="105"/>
        <item x="15"/>
        <item x="73"/>
        <item x="14"/>
        <item x="42"/>
        <item x="116"/>
        <item x="93"/>
        <item x="72"/>
        <item x="13"/>
        <item x="102"/>
        <item x="91"/>
        <item x="26"/>
        <item x="62"/>
        <item x="74"/>
        <item x="53"/>
        <item x="99"/>
        <item x="30"/>
        <item x="66"/>
        <item x="54"/>
        <item x="69"/>
        <item x="36"/>
        <item x="23"/>
        <item x="86"/>
        <item x="20"/>
        <item x="41"/>
        <item x="90"/>
        <item x="57"/>
        <item x="82"/>
        <item x="35"/>
        <item x="56"/>
        <item x="97"/>
        <item x="68"/>
        <item x="48"/>
        <item x="117"/>
        <item x="28"/>
        <item x="43"/>
        <item x="32"/>
        <item x="29"/>
        <item x="96"/>
        <item x="94"/>
        <item x="61"/>
        <item x="83"/>
        <item x="7"/>
        <item x="109"/>
        <item x="55"/>
        <item x="89"/>
        <item x="8"/>
        <item x="87"/>
        <item x="25"/>
        <item x="112"/>
        <item x="98"/>
        <item x="84"/>
        <item x="9"/>
        <item x="21"/>
        <item x="6"/>
        <item x="64"/>
        <item x="10"/>
        <item x="18"/>
        <item x="45"/>
        <item x="78"/>
        <item x="0"/>
        <item x="58"/>
        <item x="33"/>
        <item x="59"/>
        <item x="60"/>
        <item x="80"/>
        <item x="106"/>
        <item x="27"/>
        <item x="31"/>
        <item x="52"/>
        <item x="44"/>
        <item x="75"/>
        <item x="12"/>
        <item x="104"/>
        <item x="71"/>
        <item x="3"/>
        <item x="77"/>
        <item x="76"/>
        <item x="100"/>
        <item x="1"/>
        <item x="4"/>
        <item x="1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2"/>
        <item x="11"/>
        <item x="2"/>
        <item x="6"/>
        <item x="8"/>
        <item x="0"/>
        <item x="3"/>
        <item x="5"/>
        <item x="4"/>
        <item x="1"/>
        <item x="7"/>
        <item x="10"/>
        <item x="9"/>
        <item x="13"/>
        <item t="default"/>
      </items>
    </pivotField>
    <pivotField showAll="0"/>
    <pivotField showAll="0"/>
    <pivotField showAll="0"/>
    <pivotField showAll="0"/>
    <pivotField showAll="0"/>
    <pivotField showAll="0"/>
    <pivotField showAll="0"/>
    <pivotField showAll="0"/>
    <pivotField showAll="0"/>
  </pivotFields>
  <rowFields count="1">
    <field x="45"/>
  </rowFields>
  <rowItems count="15">
    <i>
      <x/>
    </i>
    <i>
      <x v="1"/>
    </i>
    <i>
      <x v="2"/>
    </i>
    <i>
      <x v="3"/>
    </i>
    <i>
      <x v="4"/>
    </i>
    <i>
      <x v="5"/>
    </i>
    <i>
      <x v="6"/>
    </i>
    <i>
      <x v="7"/>
    </i>
    <i>
      <x v="8"/>
    </i>
    <i>
      <x v="9"/>
    </i>
    <i>
      <x v="10"/>
    </i>
    <i>
      <x v="11"/>
    </i>
    <i>
      <x v="12"/>
    </i>
    <i>
      <x v="13"/>
    </i>
    <i t="grand">
      <x/>
    </i>
  </rowItems>
  <colItems count="1">
    <i/>
  </colItems>
  <dataFields count="1">
    <dataField name="Count of EmpID" fld="1" subtotal="count" baseField="45" baseItem="0"/>
  </dataFields>
  <chartFormats count="3">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3E1D95-3F4D-4664-AAF8-507ADD39102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0:T19" firstHeaderRow="1" firstDataRow="2" firstDataCol="1"/>
  <pivotFields count="5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dataField="1" showAll="0">
      <items count="8">
        <item x="4"/>
        <item x="6"/>
        <item x="1"/>
        <item x="2"/>
        <item x="0"/>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4">
        <item x="12"/>
        <item x="11"/>
        <item x="2"/>
        <item x="6"/>
        <item x="8"/>
        <item x="0"/>
        <item x="3"/>
        <item x="5"/>
        <item x="4"/>
        <item x="1"/>
        <item x="7"/>
        <item x="10"/>
        <item x="9"/>
        <item t="default"/>
      </items>
    </pivotField>
    <pivotField showAll="0"/>
    <pivotField showAll="0"/>
    <pivotField showAll="0"/>
    <pivotField showAll="0"/>
    <pivotField showAll="0"/>
    <pivotField showAll="0"/>
  </pivotFields>
  <rowFields count="1">
    <field x="25"/>
  </rowFields>
  <rowItems count="8">
    <i>
      <x/>
    </i>
    <i>
      <x v="1"/>
    </i>
    <i>
      <x v="2"/>
    </i>
    <i>
      <x v="3"/>
    </i>
    <i>
      <x v="4"/>
    </i>
    <i>
      <x v="5"/>
    </i>
    <i>
      <x v="6"/>
    </i>
    <i t="grand">
      <x/>
    </i>
  </rowItems>
  <colFields count="1">
    <field x="45"/>
  </colFields>
  <colItems count="14">
    <i>
      <x/>
    </i>
    <i>
      <x v="1"/>
    </i>
    <i>
      <x v="2"/>
    </i>
    <i>
      <x v="3"/>
    </i>
    <i>
      <x v="4"/>
    </i>
    <i>
      <x v="5"/>
    </i>
    <i>
      <x v="6"/>
    </i>
    <i>
      <x v="7"/>
    </i>
    <i>
      <x v="8"/>
    </i>
    <i>
      <x v="9"/>
    </i>
    <i>
      <x v="10"/>
    </i>
    <i>
      <x v="11"/>
    </i>
    <i>
      <x v="12"/>
    </i>
    <i t="grand">
      <x/>
    </i>
  </colItems>
  <dataFields count="1">
    <dataField name="Count of Depart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D9608D-ECF6-493D-9374-F17D7A9B5E8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58:G68" firstHeaderRow="1" firstDataRow="1" firstDataCol="1"/>
  <pivotFields count="57">
    <pivotField showAll="0"/>
    <pivotField dataField="1" showAll="0"/>
    <pivotField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9"/>
  </rowFields>
  <rowItems count="10">
    <i>
      <x v="2"/>
    </i>
    <i>
      <x v="3"/>
    </i>
    <i>
      <x v="4"/>
    </i>
    <i>
      <x v="5"/>
    </i>
    <i>
      <x v="6"/>
    </i>
    <i>
      <x v="7"/>
    </i>
    <i>
      <x v="8"/>
    </i>
    <i>
      <x v="9"/>
    </i>
    <i>
      <x v="10"/>
    </i>
    <i t="grand">
      <x/>
    </i>
  </rowItems>
  <colItems count="1">
    <i/>
  </colItems>
  <dataFields count="1">
    <dataField name="Count of EmpID" fld="1" subtotal="count" baseField="9"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9375AB-5983-48BE-BAD7-C9CAC0D18E3D}"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F46:H53" firstHeaderRow="0" firstDataRow="1" firstDataCol="1"/>
  <pivotFields count="57">
    <pivotField showAll="0"/>
    <pivotField dataField="1" showAll="0"/>
    <pivotField showAll="0"/>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5"/>
  </rowFields>
  <rowItems count="7">
    <i>
      <x/>
    </i>
    <i>
      <x v="1"/>
    </i>
    <i>
      <x v="2"/>
    </i>
    <i>
      <x v="3"/>
    </i>
    <i>
      <x v="4"/>
    </i>
    <i>
      <x v="5"/>
    </i>
    <i t="grand">
      <x/>
    </i>
  </rowItems>
  <colFields count="1">
    <field x="-2"/>
  </colFields>
  <colItems count="2">
    <i>
      <x/>
    </i>
    <i i="1">
      <x v="1"/>
    </i>
  </colItems>
  <dataFields count="2">
    <dataField name="Count of EmpID" fld="1" subtotal="count" baseField="25" baseItem="0"/>
    <dataField name="Sum of Trunover" fld="55" baseField="25" baseItem="0" numFmtId="1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B4D2DF-56BF-4E51-827B-D29894C56DBD}" autoFormatId="16" applyNumberFormats="0" applyBorderFormats="0" applyFontFormats="0" applyPatternFormats="0" applyAlignmentFormats="0" applyWidthHeightFormats="0">
  <queryTableRefresh nextId="63" unboundColumnsRight="22">
    <queryTableFields count="58">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 id="43" dataBound="0" tableColumnId="43"/>
      <queryTableField id="44" dataBound="0" tableColumnId="44"/>
      <queryTableField id="45" dataBound="0" tableColumnId="45"/>
      <queryTableField id="46" dataBound="0" tableColumnId="46"/>
      <queryTableField id="47" dataBound="0" tableColumnId="47"/>
      <queryTableField id="48" dataBound="0" tableColumnId="48"/>
      <queryTableField id="49" dataBound="0" tableColumnId="49"/>
      <queryTableField id="50" dataBound="0" tableColumnId="50"/>
      <queryTableField id="51" dataBound="0" tableColumnId="51"/>
      <queryTableField id="55" dataBound="0" tableColumnId="52"/>
      <queryTableField id="56" dataBound="0" tableColumnId="54"/>
      <queryTableField id="57" dataBound="0" tableColumnId="55"/>
      <queryTableField id="58" dataBound="0" tableColumnId="56"/>
      <queryTableField id="59" dataBound="0" tableColumnId="57"/>
      <queryTableField id="62" dataBound="0" tableColumnId="60"/>
      <queryTableField id="53" dataBound="0" tableColumnId="5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Year" xr10:uid="{295A4367-4D4C-4CAE-A8A9-781305CA15A8}" sourceName="Hire_Year">
  <pivotTables>
    <pivotTable tabId="1" name="PivotTable3"/>
  </pivotTables>
  <data>
    <tabular pivotCacheId="1665167219">
      <items count="14">
        <i x="12" s="1"/>
        <i x="11" s="1"/>
        <i x="2" s="1"/>
        <i x="6" s="1"/>
        <i x="8" s="1"/>
        <i x="0" s="1"/>
        <i x="3" s="1"/>
        <i x="5" s="1"/>
        <i x="4" s="1"/>
        <i x="1" s="1"/>
        <i x="7" s="1"/>
        <i x="10" s="1"/>
        <i x="9" s="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06CE5167-02F6-4E02-B7BF-745301BBB83B}" sourceName="Salary">
  <pivotTables>
    <pivotTable tabId="1" name="PivotTable5"/>
  </pivotTables>
  <data>
    <tabular pivotCacheId="1408892828">
      <items count="11">
        <i x="10" s="1"/>
        <i x="8" s="1"/>
        <i x="9" s="1"/>
        <i x="2" s="1"/>
        <i x="3" s="1"/>
        <i x="4" s="1"/>
        <i x="5" s="1"/>
        <i x="6" s="1"/>
        <i x="7" s="1"/>
        <i x="0"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71563F7-E675-4E8E-8FB0-DBD5DA6620DD}" sourceName="Department">
  <pivotTables>
    <pivotTable tabId="1" name="PivotTable4"/>
  </pivotTables>
  <data>
    <tabular pivotCacheId="1408892828">
      <items count="6">
        <i x="3" s="1"/>
        <i x="5" s="1"/>
        <i x="1"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EA8DA00-2F5A-4D67-8069-107EE019BCAA}" sourceName="Department">
  <pivotTables>
    <pivotTable tabId="12" name="PivotTable8"/>
  </pivotTables>
  <data>
    <tabular pivotCacheId="1408892828">
      <items count="6">
        <i x="3" s="1"/>
        <i x="5" s="1"/>
        <i x="1" s="1"/>
        <i x="0"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ScoreID1" xr10:uid="{5387FEFA-3E91-4901-BCD9-0F7B1BE74C73}" sourceName="PerfScoreID">
  <extLst>
    <x:ext xmlns:x15="http://schemas.microsoft.com/office/spreadsheetml/2010/11/main" uri="{2F2917AC-EB37-4324-AD4E-5DD8C200BD13}">
      <x15:tableSlicerCache tableId="1"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Reason" xr10:uid="{1B868E19-A5F1-4758-A255-3524D00324EE}" sourceName="TermReason">
  <extLst>
    <x:ext xmlns:x15="http://schemas.microsoft.com/office/spreadsheetml/2010/11/main" uri="{2F2917AC-EB37-4324-AD4E-5DD8C200BD13}">
      <x15:tableSlicerCache tableId="1" column="2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_Year" xr10:uid="{02DF9035-29A5-4898-85A5-0B4FBDCCD922}" cache="Slicer_Hire_Year" caption="Hire_Year" startItem="4" rowHeight="257175"/>
  <slicer name="Salary" xr10:uid="{7376B42D-307D-4CF3-9418-CFA30E9744F5}" cache="Slicer_Salary" caption="Salary" rowHeight="257175"/>
  <slicer name="Department 1" xr10:uid="{DB1B1B0B-497A-4242-ABB9-C9B56974A4DE}" cache="Slicer_Department" caption="Depart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ScoreID 1" xr10:uid="{DC898EF5-2EE6-4A3F-895E-5FDEC10489B4}" cache="Slicer_PerfScoreID1" caption="PerfScoreI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3A0E939E-05C9-4383-9871-7EC4CAB4DA1A}" cache="Slicer_Department1" caption="Department" style="SlicerStyleDark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Reason" xr10:uid="{628C5A0D-9E02-4E3B-AA31-970A6FC9B268}" cache="Slicer_TermReason" caption="TermReason" style="SlicerStyleDark1"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66FB25F-A28E-41CB-A405-3C04A46517D5}" cache="Slicer_Department" caption="Depart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DB20F7-2C1D-48EA-9959-C32ADD016D77}" name="HRDataset_v14" displayName="HRDataset_v14" ref="A1:BF312" tableType="queryTable" totalsRowShown="0">
  <autoFilter ref="A1:BF312" xr:uid="{45DB20F7-2C1D-48EA-9959-C32ADD016D77}"/>
  <tableColumns count="58">
    <tableColumn id="1" xr3:uid="{224187E0-CC11-4CCF-872B-D6CD1AF11225}" uniqueName="1" name="Employee_Name" queryTableFieldId="1"/>
    <tableColumn id="2" xr3:uid="{59028FAE-8330-45B5-BBA5-361611522AC9}" uniqueName="2" name="EmpID" queryTableFieldId="2"/>
    <tableColumn id="3" xr3:uid="{750A6FF3-1118-4180-A71D-FBF49F936588}" uniqueName="3" name="MarriedID" queryTableFieldId="3"/>
    <tableColumn id="4" xr3:uid="{D10A1F5C-8980-41EF-A098-50EE2BC75DE2}" uniqueName="4" name="MaritalStatusID" queryTableFieldId="4"/>
    <tableColumn id="5" xr3:uid="{C9791DEF-098B-44ED-9ADE-54D9E60DA0CB}" uniqueName="5" name="GenderID" queryTableFieldId="5"/>
    <tableColumn id="6" xr3:uid="{09A0C405-A6A7-4086-A54C-B86EE08FF7F6}" uniqueName="6" name="EmpStatusID" queryTableFieldId="6"/>
    <tableColumn id="7" xr3:uid="{74B6DAE4-7660-4A12-899F-564B1F09679D}" uniqueName="7" name="DeptID" queryTableFieldId="7"/>
    <tableColumn id="8" xr3:uid="{C1894AA5-C7B1-41FA-B1D7-2332321CA6AB}" uniqueName="8" name="PerfScoreID" queryTableFieldId="8"/>
    <tableColumn id="9" xr3:uid="{8032F229-CEFC-422E-8864-91A9CA1C5E06}" uniqueName="9" name="FromDiversityJobFairID" queryTableFieldId="9"/>
    <tableColumn id="10" xr3:uid="{A84B7C7D-DA9D-45BA-A736-F2458955E98C}" uniqueName="10" name="Salary" queryTableFieldId="10"/>
    <tableColumn id="11" xr3:uid="{BC3E096F-997D-4714-A46D-E46A7ECB5B37}" uniqueName="11" name="Termd" queryTableFieldId="11"/>
    <tableColumn id="12" xr3:uid="{86A0C23B-D933-4E1E-A9AC-D423DE906EEF}" uniqueName="12" name="PositionID" queryTableFieldId="12"/>
    <tableColumn id="13" xr3:uid="{86F72516-C33B-4F5F-BC45-14565DE45A5E}" uniqueName="13" name="Position" queryTableFieldId="13"/>
    <tableColumn id="14" xr3:uid="{8C15DA2F-6E1F-4A0B-AD8A-4C2C2E53905E}" uniqueName="14" name="State" queryTableFieldId="14"/>
    <tableColumn id="15" xr3:uid="{F3C03049-73C8-4A31-8A84-D861825A615C}" uniqueName="15" name="Zip" queryTableFieldId="15"/>
    <tableColumn id="16" xr3:uid="{7EE6D448-2967-4A48-9FD6-43585055F8D6}" uniqueName="16" name="DOB" queryTableFieldId="16"/>
    <tableColumn id="17" xr3:uid="{CA4C4C87-1DA0-4E6A-9BC1-3E879DBC7E9D}" uniqueName="17" name="Sex" queryTableFieldId="17"/>
    <tableColumn id="18" xr3:uid="{87F48FDD-2ACA-4B7E-8A0D-F6853559817D}" uniqueName="18" name="MaritalDesc" queryTableFieldId="18"/>
    <tableColumn id="19" xr3:uid="{4B3CCD26-618D-4D67-9B1F-F493DF2B000A}" uniqueName="19" name="CitizenDesc" queryTableFieldId="19"/>
    <tableColumn id="20" xr3:uid="{3A1B3D16-CB51-4658-AF17-2F0B0E33F0A8}" uniqueName="20" name="HispanicLatino" queryTableFieldId="20"/>
    <tableColumn id="21" xr3:uid="{50CEE2CB-B45C-41DB-B831-6A9DFA026BE4}" uniqueName="21" name="RaceDesc" queryTableFieldId="21"/>
    <tableColumn id="22" xr3:uid="{5220FC05-0539-403C-A170-797C2DC96805}" uniqueName="22" name="DateofHire" queryTableFieldId="22"/>
    <tableColumn id="23" xr3:uid="{1DBD6D76-0DA2-4DF3-AE8E-766024E50141}" uniqueName="23" name="DateofTermination" queryTableFieldId="23"/>
    <tableColumn id="24" xr3:uid="{3E7D24C3-6A90-40A3-95E9-2A1F6B1FC437}" uniqueName="24" name="TermReason" queryTableFieldId="24"/>
    <tableColumn id="25" xr3:uid="{93018DEF-FA72-4E86-BD84-3576EC215FF2}" uniqueName="25" name="EmploymentStatus" queryTableFieldId="25"/>
    <tableColumn id="26" xr3:uid="{E0518E5F-C1F4-4A5D-8287-5C9A148BB274}" uniqueName="26" name="Department" queryTableFieldId="26"/>
    <tableColumn id="27" xr3:uid="{81C53960-7108-4560-9583-3D572B5AE331}" uniqueName="27" name="ManagerName" queryTableFieldId="27"/>
    <tableColumn id="28" xr3:uid="{4AF106DA-1BDD-4D47-BDE8-0C906685CC62}" uniqueName="28" name="ManagerID" queryTableFieldId="28"/>
    <tableColumn id="29" xr3:uid="{3075319B-3181-4D0F-B410-1135C5378554}" uniqueName="29" name="RecruitmentSource" queryTableFieldId="29"/>
    <tableColumn id="30" xr3:uid="{201407CB-8D42-4D83-83F0-94FDB5068FDA}" uniqueName="30" name="PerformanceScore" queryTableFieldId="30"/>
    <tableColumn id="31" xr3:uid="{98949F73-E2EE-4F2C-8A65-6ED532B6FA3D}" uniqueName="31" name="EngagementSurvey" queryTableFieldId="31"/>
    <tableColumn id="32" xr3:uid="{690BE71B-551B-45A6-B0F0-1807554DD6A7}" uniqueName="32" name="EmpSatisfaction" queryTableFieldId="32"/>
    <tableColumn id="33" xr3:uid="{64C9049E-84DA-42AA-B941-9B3BD9900CEF}" uniqueName="33" name="SpecialProjectsCount" queryTableFieldId="33"/>
    <tableColumn id="34" xr3:uid="{498482D8-40B5-405B-A0D3-78A6BEEDA05C}" uniqueName="34" name="LastPerformanceReview_Date" queryTableFieldId="34"/>
    <tableColumn id="35" xr3:uid="{27B1C8A2-85E9-4C7C-94B4-178D19C969C9}" uniqueName="35" name="DaysLateLast30" queryTableFieldId="35"/>
    <tableColumn id="36" xr3:uid="{AFB6C835-0053-4D88-B186-8D977B847085}" uniqueName="36" name="Absences" queryTableFieldId="36"/>
    <tableColumn id="37" xr3:uid="{A019903A-134D-425A-AB22-8E7C6253780F}" uniqueName="37" name="salary outlier (high)" queryTableFieldId="37">
      <calculatedColumnFormula>IF(J2&gt;AVERAGE($J$2:$J$100)+3*STDEV($J$2:$J$100)," high Outlier","Normal")</calculatedColumnFormula>
    </tableColumn>
    <tableColumn id="38" xr3:uid="{98D49FF2-C328-450A-AF01-651E7FFFCBD1}" uniqueName="38" name="Salary outlier (low)" queryTableFieldId="38">
      <calculatedColumnFormula>IF(J2&gt;AVERAGE($J$2:$J$100)-3*STDEV($J$2:$J$100),"low Outlier","Normal")</calculatedColumnFormula>
    </tableColumn>
    <tableColumn id="39" xr3:uid="{F99ACEF7-9E7B-4260-989C-EC9574F3E591}" uniqueName="39" name="Age Calculation_x000a_" queryTableFieldId="39">
      <calculatedColumnFormula>INT((TODAY()-HRDataset_v14[[#This Row],[DOB]])/365.25)</calculatedColumnFormula>
    </tableColumn>
    <tableColumn id="40" xr3:uid="{0FEA0BC5-5A2A-4F30-AFEC-E50DABF3BF78}" uniqueName="40" name="Tenure in Years_x000a_" queryTableFieldId="40">
      <calculatedColumnFormula>DATEDIF(HRDataset_v14[[#This Row],[DateofHire]],TODAY(),"Y")</calculatedColumnFormula>
    </tableColumn>
    <tableColumn id="41" xr3:uid="{1B8B4573-CAE3-4581-9A0E-8CB6AC56D2E1}" uniqueName="41" name="Terminated Employees" queryTableFieldId="41">
      <calculatedColumnFormula>IF(ISBLANK(HRDataset_v14[[#This Row],[DateofTermination]]),DATEDIF(HRDataset_v14[[#This Row],[DateofHire]],TODAY(),"Y"),DATEDIF(HRDataset_v14[[#This Row],[DateofHire]],HRDataset_v14[[#This Row],[DateofTermination]],"Y"))</calculatedColumnFormula>
    </tableColumn>
    <tableColumn id="42" xr3:uid="{B04DAC5B-1FA7-4751-AEA5-50074F68C8F4}" uniqueName="42" name="Tenure Category" queryTableFieldId="42">
      <calculatedColumnFormula>IF(HRDataset_v14[[#This Row],[Tenure in Years
]]&lt;1,"0-1 Year",IF(HRDataset_v14[[#This Row],[Tenure in Years
]]&lt;3,"1-3 Years",IF(HRDataset_v14[[#This Row],[Tenure in Years
]]&lt;5,"3-5 Years",IF(HRDataset_v14[[#This Row],[Tenure in Years
]]&lt;10,"5-10 Years","10+ Years"))))</calculatedColumnFormula>
    </tableColumn>
    <tableColumn id="43" xr3:uid="{BCAEFC2D-7EFE-43A2-876D-25D385521A3D}" uniqueName="43" name="age group" queryTableFieldId="43">
      <calculatedColumnFormula>IF(HRDataset_v14[[#This Row],[Age Calculation
]]&lt;26,"18-25",IF(HRDataset_v14[[#This Row],[Age Calculation
]]&lt;36,"26-35",IF(HRDataset_v14[[#This Row],[Age Calculation
]]&lt;46,"36-45",IF(HRDataset_v14[[#This Row],[Age Calculation
]]&lt;56,"46-55","55+"))))</calculatedColumnFormula>
    </tableColumn>
    <tableColumn id="44" xr3:uid="{15AC0D12-4C48-4AC8-9E41-C20A673DFA4A}" uniqueName="44" name="Salary Band" queryTableFieldId="44">
      <calculatedColumnFormula>IF(HRDataset_v14[[#This Row],[Salary]]&lt;40000,"Entry (&lt;40K)",IF(HRDataset_v14[[#This Row],[Salary]]&lt;70000,"Mid (40-70K)",IF(HRDataset_v14[[#This Row],[Salary]]&lt;100000,"Senior (70-100K)","Executive (100K+)")))</calculatedColumnFormula>
    </tableColumn>
    <tableColumn id="45" xr3:uid="{E2BB2E1E-C0AD-484F-81F9-33BFE03C5A2B}" uniqueName="45" name="Is_Active Flag" queryTableFieldId="45">
      <calculatedColumnFormula>IF(HRDataset_v14[[#This Row],[EmploymentStatus]]="Active",1,0)</calculatedColumnFormula>
    </tableColumn>
    <tableColumn id="46" xr3:uid="{17986289-3C9E-4020-9316-197398B11BEF}" uniqueName="46" name="Hire_Year" queryTableFieldId="46">
      <calculatedColumnFormula>YEAR(HRDataset_v14[[#This Row],[DateofHire]])</calculatedColumnFormula>
    </tableColumn>
    <tableColumn id="47" xr3:uid="{B96BCDCE-F680-4D91-A5CE-6946F9E5C62F}" uniqueName="47" name="Hire_Month:" queryTableFieldId="47">
      <calculatedColumnFormula>MONTH(HRDataset_v14[[#This Row],[DateofHire]])</calculatedColumnFormula>
    </tableColumn>
    <tableColumn id="48" xr3:uid="{BB53C1EA-41A0-467C-AB65-F5C7A1D8FEA8}" uniqueName="48" name="Hire_Quarter" queryTableFieldId="48">
      <calculatedColumnFormula>"Q"&amp;ROUNDUP(MONTH(HRDataset_v14[[#This Row],[DateofHire]])/3,0)</calculatedColumnFormula>
    </tableColumn>
    <tableColumn id="49" xr3:uid="{88B1D851-FAEF-4A47-900C-551955DDAB38}" uniqueName="49" name="Month_Name" queryTableFieldId="49">
      <calculatedColumnFormula>TEXT(HRDataset_v14[[#This Row],[DateofHire]],"MMM")</calculatedColumnFormula>
    </tableColumn>
    <tableColumn id="50" xr3:uid="{94D9453B-2424-45E7-BBBB-C67DEF8E915B}" uniqueName="50" name="Year_Month" queryTableFieldId="50">
      <calculatedColumnFormula>TEXT(HRDataset_v14[[#This Row],[DateofHire]],"YYYY-MM")</calculatedColumnFormula>
    </tableColumn>
    <tableColumn id="51" xr3:uid="{267D8E63-5743-4273-8209-2BD546FDB22F}" uniqueName="51" name="Termination Year" queryTableFieldId="51">
      <calculatedColumnFormula>IF(ISBLANK(HRDataset_v14[[#This Row],[DateofTermination]]),"N/A",YEAR(HRDataset_v14[[#This Row],[DateofTermination]]))</calculatedColumnFormula>
    </tableColumn>
    <tableColumn id="52" xr3:uid="{27E54EF6-B0BB-46EF-9731-B14E85B79CF1}" uniqueName="52" name="dept hires count " queryTableFieldId="55">
      <calculatedColumnFormula array="1">INDEX(_xlfn.UNIQUE(Z2:Z312),MATCH(MAX(COUNTIF(Z2:Z312,_xlfn.UNIQUE(Z2:Z312))),COUNTIF(Z2:Z312,_xlfn.UNIQUE(Z2:Z312)),0))</calculatedColumnFormula>
    </tableColumn>
    <tableColumn id="54" xr3:uid="{245C861E-C2F9-4115-9FE5-82F27AC167D9}" uniqueName="54" name="turn over by manager" queryTableFieldId="56">
      <calculatedColumnFormula>COUNTIFS(AA2:AA312,AA2,K2:K312,1)
/COUNTIF(AA2:AA312,AA2)*100</calculatedColumnFormula>
    </tableColumn>
    <tableColumn id="55" xr3:uid="{609F89B4-1127-41DA-BE92-B2613A3AFE62}" uniqueName="55" name="REASON COUNTS" queryTableFieldId="57">
      <calculatedColumnFormula>COUNTIFS(X2:X312,X2,K2:K312,1)</calculatedColumnFormula>
    </tableColumn>
    <tableColumn id="56" xr3:uid="{F938B6CC-73C3-4617-953D-3B694641CC05}" uniqueName="56" name="RISK CATEGORY " queryTableFieldId="58">
      <calculatedColumnFormula>IF(OR(AD2="PIP",AD2="Needs Improvement",AE2&lt;=2),"High",
IF(OR(AD2="Fully Meets",AE2=3),"Medium",
IF(AND(AD2="Exceeds",AE2&gt;=4),"Low","Medium")))</calculatedColumnFormula>
    </tableColumn>
    <tableColumn id="57" xr3:uid="{9F59BEF0-C4C9-4F5C-9ECD-1DB9004CCD90}" uniqueName="57" name="ACTIVE" queryTableFieldId="59">
      <calculatedColumnFormula>IF($K2=0,$AE2,"")</calculatedColumnFormula>
    </tableColumn>
    <tableColumn id="60" xr3:uid="{73C5698F-95C8-4CDC-941D-7D61FA2560A7}" uniqueName="60" name="TERMINATED 2" queryTableFieldId="62">
      <calculatedColumnFormula>IF($K2=1,$AE2,"")</calculatedColumnFormula>
    </tableColumn>
    <tableColumn id="53" xr3:uid="{648BBFCB-6620-4B13-8BEC-ECDE30EE21CB}" uniqueName="53" name="Column2" queryTableFieldId="5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microsoft.com/office/2007/relationships/slicer" Target="../slicers/slicer4.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8" Type="http://schemas.microsoft.com/office/2007/relationships/slicer" Target="../slicers/slicer5.xml"/><Relationship Id="rId3" Type="http://schemas.openxmlformats.org/officeDocument/2006/relationships/pivotTable" Target="../pivotTables/pivotTable4.xml"/><Relationship Id="rId7"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4.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CA2C-2FF6-4155-A6DB-5985F3094FD3}">
  <dimension ref="A1:BW312"/>
  <sheetViews>
    <sheetView tabSelected="1" topLeftCell="BI1" zoomScale="85" zoomScaleNormal="85" workbookViewId="0">
      <selection activeCell="BM26" sqref="BM26"/>
    </sheetView>
  </sheetViews>
  <sheetFormatPr defaultRowHeight="15.75" x14ac:dyDescent="0.3"/>
  <cols>
    <col min="1" max="1" width="23.88671875" customWidth="1"/>
    <col min="2" max="2" width="9.109375" customWidth="1"/>
    <col min="3" max="3" width="12.33203125" customWidth="1"/>
    <col min="4" max="4" width="17.21875" customWidth="1"/>
    <col min="5" max="5" width="11.88671875" customWidth="1"/>
    <col min="6" max="6" width="14.44140625" customWidth="1"/>
    <col min="7" max="7" width="9.44140625" customWidth="1"/>
    <col min="8" max="8" width="13.77734375" customWidth="1"/>
    <col min="9" max="9" width="24.33203125" customWidth="1"/>
    <col min="10" max="10" width="8.6640625" customWidth="1"/>
    <col min="11" max="11" width="9.109375" customWidth="1"/>
    <col min="12" max="12" width="12.44140625" customWidth="1"/>
    <col min="13" max="13" width="28.77734375" customWidth="1"/>
    <col min="14" max="14" width="7.88671875" customWidth="1"/>
    <col min="15" max="15" width="6.109375" customWidth="1"/>
    <col min="16" max="16" width="15.21875" customWidth="1"/>
    <col min="17" max="17" width="6.44140625" customWidth="1"/>
    <col min="18" max="18" width="13.88671875" customWidth="1"/>
    <col min="19" max="19" width="18.21875" customWidth="1"/>
    <col min="20" max="20" width="16.33203125" customWidth="1"/>
    <col min="21" max="21" width="30.88671875" customWidth="1"/>
    <col min="22" max="22" width="13.109375" customWidth="1"/>
    <col min="23" max="23" width="20.44140625" customWidth="1"/>
    <col min="24" max="24" width="29.44140625" customWidth="1"/>
    <col min="25" max="25" width="22.109375" customWidth="1"/>
    <col min="26" max="26" width="20.33203125" customWidth="1"/>
    <col min="27" max="27" width="18.109375" customWidth="1"/>
    <col min="28" max="28" width="13.109375" customWidth="1"/>
    <col min="29" max="29" width="23.109375" customWidth="1"/>
    <col min="30" max="30" width="19.88671875" customWidth="1"/>
    <col min="31" max="31" width="20.6640625" customWidth="1"/>
    <col min="32" max="32" width="17.6640625" customWidth="1"/>
    <col min="33" max="33" width="22.33203125" customWidth="1"/>
    <col min="34" max="34" width="30.44140625" customWidth="1"/>
    <col min="35" max="35" width="16.77734375" customWidth="1"/>
    <col min="36" max="36" width="11.77734375" customWidth="1"/>
    <col min="37" max="57" width="23.21875" customWidth="1"/>
    <col min="58" max="58" width="47.109375" customWidth="1"/>
    <col min="59" max="59" width="48.109375" customWidth="1"/>
    <col min="60" max="60" width="45.77734375" customWidth="1"/>
    <col min="61" max="61" width="35.44140625" customWidth="1"/>
    <col min="62" max="62" width="26.44140625" customWidth="1"/>
    <col min="66" max="66" width="11.77734375" customWidth="1"/>
    <col min="72" max="72" width="23.21875" customWidth="1"/>
    <col min="74" max="74" width="11.33203125" customWidth="1"/>
  </cols>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625</v>
      </c>
      <c r="AL1" t="s">
        <v>629</v>
      </c>
      <c r="AM1" t="s">
        <v>630</v>
      </c>
      <c r="AN1" t="s">
        <v>633</v>
      </c>
      <c r="AO1" t="s">
        <v>631</v>
      </c>
      <c r="AP1" t="s">
        <v>632</v>
      </c>
      <c r="AQ1" t="s">
        <v>634</v>
      </c>
      <c r="AR1" t="s">
        <v>635</v>
      </c>
      <c r="AS1" t="s">
        <v>636</v>
      </c>
      <c r="AT1" t="s">
        <v>637</v>
      </c>
      <c r="AU1" t="s">
        <v>638</v>
      </c>
      <c r="AV1" t="s">
        <v>639</v>
      </c>
      <c r="AW1" t="s">
        <v>640</v>
      </c>
      <c r="AX1" t="s">
        <v>641</v>
      </c>
      <c r="AY1" t="s">
        <v>642</v>
      </c>
      <c r="AZ1" t="s">
        <v>716</v>
      </c>
      <c r="BA1" t="s">
        <v>742</v>
      </c>
      <c r="BB1" t="s">
        <v>746</v>
      </c>
      <c r="BC1" t="s">
        <v>748</v>
      </c>
      <c r="BD1" t="s">
        <v>808</v>
      </c>
      <c r="BE1" t="s">
        <v>809</v>
      </c>
      <c r="BF1" t="s">
        <v>652</v>
      </c>
      <c r="BG1" t="s">
        <v>626</v>
      </c>
      <c r="BI1" t="s">
        <v>700</v>
      </c>
      <c r="BJ1" t="s">
        <v>750</v>
      </c>
      <c r="BT1" t="s">
        <v>808</v>
      </c>
      <c r="BV1" t="str" cm="1">
        <f t="array" ref="BV1:BV208">_xlfn._xlws.FILTER(BD:BD, BD:BD&lt;&gt;"")</f>
        <v>ACTIVE</v>
      </c>
      <c r="BW1" t="str" cm="1">
        <f t="array" ref="BW1:BW105">_xlfn._xlws.FILTER(BE:BE, BE:BE&lt;&gt;"")</f>
        <v>TERMINATED 2</v>
      </c>
    </row>
    <row r="2" spans="1:75" x14ac:dyDescent="0.3">
      <c r="A2" t="s">
        <v>36</v>
      </c>
      <c r="B2">
        <v>10026</v>
      </c>
      <c r="C2">
        <v>0</v>
      </c>
      <c r="D2">
        <v>0</v>
      </c>
      <c r="E2">
        <v>1</v>
      </c>
      <c r="F2">
        <v>1</v>
      </c>
      <c r="G2">
        <v>5</v>
      </c>
      <c r="H2">
        <v>4</v>
      </c>
      <c r="I2">
        <v>0</v>
      </c>
      <c r="J2">
        <v>62506</v>
      </c>
      <c r="K2">
        <v>0</v>
      </c>
      <c r="L2">
        <v>19</v>
      </c>
      <c r="M2" t="s">
        <v>37</v>
      </c>
      <c r="N2" t="s">
        <v>38</v>
      </c>
      <c r="O2">
        <v>1960</v>
      </c>
      <c r="P2">
        <v>30507</v>
      </c>
      <c r="Q2" t="s">
        <v>39</v>
      </c>
      <c r="R2" t="s">
        <v>40</v>
      </c>
      <c r="S2" t="s">
        <v>41</v>
      </c>
      <c r="T2" t="s">
        <v>42</v>
      </c>
      <c r="U2" t="s">
        <v>43</v>
      </c>
      <c r="V2">
        <v>40729</v>
      </c>
      <c r="X2" t="s">
        <v>44</v>
      </c>
      <c r="Y2" t="s">
        <v>45</v>
      </c>
      <c r="Z2" t="s">
        <v>46</v>
      </c>
      <c r="AA2" t="s">
        <v>47</v>
      </c>
      <c r="AB2">
        <v>22</v>
      </c>
      <c r="AC2" t="s">
        <v>48</v>
      </c>
      <c r="AD2" t="s">
        <v>49</v>
      </c>
      <c r="AE2">
        <v>4.5999999999999996</v>
      </c>
      <c r="AF2">
        <v>5</v>
      </c>
      <c r="AG2">
        <v>0</v>
      </c>
      <c r="AH2" t="s">
        <v>50</v>
      </c>
      <c r="AI2">
        <v>0</v>
      </c>
      <c r="AJ2">
        <v>1</v>
      </c>
      <c r="AK2" t="str">
        <f t="shared" ref="AK2:AK65" si="0">IF(J2&gt;AVERAGE($J$2:$J$100)+3*STDEV($J$2:$J$100)," high Outlier","Normal")</f>
        <v>Normal</v>
      </c>
      <c r="AL2" t="str">
        <f t="shared" ref="AL2:AL65" si="1">IF(J2&gt;AVERAGE($J$2:$J$100)-3*STDEV($J$2:$J$100),"low Outlier","Normal")</f>
        <v>low Outlier</v>
      </c>
      <c r="AM2">
        <f ca="1">INT((TODAY()-HRDataset_v14[[#This Row],[DOB]])/365.25)</f>
        <v>42</v>
      </c>
      <c r="AN2">
        <f ca="1">DATEDIF(HRDataset_v14[[#This Row],[DateofHire]],TODAY(),"Y")</f>
        <v>14</v>
      </c>
      <c r="AO2">
        <f ca="1">IF(ISBLANK(HRDataset_v14[[#This Row],[DateofTermination]]),DATEDIF(HRDataset_v14[[#This Row],[DateofHire]],TODAY(),"Y"),DATEDIF(HRDataset_v14[[#This Row],[DateofHire]],HRDataset_v14[[#This Row],[DateofTermination]],"Y"))</f>
        <v>14</v>
      </c>
      <c r="AP2" t="str">
        <f ca="1">IF(HRDataset_v14[[#This Row],[Tenure in Years
]]&lt;1,"0-1 Year",IF(HRDataset_v14[[#This Row],[Tenure in Years
]]&lt;3,"1-3 Years",IF(HRDataset_v14[[#This Row],[Tenure in Years
]]&lt;5,"3-5 Years",IF(HRDataset_v14[[#This Row],[Tenure in Years
]]&lt;10,"5-10 Years","10+ Years"))))</f>
        <v>10+ Years</v>
      </c>
      <c r="AQ2" t="str">
        <f ca="1">IF(HRDataset_v14[[#This Row],[Age Calculation
]]&lt;26,"18-25",IF(HRDataset_v14[[#This Row],[Age Calculation
]]&lt;36,"26-35",IF(HRDataset_v14[[#This Row],[Age Calculation
]]&lt;46,"36-45",IF(HRDataset_v14[[#This Row],[Age Calculation
]]&lt;56,"46-55","55+"))))</f>
        <v>36-45</v>
      </c>
      <c r="AR2" t="str">
        <f>IF(HRDataset_v14[[#This Row],[Salary]]&lt;40000,"Entry (&lt;40K)",IF(HRDataset_v14[[#This Row],[Salary]]&lt;70000,"Mid (40-70K)",IF(HRDataset_v14[[#This Row],[Salary]]&lt;100000,"Senior (70-100K)","Executive (100K+)")))</f>
        <v>Mid (40-70K)</v>
      </c>
      <c r="AS2">
        <f>IF(HRDataset_v14[[#This Row],[EmploymentStatus]]="Active",1,0)</f>
        <v>1</v>
      </c>
      <c r="AT2">
        <f>YEAR(HRDataset_v14[[#This Row],[DateofHire]])</f>
        <v>2011</v>
      </c>
      <c r="AU2">
        <v>5</v>
      </c>
      <c r="AV2" t="str">
        <f>"Q"&amp;ROUNDUP(MONTH(HRDataset_v14[[#This Row],[DateofHire]])/3,0)</f>
        <v>Q3</v>
      </c>
      <c r="AW2" t="str">
        <f>TEXT(HRDataset_v14[[#This Row],[DateofHire]],"MMM")</f>
        <v>Jul</v>
      </c>
      <c r="AX2" t="str">
        <f>TEXT(HRDataset_v14[[#This Row],[DateofHire]],"YYYY-MM")</f>
        <v>2011-07</v>
      </c>
      <c r="AY2" t="str">
        <f>IF(ISBLANK(HRDataset_v14[[#This Row],[DateofTermination]]),"N/A",YEAR(HRDataset_v14[[#This Row],[DateofTermination]]))</f>
        <v>N/A</v>
      </c>
      <c r="AZ2" t="str" cm="1">
        <f t="array" ref="AZ2">INDEX(_xlfn.UNIQUE(Z2:Z312),MATCH(MAX(COUNTIF(Z2:Z312,_xlfn.UNIQUE(Z2:Z312))),COUNTIF(Z2:Z312,_xlfn.UNIQUE(Z2:Z312)),0))</f>
        <v xml:space="preserve">Production       </v>
      </c>
      <c r="BA2">
        <f t="shared" ref="BA2" si="2">COUNTIFS(AA2:AA312,AA2,K2:K312,1)
/COUNTIF(AA2:AA312,AA2)*100</f>
        <v>40.909090909090914</v>
      </c>
      <c r="BB2">
        <f t="shared" ref="BB2" si="3">COUNTIFS(X2:X312,X2,K2:K312,1)</f>
        <v>0</v>
      </c>
      <c r="BC2" t="str">
        <f t="shared" ref="BC2:BC65" si="4">IF(OR(AD2="PIP",AD2="Needs Improvement",AE2&lt;=2),"High",
IF(OR(AD2="Fully Meets",AE2=3),"Medium",
IF(AND(AD2="Exceeds",AE2&gt;=4),"Low","Medium")))</f>
        <v>Low</v>
      </c>
      <c r="BD2">
        <f>IF($K2=0,$AE2,"")</f>
        <v>4.5999999999999996</v>
      </c>
      <c r="BE2" t="str">
        <f>IF($K2=1,$AE2,"")</f>
        <v/>
      </c>
      <c r="BG2">
        <f>ROWS(HRDataset_v14[])</f>
        <v>311</v>
      </c>
      <c r="BH2" t="s">
        <v>643</v>
      </c>
      <c r="BI2" t="s">
        <v>701</v>
      </c>
      <c r="BJ2" t="s">
        <v>49</v>
      </c>
      <c r="BT2">
        <f t="shared" ref="BT2:BT65" si="5">IF($K2=0,$AE2,"")</f>
        <v>4.5999999999999996</v>
      </c>
      <c r="BV2">
        <v>4.5999999999999996</v>
      </c>
      <c r="BW2">
        <v>4.96</v>
      </c>
    </row>
    <row r="3" spans="1:75" x14ac:dyDescent="0.3">
      <c r="A3" t="s">
        <v>51</v>
      </c>
      <c r="B3">
        <v>10084</v>
      </c>
      <c r="C3">
        <v>1</v>
      </c>
      <c r="D3">
        <v>1</v>
      </c>
      <c r="E3">
        <v>1</v>
      </c>
      <c r="F3">
        <v>5</v>
      </c>
      <c r="G3">
        <v>3</v>
      </c>
      <c r="H3">
        <v>3</v>
      </c>
      <c r="I3">
        <v>0</v>
      </c>
      <c r="J3">
        <v>104437</v>
      </c>
      <c r="K3">
        <v>1</v>
      </c>
      <c r="L3">
        <v>27</v>
      </c>
      <c r="M3" t="s">
        <v>52</v>
      </c>
      <c r="N3" t="s">
        <v>38</v>
      </c>
      <c r="O3">
        <v>2148</v>
      </c>
      <c r="P3">
        <v>27519</v>
      </c>
      <c r="Q3" t="s">
        <v>39</v>
      </c>
      <c r="R3" t="s">
        <v>53</v>
      </c>
      <c r="S3" t="s">
        <v>41</v>
      </c>
      <c r="T3" t="s">
        <v>42</v>
      </c>
      <c r="U3" t="s">
        <v>43</v>
      </c>
      <c r="V3">
        <v>42093</v>
      </c>
      <c r="W3">
        <v>42537</v>
      </c>
      <c r="X3" t="s">
        <v>55</v>
      </c>
      <c r="Y3" t="s">
        <v>56</v>
      </c>
      <c r="Z3" t="s">
        <v>57</v>
      </c>
      <c r="AA3" t="s">
        <v>58</v>
      </c>
      <c r="AB3">
        <v>4</v>
      </c>
      <c r="AC3" t="s">
        <v>59</v>
      </c>
      <c r="AD3" t="s">
        <v>60</v>
      </c>
      <c r="AE3">
        <v>4.96</v>
      </c>
      <c r="AF3">
        <v>3</v>
      </c>
      <c r="AG3">
        <v>6</v>
      </c>
      <c r="AH3" t="s">
        <v>61</v>
      </c>
      <c r="AI3">
        <v>0</v>
      </c>
      <c r="AJ3">
        <v>17</v>
      </c>
      <c r="AK3" t="str">
        <f t="shared" si="0"/>
        <v>Normal</v>
      </c>
      <c r="AL3" t="str">
        <f t="shared" si="1"/>
        <v>low Outlier</v>
      </c>
      <c r="AM3">
        <f ca="1">INT((TODAY()-HRDataset_v14[[#This Row],[DOB]])/365.25)</f>
        <v>50</v>
      </c>
      <c r="AN3">
        <f ca="1">DATEDIF(HRDataset_v14[[#This Row],[DateofHire]],TODAY(),"Y")</f>
        <v>11</v>
      </c>
      <c r="AO3">
        <f ca="1">IF(ISBLANK(HRDataset_v14[[#This Row],[DateofTermination]]),DATEDIF(HRDataset_v14[[#This Row],[DateofHire]],TODAY(),"Y"),DATEDIF(HRDataset_v14[[#This Row],[DateofHire]],HRDataset_v14[[#This Row],[DateofTermination]],"Y"))</f>
        <v>1</v>
      </c>
      <c r="AP3" t="str">
        <f ca="1">IF(HRDataset_v14[[#This Row],[Tenure in Years
]]&lt;1,"0-1 Year",IF(HRDataset_v14[[#This Row],[Tenure in Years
]]&lt;3,"1-3 Years",IF(HRDataset_v14[[#This Row],[Tenure in Years
]]&lt;5,"3-5 Years",IF(HRDataset_v14[[#This Row],[Tenure in Years
]]&lt;10,"5-10 Years","10+ Years"))))</f>
        <v>10+ Years</v>
      </c>
      <c r="AQ3" t="str">
        <f ca="1">IF(HRDataset_v14[[#This Row],[Age Calculation
]]&lt;26,"18-25",IF(HRDataset_v14[[#This Row],[Age Calculation
]]&lt;36,"26-35",IF(HRDataset_v14[[#This Row],[Age Calculation
]]&lt;46,"36-45",IF(HRDataset_v14[[#This Row],[Age Calculation
]]&lt;56,"46-55","55+"))))</f>
        <v>46-55</v>
      </c>
      <c r="AR3" t="str">
        <f>IF(HRDataset_v14[[#This Row],[Salary]]&lt;40000,"Entry (&lt;40K)",IF(HRDataset_v14[[#This Row],[Salary]]&lt;70000,"Mid (40-70K)",IF(HRDataset_v14[[#This Row],[Salary]]&lt;100000,"Senior (70-100K)","Executive (100K+)")))</f>
        <v>Executive (100K+)</v>
      </c>
      <c r="AS3">
        <f>IF(HRDataset_v14[[#This Row],[EmploymentStatus]]="Active",1,0)</f>
        <v>0</v>
      </c>
      <c r="AT3">
        <f>YEAR(HRDataset_v14[[#This Row],[DateofHire]])</f>
        <v>2015</v>
      </c>
      <c r="AU3">
        <f>MONTH(HRDataset_v14[[#This Row],[DateofHire]])</f>
        <v>3</v>
      </c>
      <c r="AV3" t="str">
        <f>"Q"&amp;ROUNDUP(MONTH(HRDataset_v14[[#This Row],[DateofHire]])/3,0)</f>
        <v>Q1</v>
      </c>
      <c r="AW3" t="str">
        <f>TEXT(HRDataset_v14[[#This Row],[DateofHire]],"MMM")</f>
        <v>Mar</v>
      </c>
      <c r="AX3" t="str">
        <f>TEXT(HRDataset_v14[[#This Row],[DateofHire]],"YYYY-MM")</f>
        <v>2015-03</v>
      </c>
      <c r="AY3">
        <f>IF(ISBLANK(HRDataset_v14[[#This Row],[DateofTermination]]),"N/A",YEAR(HRDataset_v14[[#This Row],[DateofTermination]]))</f>
        <v>2016</v>
      </c>
      <c r="AZ3" t="str" cm="1">
        <f t="array" ref="AZ3">INDEX(_xlfn.UNIQUE(Z3:Z313),MATCH(MAX(COUNTIF(Z3:Z313,_xlfn.UNIQUE(Z3:Z313))),COUNTIF(Z3:Z313,_xlfn.UNIQUE(Z3:Z313)),0))</f>
        <v xml:space="preserve">Production       </v>
      </c>
      <c r="BA3">
        <f t="shared" ref="BA3:BA66" si="6">COUNTIFS(AA3:AA313,AA3,K3:K313,1)
/COUNTIF(AA3:AA313,AA3)*100</f>
        <v>47.058823529411761</v>
      </c>
      <c r="BB3">
        <f t="shared" ref="BB3:BB66" si="7">COUNTIFS(X3:X313,X3,K3:K313,1)</f>
        <v>9</v>
      </c>
      <c r="BC3" t="str">
        <f t="shared" si="4"/>
        <v>Medium</v>
      </c>
      <c r="BD3" t="str">
        <f>IF($K3=0,$AE3,"")</f>
        <v/>
      </c>
      <c r="BE3">
        <f t="shared" ref="BE3:BE65" si="8">IF($K3=1,$AE3,"")</f>
        <v>4.96</v>
      </c>
      <c r="BF3" t="s">
        <v>653</v>
      </c>
      <c r="BG3" t="s">
        <v>627</v>
      </c>
      <c r="BI3" t="s">
        <v>702</v>
      </c>
      <c r="BJ3">
        <f>COUNTIF(AD2:AD312,"Exceeds")</f>
        <v>37</v>
      </c>
      <c r="BT3" t="str">
        <f t="shared" si="5"/>
        <v/>
      </c>
      <c r="BV3">
        <v>4.84</v>
      </c>
      <c r="BW3">
        <v>3.02</v>
      </c>
    </row>
    <row r="4" spans="1:75" x14ac:dyDescent="0.3">
      <c r="A4" t="s">
        <v>62</v>
      </c>
      <c r="B4">
        <v>10196</v>
      </c>
      <c r="C4">
        <v>1</v>
      </c>
      <c r="D4">
        <v>1</v>
      </c>
      <c r="E4">
        <v>0</v>
      </c>
      <c r="F4">
        <v>5</v>
      </c>
      <c r="G4">
        <v>5</v>
      </c>
      <c r="H4">
        <v>3</v>
      </c>
      <c r="I4">
        <v>0</v>
      </c>
      <c r="J4">
        <v>64955</v>
      </c>
      <c r="K4">
        <v>1</v>
      </c>
      <c r="L4">
        <v>20</v>
      </c>
      <c r="M4" t="s">
        <v>63</v>
      </c>
      <c r="N4" t="s">
        <v>38</v>
      </c>
      <c r="O4">
        <v>1810</v>
      </c>
      <c r="P4">
        <v>32408</v>
      </c>
      <c r="Q4" t="s">
        <v>64</v>
      </c>
      <c r="R4" t="s">
        <v>53</v>
      </c>
      <c r="S4" t="s">
        <v>41</v>
      </c>
      <c r="T4" t="s">
        <v>42</v>
      </c>
      <c r="U4" t="s">
        <v>43</v>
      </c>
      <c r="V4">
        <v>40729</v>
      </c>
      <c r="W4">
        <v>41176</v>
      </c>
      <c r="X4" t="s">
        <v>65</v>
      </c>
      <c r="Y4" t="s">
        <v>56</v>
      </c>
      <c r="Z4" t="s">
        <v>46</v>
      </c>
      <c r="AA4" t="s">
        <v>66</v>
      </c>
      <c r="AB4">
        <v>20</v>
      </c>
      <c r="AC4" t="s">
        <v>48</v>
      </c>
      <c r="AD4" t="s">
        <v>60</v>
      </c>
      <c r="AE4">
        <v>3.02</v>
      </c>
      <c r="AF4">
        <v>3</v>
      </c>
      <c r="AG4">
        <v>0</v>
      </c>
      <c r="AH4" t="s">
        <v>67</v>
      </c>
      <c r="AI4">
        <v>0</v>
      </c>
      <c r="AJ4">
        <v>3</v>
      </c>
      <c r="AK4" t="str">
        <f t="shared" si="0"/>
        <v>Normal</v>
      </c>
      <c r="AL4" t="str">
        <f t="shared" si="1"/>
        <v>low Outlier</v>
      </c>
      <c r="AM4">
        <f ca="1">INT((TODAY()-HRDataset_v14[[#This Row],[DOB]])/365.25)</f>
        <v>37</v>
      </c>
      <c r="AN4">
        <f ca="1">DATEDIF(HRDataset_v14[[#This Row],[DateofHire]],TODAY(),"Y")</f>
        <v>14</v>
      </c>
      <c r="AO4">
        <f ca="1">IF(ISBLANK(HRDataset_v14[[#This Row],[DateofTermination]]),DATEDIF(HRDataset_v14[[#This Row],[DateofHire]],TODAY(),"Y"),DATEDIF(HRDataset_v14[[#This Row],[DateofHire]],HRDataset_v14[[#This Row],[DateofTermination]],"Y"))</f>
        <v>1</v>
      </c>
      <c r="AP4" t="str">
        <f ca="1">IF(HRDataset_v14[[#This Row],[Tenure in Years
]]&lt;1,"0-1 Year",IF(HRDataset_v14[[#This Row],[Tenure in Years
]]&lt;3,"1-3 Years",IF(HRDataset_v14[[#This Row],[Tenure in Years
]]&lt;5,"3-5 Years",IF(HRDataset_v14[[#This Row],[Tenure in Years
]]&lt;10,"5-10 Years","10+ Years"))))</f>
        <v>10+ Years</v>
      </c>
      <c r="AQ4" t="str">
        <f ca="1">IF(HRDataset_v14[[#This Row],[Age Calculation
]]&lt;26,"18-25",IF(HRDataset_v14[[#This Row],[Age Calculation
]]&lt;36,"26-35",IF(HRDataset_v14[[#This Row],[Age Calculation
]]&lt;46,"36-45",IF(HRDataset_v14[[#This Row],[Age Calculation
]]&lt;56,"46-55","55+"))))</f>
        <v>36-45</v>
      </c>
      <c r="AR4" t="str">
        <f>IF(HRDataset_v14[[#This Row],[Salary]]&lt;40000,"Entry (&lt;40K)",IF(HRDataset_v14[[#This Row],[Salary]]&lt;70000,"Mid (40-70K)",IF(HRDataset_v14[[#This Row],[Salary]]&lt;100000,"Senior (70-100K)","Executive (100K+)")))</f>
        <v>Mid (40-70K)</v>
      </c>
      <c r="AS4">
        <f>IF(HRDataset_v14[[#This Row],[EmploymentStatus]]="Active",1,0)</f>
        <v>0</v>
      </c>
      <c r="AT4">
        <f>YEAR(HRDataset_v14[[#This Row],[DateofHire]])</f>
        <v>2011</v>
      </c>
      <c r="AU4">
        <f>MONTH(HRDataset_v14[[#This Row],[DateofHire]])</f>
        <v>7</v>
      </c>
      <c r="AV4" t="str">
        <f>"Q"&amp;ROUNDUP(MONTH(HRDataset_v14[[#This Row],[DateofHire]])/3,0)</f>
        <v>Q3</v>
      </c>
      <c r="AW4" t="str">
        <f>TEXT(HRDataset_v14[[#This Row],[DateofHire]],"MMM")</f>
        <v>Jul</v>
      </c>
      <c r="AX4" t="str">
        <f>TEXT(HRDataset_v14[[#This Row],[DateofHire]],"YYYY-MM")</f>
        <v>2011-07</v>
      </c>
      <c r="AY4">
        <f>IF(ISBLANK(HRDataset_v14[[#This Row],[DateofTermination]]),"N/A",YEAR(HRDataset_v14[[#This Row],[DateofTermination]]))</f>
        <v>2012</v>
      </c>
      <c r="AZ4" t="str" cm="1">
        <f t="array" ref="AZ4">INDEX(_xlfn.UNIQUE(Z4:Z314),MATCH(MAX(COUNTIF(Z4:Z314,_xlfn.UNIQUE(Z4:Z314))),COUNTIF(Z4:Z314,_xlfn.UNIQUE(Z4:Z314)),0))</f>
        <v xml:space="preserve">Production       </v>
      </c>
      <c r="BA4">
        <f t="shared" si="6"/>
        <v>54.54545454545454</v>
      </c>
      <c r="BB4">
        <f t="shared" si="7"/>
        <v>8</v>
      </c>
      <c r="BC4" t="str">
        <f t="shared" si="4"/>
        <v>Medium</v>
      </c>
      <c r="BD4" t="str">
        <f t="shared" ref="BD4:BD65" si="9">IF($K4=0,$AE4,"")</f>
        <v/>
      </c>
      <c r="BE4">
        <f t="shared" si="8"/>
        <v>3.02</v>
      </c>
      <c r="BF4" t="s">
        <v>654</v>
      </c>
      <c r="BG4">
        <f>COUNTBLANK(HRDataset_v14[[EmpID]:[Absences]])</f>
        <v>215</v>
      </c>
      <c r="BH4" t="s">
        <v>814</v>
      </c>
      <c r="BI4">
        <f>COUNTIF(AC:AC,"LinkedIn")</f>
        <v>76</v>
      </c>
      <c r="BJ4" t="s">
        <v>60</v>
      </c>
      <c r="BP4" t="s">
        <v>805</v>
      </c>
      <c r="BQ4" t="s">
        <v>806</v>
      </c>
      <c r="BT4" t="str">
        <f t="shared" si="5"/>
        <v/>
      </c>
      <c r="BV4">
        <v>5</v>
      </c>
      <c r="BW4">
        <v>5</v>
      </c>
    </row>
    <row r="5" spans="1:75" x14ac:dyDescent="0.3">
      <c r="A5" t="s">
        <v>68</v>
      </c>
      <c r="B5">
        <v>10088</v>
      </c>
      <c r="C5">
        <v>1</v>
      </c>
      <c r="D5">
        <v>1</v>
      </c>
      <c r="E5">
        <v>0</v>
      </c>
      <c r="F5">
        <v>1</v>
      </c>
      <c r="G5">
        <v>5</v>
      </c>
      <c r="H5">
        <v>3</v>
      </c>
      <c r="I5">
        <v>0</v>
      </c>
      <c r="J5">
        <v>64991</v>
      </c>
      <c r="K5">
        <v>0</v>
      </c>
      <c r="L5">
        <v>19</v>
      </c>
      <c r="M5" t="s">
        <v>37</v>
      </c>
      <c r="N5" t="s">
        <v>38</v>
      </c>
      <c r="O5">
        <v>1886</v>
      </c>
      <c r="P5">
        <v>32393</v>
      </c>
      <c r="Q5" t="s">
        <v>64</v>
      </c>
      <c r="R5" t="s">
        <v>53</v>
      </c>
      <c r="S5" t="s">
        <v>41</v>
      </c>
      <c r="T5" t="s">
        <v>42</v>
      </c>
      <c r="U5" t="s">
        <v>43</v>
      </c>
      <c r="V5">
        <v>39454</v>
      </c>
      <c r="X5" t="s">
        <v>44</v>
      </c>
      <c r="Y5" t="s">
        <v>45</v>
      </c>
      <c r="Z5" t="s">
        <v>46</v>
      </c>
      <c r="AA5" t="s">
        <v>69</v>
      </c>
      <c r="AB5">
        <v>16</v>
      </c>
      <c r="AC5" t="s">
        <v>59</v>
      </c>
      <c r="AD5" t="s">
        <v>60</v>
      </c>
      <c r="AE5">
        <v>4.84</v>
      </c>
      <c r="AF5">
        <v>5</v>
      </c>
      <c r="AG5">
        <v>0</v>
      </c>
      <c r="AH5" t="s">
        <v>70</v>
      </c>
      <c r="AI5">
        <v>0</v>
      </c>
      <c r="AJ5">
        <v>15</v>
      </c>
      <c r="AK5" t="str">
        <f t="shared" si="0"/>
        <v>Normal</v>
      </c>
      <c r="AL5" t="str">
        <f t="shared" si="1"/>
        <v>low Outlier</v>
      </c>
      <c r="AM5">
        <f ca="1">INT((TODAY()-HRDataset_v14[[#This Row],[DOB]])/365.25)</f>
        <v>37</v>
      </c>
      <c r="AN5">
        <f ca="1">DATEDIF(HRDataset_v14[[#This Row],[DateofHire]],TODAY(),"Y")</f>
        <v>18</v>
      </c>
      <c r="AO5">
        <f ca="1">IF(ISBLANK(HRDataset_v14[[#This Row],[DateofTermination]]),DATEDIF(HRDataset_v14[[#This Row],[DateofHire]],TODAY(),"Y"),DATEDIF(HRDataset_v14[[#This Row],[DateofHire]],HRDataset_v14[[#This Row],[DateofTermination]],"Y"))</f>
        <v>18</v>
      </c>
      <c r="AP5" t="str">
        <f ca="1">IF(HRDataset_v14[[#This Row],[Tenure in Years
]]&lt;1,"0-1 Year",IF(HRDataset_v14[[#This Row],[Tenure in Years
]]&lt;3,"1-3 Years",IF(HRDataset_v14[[#This Row],[Tenure in Years
]]&lt;5,"3-5 Years",IF(HRDataset_v14[[#This Row],[Tenure in Years
]]&lt;10,"5-10 Years","10+ Years"))))</f>
        <v>10+ Years</v>
      </c>
      <c r="AQ5" t="str">
        <f ca="1">IF(HRDataset_v14[[#This Row],[Age Calculation
]]&lt;26,"18-25",IF(HRDataset_v14[[#This Row],[Age Calculation
]]&lt;36,"26-35",IF(HRDataset_v14[[#This Row],[Age Calculation
]]&lt;46,"36-45",IF(HRDataset_v14[[#This Row],[Age Calculation
]]&lt;56,"46-55","55+"))))</f>
        <v>36-45</v>
      </c>
      <c r="AR5" t="str">
        <f>IF(HRDataset_v14[[#This Row],[Salary]]&lt;40000,"Entry (&lt;40K)",IF(HRDataset_v14[[#This Row],[Salary]]&lt;70000,"Mid (40-70K)",IF(HRDataset_v14[[#This Row],[Salary]]&lt;100000,"Senior (70-100K)","Executive (100K+)")))</f>
        <v>Mid (40-70K)</v>
      </c>
      <c r="AS5">
        <f>IF(HRDataset_v14[[#This Row],[EmploymentStatus]]="Active",1,0)</f>
        <v>1</v>
      </c>
      <c r="AT5">
        <f>YEAR(HRDataset_v14[[#This Row],[DateofHire]])</f>
        <v>2008</v>
      </c>
      <c r="AU5">
        <f>MONTH(HRDataset_v14[[#This Row],[DateofHire]])</f>
        <v>1</v>
      </c>
      <c r="AV5" t="str">
        <f>"Q"&amp;ROUNDUP(MONTH(HRDataset_v14[[#This Row],[DateofHire]])/3,0)</f>
        <v>Q1</v>
      </c>
      <c r="AW5" t="str">
        <f>TEXT(HRDataset_v14[[#This Row],[DateofHire]],"MMM")</f>
        <v>Jan</v>
      </c>
      <c r="AX5" t="str">
        <f>TEXT(HRDataset_v14[[#This Row],[DateofHire]],"YYYY-MM")</f>
        <v>2008-01</v>
      </c>
      <c r="AY5" t="str">
        <f>IF(ISBLANK(HRDataset_v14[[#This Row],[DateofTermination]]),"N/A",YEAR(HRDataset_v14[[#This Row],[DateofTermination]]))</f>
        <v>N/A</v>
      </c>
      <c r="AZ5" t="str" cm="1">
        <f t="array" ref="AZ5">INDEX(_xlfn.UNIQUE(Z5:Z315),MATCH(MAX(COUNTIF(Z5:Z315,_xlfn.UNIQUE(Z5:Z315))),COUNTIF(Z5:Z315,_xlfn.UNIQUE(Z5:Z315)),0))</f>
        <v xml:space="preserve">Production       </v>
      </c>
      <c r="BA5">
        <f t="shared" si="6"/>
        <v>36.363636363636367</v>
      </c>
      <c r="BB5">
        <f t="shared" si="7"/>
        <v>0</v>
      </c>
      <c r="BC5" t="str">
        <f t="shared" si="4"/>
        <v>Medium</v>
      </c>
      <c r="BD5">
        <f t="shared" si="9"/>
        <v>4.84</v>
      </c>
      <c r="BE5" t="str">
        <f t="shared" si="8"/>
        <v/>
      </c>
      <c r="BF5">
        <f>COUNTIF(Q:Q,"*M*")</f>
        <v>135</v>
      </c>
      <c r="BG5" t="s">
        <v>628</v>
      </c>
      <c r="BH5" t="str">
        <f>BH27</f>
        <v>Terminated for Cause</v>
      </c>
      <c r="BI5" t="s">
        <v>703</v>
      </c>
      <c r="BJ5">
        <f>COUNTIF(AD2:AD312,"Fully Meets")</f>
        <v>243</v>
      </c>
      <c r="BL5" t="s">
        <v>798</v>
      </c>
      <c r="BM5" t="s">
        <v>799</v>
      </c>
      <c r="BN5" t="s">
        <v>800</v>
      </c>
      <c r="BP5" t="s">
        <v>803</v>
      </c>
      <c r="BQ5">
        <f>BN6</f>
        <v>9.9358974358974353E-2</v>
      </c>
      <c r="BT5">
        <f t="shared" si="5"/>
        <v>4.84</v>
      </c>
      <c r="BV5">
        <v>3.04</v>
      </c>
      <c r="BW5">
        <v>4.2</v>
      </c>
    </row>
    <row r="6" spans="1:75" x14ac:dyDescent="0.3">
      <c r="A6" t="s">
        <v>71</v>
      </c>
      <c r="B6">
        <v>10069</v>
      </c>
      <c r="C6">
        <v>0</v>
      </c>
      <c r="D6">
        <v>2</v>
      </c>
      <c r="E6">
        <v>0</v>
      </c>
      <c r="F6">
        <v>5</v>
      </c>
      <c r="G6">
        <v>5</v>
      </c>
      <c r="H6">
        <v>3</v>
      </c>
      <c r="I6">
        <v>0</v>
      </c>
      <c r="J6">
        <v>50825</v>
      </c>
      <c r="K6">
        <v>1</v>
      </c>
      <c r="L6">
        <v>19</v>
      </c>
      <c r="M6" t="s">
        <v>37</v>
      </c>
      <c r="N6" t="s">
        <v>38</v>
      </c>
      <c r="O6">
        <v>2169</v>
      </c>
      <c r="P6">
        <v>32759</v>
      </c>
      <c r="Q6" t="s">
        <v>64</v>
      </c>
      <c r="R6" t="s">
        <v>72</v>
      </c>
      <c r="S6" t="s">
        <v>41</v>
      </c>
      <c r="T6" t="s">
        <v>42</v>
      </c>
      <c r="U6" t="s">
        <v>43</v>
      </c>
      <c r="V6">
        <v>40735</v>
      </c>
      <c r="W6">
        <v>42619</v>
      </c>
      <c r="X6" t="s">
        <v>73</v>
      </c>
      <c r="Y6" t="s">
        <v>56</v>
      </c>
      <c r="Z6" t="s">
        <v>46</v>
      </c>
      <c r="AA6" t="s">
        <v>74</v>
      </c>
      <c r="AB6">
        <v>39</v>
      </c>
      <c r="AC6" t="s">
        <v>75</v>
      </c>
      <c r="AD6" t="s">
        <v>60</v>
      </c>
      <c r="AE6">
        <v>5</v>
      </c>
      <c r="AF6">
        <v>4</v>
      </c>
      <c r="AG6">
        <v>0</v>
      </c>
      <c r="AH6" t="s">
        <v>76</v>
      </c>
      <c r="AI6">
        <v>0</v>
      </c>
      <c r="AJ6">
        <v>2</v>
      </c>
      <c r="AK6" t="str">
        <f t="shared" si="0"/>
        <v>Normal</v>
      </c>
      <c r="AL6" t="str">
        <f t="shared" si="1"/>
        <v>low Outlier</v>
      </c>
      <c r="AM6">
        <f ca="1">INT((TODAY()-HRDataset_v14[[#This Row],[DOB]])/365.25)</f>
        <v>36</v>
      </c>
      <c r="AN6">
        <f ca="1">DATEDIF(HRDataset_v14[[#This Row],[DateofHire]],TODAY(),"Y")</f>
        <v>14</v>
      </c>
      <c r="AO6">
        <f ca="1">IF(ISBLANK(HRDataset_v14[[#This Row],[DateofTermination]]),DATEDIF(HRDataset_v14[[#This Row],[DateofHire]],TODAY(),"Y"),DATEDIF(HRDataset_v14[[#This Row],[DateofHire]],HRDataset_v14[[#This Row],[DateofTermination]],"Y"))</f>
        <v>5</v>
      </c>
      <c r="AP6" t="str">
        <f ca="1">IF(HRDataset_v14[[#This Row],[Tenure in Years
]]&lt;1,"0-1 Year",IF(HRDataset_v14[[#This Row],[Tenure in Years
]]&lt;3,"1-3 Years",IF(HRDataset_v14[[#This Row],[Tenure in Years
]]&lt;5,"3-5 Years",IF(HRDataset_v14[[#This Row],[Tenure in Years
]]&lt;10,"5-10 Years","10+ Years"))))</f>
        <v>10+ Years</v>
      </c>
      <c r="AQ6" t="str">
        <f ca="1">IF(HRDataset_v14[[#This Row],[Age Calculation
]]&lt;26,"18-25",IF(HRDataset_v14[[#This Row],[Age Calculation
]]&lt;36,"26-35",IF(HRDataset_v14[[#This Row],[Age Calculation
]]&lt;46,"36-45",IF(HRDataset_v14[[#This Row],[Age Calculation
]]&lt;56,"46-55","55+"))))</f>
        <v>36-45</v>
      </c>
      <c r="AR6" t="str">
        <f>IF(HRDataset_v14[[#This Row],[Salary]]&lt;40000,"Entry (&lt;40K)",IF(HRDataset_v14[[#This Row],[Salary]]&lt;70000,"Mid (40-70K)",IF(HRDataset_v14[[#This Row],[Salary]]&lt;100000,"Senior (70-100K)","Executive (100K+)")))</f>
        <v>Mid (40-70K)</v>
      </c>
      <c r="AS6">
        <f>IF(HRDataset_v14[[#This Row],[EmploymentStatus]]="Active",1,0)</f>
        <v>0</v>
      </c>
      <c r="AT6">
        <f>YEAR(HRDataset_v14[[#This Row],[DateofHire]])</f>
        <v>2011</v>
      </c>
      <c r="AU6">
        <f>MONTH(HRDataset_v14[[#This Row],[DateofHire]])</f>
        <v>7</v>
      </c>
      <c r="AV6" t="str">
        <f>"Q"&amp;ROUNDUP(MONTH(HRDataset_v14[[#This Row],[DateofHire]])/3,0)</f>
        <v>Q3</v>
      </c>
      <c r="AW6" t="str">
        <f>TEXT(HRDataset_v14[[#This Row],[DateofHire]],"MMM")</f>
        <v>Jul</v>
      </c>
      <c r="AX6" t="str">
        <f>TEXT(HRDataset_v14[[#This Row],[DateofHire]],"YYYY-MM")</f>
        <v>2011-07</v>
      </c>
      <c r="AY6">
        <f>IF(ISBLANK(HRDataset_v14[[#This Row],[DateofTermination]]),"N/A",YEAR(HRDataset_v14[[#This Row],[DateofTermination]]))</f>
        <v>2016</v>
      </c>
      <c r="AZ6" t="str" cm="1">
        <f t="array" ref="AZ6">INDEX(_xlfn.UNIQUE(Z6:Z316),MATCH(MAX(COUNTIF(Z6:Z316,_xlfn.UNIQUE(Z6:Z316))),COUNTIF(Z6:Z316,_xlfn.UNIQUE(Z6:Z316)),0))</f>
        <v xml:space="preserve">Production       </v>
      </c>
      <c r="BA6">
        <f t="shared" si="6"/>
        <v>61.904761904761905</v>
      </c>
      <c r="BB6">
        <f t="shared" si="7"/>
        <v>5</v>
      </c>
      <c r="BC6" t="str">
        <f t="shared" si="4"/>
        <v>Medium</v>
      </c>
      <c r="BD6" t="str">
        <f t="shared" si="9"/>
        <v/>
      </c>
      <c r="BE6">
        <f t="shared" si="8"/>
        <v>5</v>
      </c>
      <c r="BF6" t="s">
        <v>655</v>
      </c>
      <c r="BG6" t="str">
        <f>IF(COUNTIF($A$2:$A$312,A2)&gt;1,"Duplicate","Unique")</f>
        <v>Unique</v>
      </c>
      <c r="BH6" t="s">
        <v>644</v>
      </c>
      <c r="BI6">
        <f>COUNTIF(AC:AC,"Indeed")</f>
        <v>87</v>
      </c>
      <c r="BJ6" t="s">
        <v>141</v>
      </c>
      <c r="BL6" t="s">
        <v>801</v>
      </c>
      <c r="BM6">
        <f>COUNTIF(BC:BC,"High")</f>
        <v>31</v>
      </c>
      <c r="BN6">
        <f>BM6/$BM$9</f>
        <v>9.9358974358974353E-2</v>
      </c>
      <c r="BP6" t="s">
        <v>802</v>
      </c>
      <c r="BQ6">
        <f>BN7</f>
        <v>0.78846153846153844</v>
      </c>
      <c r="BT6" t="str">
        <f t="shared" si="5"/>
        <v/>
      </c>
      <c r="BV6">
        <v>5</v>
      </c>
      <c r="BW6">
        <v>4.2</v>
      </c>
    </row>
    <row r="7" spans="1:75" x14ac:dyDescent="0.3">
      <c r="A7" t="s">
        <v>77</v>
      </c>
      <c r="B7">
        <v>10002</v>
      </c>
      <c r="C7">
        <v>0</v>
      </c>
      <c r="D7">
        <v>0</v>
      </c>
      <c r="E7">
        <v>0</v>
      </c>
      <c r="F7">
        <v>1</v>
      </c>
      <c r="G7">
        <v>5</v>
      </c>
      <c r="H7">
        <v>4</v>
      </c>
      <c r="I7">
        <v>0</v>
      </c>
      <c r="J7">
        <v>57568</v>
      </c>
      <c r="K7">
        <v>0</v>
      </c>
      <c r="L7">
        <v>19</v>
      </c>
      <c r="M7" t="s">
        <v>37</v>
      </c>
      <c r="N7" t="s">
        <v>38</v>
      </c>
      <c r="O7">
        <v>1844</v>
      </c>
      <c r="P7">
        <v>28267</v>
      </c>
      <c r="Q7" t="s">
        <v>64</v>
      </c>
      <c r="R7" t="s">
        <v>40</v>
      </c>
      <c r="S7" t="s">
        <v>41</v>
      </c>
      <c r="T7" t="s">
        <v>42</v>
      </c>
      <c r="U7" t="s">
        <v>43</v>
      </c>
      <c r="V7">
        <v>40917</v>
      </c>
      <c r="X7" t="s">
        <v>44</v>
      </c>
      <c r="Y7" t="s">
        <v>45</v>
      </c>
      <c r="Z7" t="s">
        <v>46</v>
      </c>
      <c r="AA7" t="s">
        <v>78</v>
      </c>
      <c r="AB7">
        <v>11</v>
      </c>
      <c r="AC7" t="s">
        <v>48</v>
      </c>
      <c r="AD7" t="s">
        <v>49</v>
      </c>
      <c r="AE7">
        <v>5</v>
      </c>
      <c r="AF7">
        <v>5</v>
      </c>
      <c r="AG7">
        <v>0</v>
      </c>
      <c r="AH7" t="s">
        <v>79</v>
      </c>
      <c r="AI7">
        <v>0</v>
      </c>
      <c r="AJ7">
        <v>15</v>
      </c>
      <c r="AK7" t="str">
        <f t="shared" si="0"/>
        <v>Normal</v>
      </c>
      <c r="AL7" t="str">
        <f t="shared" si="1"/>
        <v>low Outlier</v>
      </c>
      <c r="AM7">
        <f ca="1">INT((TODAY()-HRDataset_v14[[#This Row],[DOB]])/365.25)</f>
        <v>48</v>
      </c>
      <c r="AN7">
        <f ca="1">DATEDIF(HRDataset_v14[[#This Row],[DateofHire]],TODAY(),"Y")</f>
        <v>14</v>
      </c>
      <c r="AO7">
        <f ca="1">IF(ISBLANK(HRDataset_v14[[#This Row],[DateofTermination]]),DATEDIF(HRDataset_v14[[#This Row],[DateofHire]],TODAY(),"Y"),DATEDIF(HRDataset_v14[[#This Row],[DateofHire]],HRDataset_v14[[#This Row],[DateofTermination]],"Y"))</f>
        <v>14</v>
      </c>
      <c r="AP7" t="str">
        <f ca="1">IF(HRDataset_v14[[#This Row],[Tenure in Years
]]&lt;1,"0-1 Year",IF(HRDataset_v14[[#This Row],[Tenure in Years
]]&lt;3,"1-3 Years",IF(HRDataset_v14[[#This Row],[Tenure in Years
]]&lt;5,"3-5 Years",IF(HRDataset_v14[[#This Row],[Tenure in Years
]]&lt;10,"5-10 Years","10+ Years"))))</f>
        <v>10+ Years</v>
      </c>
      <c r="AQ7" t="str">
        <f ca="1">IF(HRDataset_v14[[#This Row],[Age Calculation
]]&lt;26,"18-25",IF(HRDataset_v14[[#This Row],[Age Calculation
]]&lt;36,"26-35",IF(HRDataset_v14[[#This Row],[Age Calculation
]]&lt;46,"36-45",IF(HRDataset_v14[[#This Row],[Age Calculation
]]&lt;56,"46-55","55+"))))</f>
        <v>46-55</v>
      </c>
      <c r="AR7" t="str">
        <f>IF(HRDataset_v14[[#This Row],[Salary]]&lt;40000,"Entry (&lt;40K)",IF(HRDataset_v14[[#This Row],[Salary]]&lt;70000,"Mid (40-70K)",IF(HRDataset_v14[[#This Row],[Salary]]&lt;100000,"Senior (70-100K)","Executive (100K+)")))</f>
        <v>Mid (40-70K)</v>
      </c>
      <c r="AS7">
        <f>IF(HRDataset_v14[[#This Row],[EmploymentStatus]]="Active",1,0)</f>
        <v>1</v>
      </c>
      <c r="AT7">
        <f>YEAR(HRDataset_v14[[#This Row],[DateofHire]])</f>
        <v>2012</v>
      </c>
      <c r="AU7">
        <f>MONTH(HRDataset_v14[[#This Row],[DateofHire]])</f>
        <v>1</v>
      </c>
      <c r="AV7" t="str">
        <f>"Q"&amp;ROUNDUP(MONTH(HRDataset_v14[[#This Row],[DateofHire]])/3,0)</f>
        <v>Q1</v>
      </c>
      <c r="AW7" t="str">
        <f>TEXT(HRDataset_v14[[#This Row],[DateofHire]],"MMM")</f>
        <v>Jan</v>
      </c>
      <c r="AX7" t="str">
        <f>TEXT(HRDataset_v14[[#This Row],[DateofHire]],"YYYY-MM")</f>
        <v>2012-01</v>
      </c>
      <c r="AY7" t="str">
        <f>IF(ISBLANK(HRDataset_v14[[#This Row],[DateofTermination]]),"N/A",YEAR(HRDataset_v14[[#This Row],[DateofTermination]]))</f>
        <v>N/A</v>
      </c>
      <c r="AZ7" t="str" cm="1">
        <f t="array" ref="AZ7">INDEX(_xlfn.UNIQUE(Z7:Z317),MATCH(MAX(COUNTIF(Z7:Z317,_xlfn.UNIQUE(Z7:Z317))),COUNTIF(Z7:Z317,_xlfn.UNIQUE(Z7:Z317)),0))</f>
        <v xml:space="preserve">Production       </v>
      </c>
      <c r="BA7">
        <f t="shared" si="6"/>
        <v>61.904761904761905</v>
      </c>
      <c r="BB7">
        <f t="shared" si="7"/>
        <v>0</v>
      </c>
      <c r="BC7" t="str">
        <f t="shared" si="4"/>
        <v>Low</v>
      </c>
      <c r="BD7">
        <f t="shared" si="9"/>
        <v>5</v>
      </c>
      <c r="BE7" t="str">
        <f t="shared" si="8"/>
        <v/>
      </c>
      <c r="BF7">
        <f>COUNTIF(Q:Q,"*F*")</f>
        <v>176</v>
      </c>
      <c r="BG7">
        <f>COUNTBLANK(HRDataset_v14[Employee_Name])</f>
        <v>0</v>
      </c>
      <c r="BH7">
        <f>COUNTIF(Z:Z,"IT/IS")</f>
        <v>50</v>
      </c>
      <c r="BI7" t="s">
        <v>88</v>
      </c>
      <c r="BJ7">
        <f>COUNTIF(AD2:AD312,"Needs Improvement")</f>
        <v>18</v>
      </c>
      <c r="BL7" t="s">
        <v>802</v>
      </c>
      <c r="BM7">
        <f>COUNTIF(BC:BC,"Medium")</f>
        <v>246</v>
      </c>
      <c r="BN7">
        <f>BM7/$BM$9</f>
        <v>0.78846153846153844</v>
      </c>
      <c r="BP7" t="s">
        <v>801</v>
      </c>
      <c r="BQ7">
        <f>BN8</f>
        <v>0.10897435897435898</v>
      </c>
      <c r="BT7">
        <f t="shared" si="5"/>
        <v>5</v>
      </c>
      <c r="BV7">
        <v>4.46</v>
      </c>
      <c r="BW7">
        <v>5</v>
      </c>
    </row>
    <row r="8" spans="1:75" x14ac:dyDescent="0.3">
      <c r="A8" t="s">
        <v>80</v>
      </c>
      <c r="B8">
        <v>10194</v>
      </c>
      <c r="C8">
        <v>0</v>
      </c>
      <c r="D8">
        <v>0</v>
      </c>
      <c r="E8">
        <v>0</v>
      </c>
      <c r="F8">
        <v>1</v>
      </c>
      <c r="G8">
        <v>4</v>
      </c>
      <c r="H8">
        <v>3</v>
      </c>
      <c r="I8">
        <v>0</v>
      </c>
      <c r="J8">
        <v>95660</v>
      </c>
      <c r="K8">
        <v>0</v>
      </c>
      <c r="L8">
        <v>24</v>
      </c>
      <c r="M8" t="s">
        <v>81</v>
      </c>
      <c r="N8" t="s">
        <v>38</v>
      </c>
      <c r="O8">
        <v>2110</v>
      </c>
      <c r="P8">
        <v>28999</v>
      </c>
      <c r="Q8" t="s">
        <v>64</v>
      </c>
      <c r="R8" t="s">
        <v>40</v>
      </c>
      <c r="S8" t="s">
        <v>41</v>
      </c>
      <c r="T8" t="s">
        <v>42</v>
      </c>
      <c r="U8" t="s">
        <v>43</v>
      </c>
      <c r="V8">
        <v>41953</v>
      </c>
      <c r="X8" t="s">
        <v>44</v>
      </c>
      <c r="Y8" t="s">
        <v>45</v>
      </c>
      <c r="Z8" t="s">
        <v>82</v>
      </c>
      <c r="AA8" t="s">
        <v>83</v>
      </c>
      <c r="AB8">
        <v>10</v>
      </c>
      <c r="AC8" t="s">
        <v>48</v>
      </c>
      <c r="AD8" t="s">
        <v>60</v>
      </c>
      <c r="AE8">
        <v>3.04</v>
      </c>
      <c r="AF8">
        <v>3</v>
      </c>
      <c r="AG8">
        <v>4</v>
      </c>
      <c r="AH8" t="s">
        <v>84</v>
      </c>
      <c r="AI8">
        <v>0</v>
      </c>
      <c r="AJ8">
        <v>19</v>
      </c>
      <c r="AK8" t="str">
        <f t="shared" si="0"/>
        <v>Normal</v>
      </c>
      <c r="AL8" t="str">
        <f t="shared" si="1"/>
        <v>low Outlier</v>
      </c>
      <c r="AM8">
        <f ca="1">INT((TODAY()-HRDataset_v14[[#This Row],[DOB]])/365.25)</f>
        <v>46</v>
      </c>
      <c r="AN8">
        <f ca="1">DATEDIF(HRDataset_v14[[#This Row],[DateofHire]],TODAY(),"Y")</f>
        <v>11</v>
      </c>
      <c r="AO8">
        <f ca="1">IF(ISBLANK(HRDataset_v14[[#This Row],[DateofTermination]]),DATEDIF(HRDataset_v14[[#This Row],[DateofHire]],TODAY(),"Y"),DATEDIF(HRDataset_v14[[#This Row],[DateofHire]],HRDataset_v14[[#This Row],[DateofTermination]],"Y"))</f>
        <v>11</v>
      </c>
      <c r="AP8" t="str">
        <f ca="1">IF(HRDataset_v14[[#This Row],[Tenure in Years
]]&lt;1,"0-1 Year",IF(HRDataset_v14[[#This Row],[Tenure in Years
]]&lt;3,"1-3 Years",IF(HRDataset_v14[[#This Row],[Tenure in Years
]]&lt;5,"3-5 Years",IF(HRDataset_v14[[#This Row],[Tenure in Years
]]&lt;10,"5-10 Years","10+ Years"))))</f>
        <v>10+ Years</v>
      </c>
      <c r="AQ8" t="str">
        <f ca="1">IF(HRDataset_v14[[#This Row],[Age Calculation
]]&lt;26,"18-25",IF(HRDataset_v14[[#This Row],[Age Calculation
]]&lt;36,"26-35",IF(HRDataset_v14[[#This Row],[Age Calculation
]]&lt;46,"36-45",IF(HRDataset_v14[[#This Row],[Age Calculation
]]&lt;56,"46-55","55+"))))</f>
        <v>46-55</v>
      </c>
      <c r="AR8" t="str">
        <f>IF(HRDataset_v14[[#This Row],[Salary]]&lt;40000,"Entry (&lt;40K)",IF(HRDataset_v14[[#This Row],[Salary]]&lt;70000,"Mid (40-70K)",IF(HRDataset_v14[[#This Row],[Salary]]&lt;100000,"Senior (70-100K)","Executive (100K+)")))</f>
        <v>Senior (70-100K)</v>
      </c>
      <c r="AS8">
        <f>IF(HRDataset_v14[[#This Row],[EmploymentStatus]]="Active",1,0)</f>
        <v>1</v>
      </c>
      <c r="AT8">
        <f>YEAR(HRDataset_v14[[#This Row],[DateofHire]])</f>
        <v>2014</v>
      </c>
      <c r="AU8">
        <f>MONTH(HRDataset_v14[[#This Row],[DateofHire]])</f>
        <v>11</v>
      </c>
      <c r="AV8" t="str">
        <f>"Q"&amp;ROUNDUP(MONTH(HRDataset_v14[[#This Row],[DateofHire]])/3,0)</f>
        <v>Q4</v>
      </c>
      <c r="AW8" t="str">
        <f>TEXT(HRDataset_v14[[#This Row],[DateofHire]],"MMM")</f>
        <v>Nov</v>
      </c>
      <c r="AX8" t="str">
        <f>TEXT(HRDataset_v14[[#This Row],[DateofHire]],"YYYY-MM")</f>
        <v>2014-11</v>
      </c>
      <c r="AY8" t="str">
        <f>IF(ISBLANK(HRDataset_v14[[#This Row],[DateofTermination]]),"N/A",YEAR(HRDataset_v14[[#This Row],[DateofTermination]]))</f>
        <v>N/A</v>
      </c>
      <c r="AZ8" t="str" cm="1">
        <f t="array" ref="AZ8">INDEX(_xlfn.UNIQUE(Z8:Z318),MATCH(MAX(COUNTIF(Z8:Z318,_xlfn.UNIQUE(Z8:Z318))),COUNTIF(Z8:Z318,_xlfn.UNIQUE(Z8:Z318)),0))</f>
        <v xml:space="preserve">Production       </v>
      </c>
      <c r="BA8">
        <f t="shared" si="6"/>
        <v>33.333333333333329</v>
      </c>
      <c r="BB8">
        <f t="shared" si="7"/>
        <v>0</v>
      </c>
      <c r="BC8" t="str">
        <f t="shared" si="4"/>
        <v>Medium</v>
      </c>
      <c r="BD8">
        <f t="shared" si="9"/>
        <v>3.04</v>
      </c>
      <c r="BE8" t="str">
        <f t="shared" si="8"/>
        <v/>
      </c>
      <c r="BF8" t="s">
        <v>656</v>
      </c>
      <c r="BH8" t="s">
        <v>645</v>
      </c>
      <c r="BI8">
        <f>COUNTIF(AC:AC,"Employee Referral")</f>
        <v>31</v>
      </c>
      <c r="BJ8" t="s">
        <v>241</v>
      </c>
      <c r="BL8" t="s">
        <v>803</v>
      </c>
      <c r="BM8">
        <f>COUNTIF(BC:BC,"Low")</f>
        <v>34</v>
      </c>
      <c r="BN8">
        <f>BM8/$BM$9</f>
        <v>0.10897435897435898</v>
      </c>
      <c r="BP8" t="s">
        <v>807</v>
      </c>
      <c r="BQ8">
        <v>1</v>
      </c>
      <c r="BT8">
        <f t="shared" si="5"/>
        <v>3.04</v>
      </c>
      <c r="BV8">
        <v>5</v>
      </c>
      <c r="BW8">
        <v>5</v>
      </c>
    </row>
    <row r="9" spans="1:75" x14ac:dyDescent="0.3">
      <c r="A9" t="s">
        <v>85</v>
      </c>
      <c r="B9">
        <v>10062</v>
      </c>
      <c r="C9">
        <v>0</v>
      </c>
      <c r="D9">
        <v>4</v>
      </c>
      <c r="E9">
        <v>1</v>
      </c>
      <c r="F9">
        <v>1</v>
      </c>
      <c r="G9">
        <v>5</v>
      </c>
      <c r="H9">
        <v>3</v>
      </c>
      <c r="I9">
        <v>0</v>
      </c>
      <c r="J9">
        <v>59365</v>
      </c>
      <c r="K9">
        <v>0</v>
      </c>
      <c r="L9">
        <v>19</v>
      </c>
      <c r="M9" t="s">
        <v>37</v>
      </c>
      <c r="N9" t="s">
        <v>38</v>
      </c>
      <c r="O9">
        <v>2199</v>
      </c>
      <c r="P9">
        <v>30365</v>
      </c>
      <c r="Q9" t="s">
        <v>39</v>
      </c>
      <c r="R9" t="s">
        <v>86</v>
      </c>
      <c r="S9" t="s">
        <v>41</v>
      </c>
      <c r="T9" t="s">
        <v>42</v>
      </c>
      <c r="U9" t="s">
        <v>43</v>
      </c>
      <c r="V9">
        <v>41547</v>
      </c>
      <c r="X9" t="s">
        <v>44</v>
      </c>
      <c r="Y9" t="s">
        <v>45</v>
      </c>
      <c r="Z9" t="s">
        <v>46</v>
      </c>
      <c r="AA9" t="s">
        <v>87</v>
      </c>
      <c r="AB9">
        <v>19</v>
      </c>
      <c r="AC9" t="s">
        <v>88</v>
      </c>
      <c r="AD9" t="s">
        <v>60</v>
      </c>
      <c r="AE9">
        <v>5</v>
      </c>
      <c r="AF9">
        <v>4</v>
      </c>
      <c r="AG9">
        <v>0</v>
      </c>
      <c r="AH9" t="s">
        <v>89</v>
      </c>
      <c r="AI9">
        <v>0</v>
      </c>
      <c r="AJ9">
        <v>19</v>
      </c>
      <c r="AK9" t="str">
        <f t="shared" si="0"/>
        <v>Normal</v>
      </c>
      <c r="AL9" t="str">
        <f t="shared" si="1"/>
        <v>low Outlier</v>
      </c>
      <c r="AM9">
        <f ca="1">INT((TODAY()-HRDataset_v14[[#This Row],[DOB]])/365.25)</f>
        <v>43</v>
      </c>
      <c r="AN9">
        <f ca="1">DATEDIF(HRDataset_v14[[#This Row],[DateofHire]],TODAY(),"Y")</f>
        <v>12</v>
      </c>
      <c r="AO9">
        <f ca="1">IF(ISBLANK(HRDataset_v14[[#This Row],[DateofTermination]]),DATEDIF(HRDataset_v14[[#This Row],[DateofHire]],TODAY(),"Y"),DATEDIF(HRDataset_v14[[#This Row],[DateofHire]],HRDataset_v14[[#This Row],[DateofTermination]],"Y"))</f>
        <v>12</v>
      </c>
      <c r="AP9" t="str">
        <f ca="1">IF(HRDataset_v14[[#This Row],[Tenure in Years
]]&lt;1,"0-1 Year",IF(HRDataset_v14[[#This Row],[Tenure in Years
]]&lt;3,"1-3 Years",IF(HRDataset_v14[[#This Row],[Tenure in Years
]]&lt;5,"3-5 Years",IF(HRDataset_v14[[#This Row],[Tenure in Years
]]&lt;10,"5-10 Years","10+ Years"))))</f>
        <v>10+ Years</v>
      </c>
      <c r="AQ9" t="str">
        <f ca="1">IF(HRDataset_v14[[#This Row],[Age Calculation
]]&lt;26,"18-25",IF(HRDataset_v14[[#This Row],[Age Calculation
]]&lt;36,"26-35",IF(HRDataset_v14[[#This Row],[Age Calculation
]]&lt;46,"36-45",IF(HRDataset_v14[[#This Row],[Age Calculation
]]&lt;56,"46-55","55+"))))</f>
        <v>36-45</v>
      </c>
      <c r="AR9" t="str">
        <f>IF(HRDataset_v14[[#This Row],[Salary]]&lt;40000,"Entry (&lt;40K)",IF(HRDataset_v14[[#This Row],[Salary]]&lt;70000,"Mid (40-70K)",IF(HRDataset_v14[[#This Row],[Salary]]&lt;100000,"Senior (70-100K)","Executive (100K+)")))</f>
        <v>Mid (40-70K)</v>
      </c>
      <c r="AS9">
        <f>IF(HRDataset_v14[[#This Row],[EmploymentStatus]]="Active",1,0)</f>
        <v>1</v>
      </c>
      <c r="AT9">
        <f>YEAR(HRDataset_v14[[#This Row],[DateofHire]])</f>
        <v>2013</v>
      </c>
      <c r="AU9">
        <f>MONTH(HRDataset_v14[[#This Row],[DateofHire]])</f>
        <v>9</v>
      </c>
      <c r="AV9" t="str">
        <f>"Q"&amp;ROUNDUP(MONTH(HRDataset_v14[[#This Row],[DateofHire]])/3,0)</f>
        <v>Q3</v>
      </c>
      <c r="AW9" t="str">
        <f>TEXT(HRDataset_v14[[#This Row],[DateofHire]],"MMM")</f>
        <v>Sep</v>
      </c>
      <c r="AX9" t="str">
        <f>TEXT(HRDataset_v14[[#This Row],[DateofHire]],"YYYY-MM")</f>
        <v>2013-09</v>
      </c>
      <c r="AY9" t="str">
        <f>IF(ISBLANK(HRDataset_v14[[#This Row],[DateofTermination]]),"N/A",YEAR(HRDataset_v14[[#This Row],[DateofTermination]]))</f>
        <v>N/A</v>
      </c>
      <c r="AZ9" t="str" cm="1">
        <f t="array" ref="AZ9">INDEX(_xlfn.UNIQUE(Z9:Z319),MATCH(MAX(COUNTIF(Z9:Z319,_xlfn.UNIQUE(Z9:Z319))),COUNTIF(Z9:Z319,_xlfn.UNIQUE(Z9:Z319)),0))</f>
        <v xml:space="preserve">Production       </v>
      </c>
      <c r="BA9">
        <f t="shared" si="6"/>
        <v>23.809523809523807</v>
      </c>
      <c r="BB9">
        <f t="shared" si="7"/>
        <v>0</v>
      </c>
      <c r="BC9" t="str">
        <f t="shared" si="4"/>
        <v>Medium</v>
      </c>
      <c r="BD9">
        <f t="shared" si="9"/>
        <v>5</v>
      </c>
      <c r="BE9" t="str">
        <f t="shared" si="8"/>
        <v/>
      </c>
      <c r="BF9">
        <f>COUNTIF(Q:Q,"*M*")/COUNTA(Q:Q)*100</f>
        <v>43.269230769230774</v>
      </c>
      <c r="BH9">
        <f>COUNTIF(Z:Z,"Production       ")</f>
        <v>209</v>
      </c>
      <c r="BI9" t="s">
        <v>704</v>
      </c>
      <c r="BJ9">
        <f>COUNTIF(AD2:AD312,"PIP")</f>
        <v>13</v>
      </c>
      <c r="BL9" t="s">
        <v>804</v>
      </c>
      <c r="BM9">
        <f>COUNTA(BC:BC)</f>
        <v>312</v>
      </c>
      <c r="BN9">
        <f>SUM(BN6:BN8)</f>
        <v>0.99679487179487181</v>
      </c>
      <c r="BT9">
        <f t="shared" si="5"/>
        <v>5</v>
      </c>
      <c r="BV9">
        <v>4.28</v>
      </c>
      <c r="BW9">
        <v>4.5</v>
      </c>
    </row>
    <row r="10" spans="1:75" x14ac:dyDescent="0.3">
      <c r="A10" t="s">
        <v>90</v>
      </c>
      <c r="B10">
        <v>10114</v>
      </c>
      <c r="C10">
        <v>0</v>
      </c>
      <c r="D10">
        <v>0</v>
      </c>
      <c r="E10">
        <v>0</v>
      </c>
      <c r="F10">
        <v>3</v>
      </c>
      <c r="G10">
        <v>5</v>
      </c>
      <c r="H10">
        <v>3</v>
      </c>
      <c r="I10">
        <v>1</v>
      </c>
      <c r="J10">
        <v>47837</v>
      </c>
      <c r="K10">
        <v>0</v>
      </c>
      <c r="L10">
        <v>19</v>
      </c>
      <c r="M10" t="s">
        <v>37</v>
      </c>
      <c r="N10" t="s">
        <v>38</v>
      </c>
      <c r="O10">
        <v>1902</v>
      </c>
      <c r="P10">
        <v>25610</v>
      </c>
      <c r="Q10" t="s">
        <v>64</v>
      </c>
      <c r="R10" t="s">
        <v>40</v>
      </c>
      <c r="S10" t="s">
        <v>41</v>
      </c>
      <c r="T10" t="s">
        <v>42</v>
      </c>
      <c r="U10" t="s">
        <v>91</v>
      </c>
      <c r="V10">
        <v>40000</v>
      </c>
      <c r="X10" t="s">
        <v>44</v>
      </c>
      <c r="Y10" t="s">
        <v>45</v>
      </c>
      <c r="Z10" t="s">
        <v>46</v>
      </c>
      <c r="AA10" t="s">
        <v>92</v>
      </c>
      <c r="AB10">
        <v>12</v>
      </c>
      <c r="AC10" t="s">
        <v>93</v>
      </c>
      <c r="AD10" t="s">
        <v>60</v>
      </c>
      <c r="AE10">
        <v>4.46</v>
      </c>
      <c r="AF10">
        <v>3</v>
      </c>
      <c r="AG10">
        <v>0</v>
      </c>
      <c r="AH10" t="s">
        <v>94</v>
      </c>
      <c r="AI10">
        <v>0</v>
      </c>
      <c r="AJ10">
        <v>4</v>
      </c>
      <c r="AK10" t="str">
        <f t="shared" si="0"/>
        <v>Normal</v>
      </c>
      <c r="AL10" t="str">
        <f t="shared" si="1"/>
        <v>low Outlier</v>
      </c>
      <c r="AM10">
        <f ca="1">INT((TODAY()-HRDataset_v14[[#This Row],[DOB]])/365.25)</f>
        <v>56</v>
      </c>
      <c r="AN10">
        <f ca="1">DATEDIF(HRDataset_v14[[#This Row],[DateofHire]],TODAY(),"Y")</f>
        <v>16</v>
      </c>
      <c r="AO10">
        <f ca="1">IF(ISBLANK(HRDataset_v14[[#This Row],[DateofTermination]]),DATEDIF(HRDataset_v14[[#This Row],[DateofHire]],TODAY(),"Y"),DATEDIF(HRDataset_v14[[#This Row],[DateofHire]],HRDataset_v14[[#This Row],[DateofTermination]],"Y"))</f>
        <v>16</v>
      </c>
      <c r="AP10" t="str">
        <f ca="1">IF(HRDataset_v14[[#This Row],[Tenure in Years
]]&lt;1,"0-1 Year",IF(HRDataset_v14[[#This Row],[Tenure in Years
]]&lt;3,"1-3 Years",IF(HRDataset_v14[[#This Row],[Tenure in Years
]]&lt;5,"3-5 Years",IF(HRDataset_v14[[#This Row],[Tenure in Years
]]&lt;10,"5-10 Years","10+ Years"))))</f>
        <v>10+ Years</v>
      </c>
      <c r="AQ10" t="str">
        <f ca="1">IF(HRDataset_v14[[#This Row],[Age Calculation
]]&lt;26,"18-25",IF(HRDataset_v14[[#This Row],[Age Calculation
]]&lt;36,"26-35",IF(HRDataset_v14[[#This Row],[Age Calculation
]]&lt;46,"36-45",IF(HRDataset_v14[[#This Row],[Age Calculation
]]&lt;56,"46-55","55+"))))</f>
        <v>55+</v>
      </c>
      <c r="AR10" t="str">
        <f>IF(HRDataset_v14[[#This Row],[Salary]]&lt;40000,"Entry (&lt;40K)",IF(HRDataset_v14[[#This Row],[Salary]]&lt;70000,"Mid (40-70K)",IF(HRDataset_v14[[#This Row],[Salary]]&lt;100000,"Senior (70-100K)","Executive (100K+)")))</f>
        <v>Mid (40-70K)</v>
      </c>
      <c r="AS10">
        <f>IF(HRDataset_v14[[#This Row],[EmploymentStatus]]="Active",1,0)</f>
        <v>1</v>
      </c>
      <c r="AT10">
        <f>YEAR(HRDataset_v14[[#This Row],[DateofHire]])</f>
        <v>2009</v>
      </c>
      <c r="AU10">
        <f>MONTH(HRDataset_v14[[#This Row],[DateofHire]])</f>
        <v>7</v>
      </c>
      <c r="AV10" t="str">
        <f>"Q"&amp;ROUNDUP(MONTH(HRDataset_v14[[#This Row],[DateofHire]])/3,0)</f>
        <v>Q3</v>
      </c>
      <c r="AW10" t="str">
        <f>TEXT(HRDataset_v14[[#This Row],[DateofHire]],"MMM")</f>
        <v>Jul</v>
      </c>
      <c r="AX10" t="str">
        <f>TEXT(HRDataset_v14[[#This Row],[DateofHire]],"YYYY-MM")</f>
        <v>2009-07</v>
      </c>
      <c r="AY10" t="str">
        <f>IF(ISBLANK(HRDataset_v14[[#This Row],[DateofTermination]]),"N/A",YEAR(HRDataset_v14[[#This Row],[DateofTermination]]))</f>
        <v>N/A</v>
      </c>
      <c r="AZ10" t="str" cm="1">
        <f t="array" ref="AZ10">INDEX(_xlfn.UNIQUE(Z10:Z320),MATCH(MAX(COUNTIF(Z10:Z320,_xlfn.UNIQUE(Z10:Z320))),COUNTIF(Z10:Z320,_xlfn.UNIQUE(Z10:Z320)),0))</f>
        <v xml:space="preserve">Production       </v>
      </c>
      <c r="BA10">
        <f t="shared" si="6"/>
        <v>27.27272727272727</v>
      </c>
      <c r="BB10">
        <f t="shared" si="7"/>
        <v>0</v>
      </c>
      <c r="BC10" t="str">
        <f t="shared" si="4"/>
        <v>Medium</v>
      </c>
      <c r="BD10">
        <f t="shared" si="9"/>
        <v>4.46</v>
      </c>
      <c r="BE10" t="str">
        <f t="shared" si="8"/>
        <v/>
      </c>
      <c r="BF10">
        <f>COUNTIF(Q:Q,"*F*")/COUNTA(Q:Q)*100</f>
        <v>56.410256410256409</v>
      </c>
      <c r="BG10" t="s">
        <v>727</v>
      </c>
      <c r="BH10" t="s">
        <v>646</v>
      </c>
      <c r="BI10">
        <f>COUNTIF(AC:AC,"LinkedIn")/COUNTA(AC:AC)*100</f>
        <v>24.358974358974358</v>
      </c>
      <c r="BT10">
        <f t="shared" si="5"/>
        <v>4.46</v>
      </c>
      <c r="BV10">
        <v>4.5999999999999996</v>
      </c>
      <c r="BW10">
        <v>4.8</v>
      </c>
    </row>
    <row r="11" spans="1:75" x14ac:dyDescent="0.3">
      <c r="A11" t="s">
        <v>95</v>
      </c>
      <c r="B11">
        <v>10250</v>
      </c>
      <c r="C11">
        <v>0</v>
      </c>
      <c r="D11">
        <v>2</v>
      </c>
      <c r="E11">
        <v>1</v>
      </c>
      <c r="F11">
        <v>1</v>
      </c>
      <c r="G11">
        <v>3</v>
      </c>
      <c r="H11">
        <v>3</v>
      </c>
      <c r="I11">
        <v>0</v>
      </c>
      <c r="J11">
        <v>50178</v>
      </c>
      <c r="K11">
        <v>0</v>
      </c>
      <c r="L11">
        <v>14</v>
      </c>
      <c r="M11" t="s">
        <v>96</v>
      </c>
      <c r="N11" t="s">
        <v>38</v>
      </c>
      <c r="O11">
        <v>1886</v>
      </c>
      <c r="P11">
        <v>32149</v>
      </c>
      <c r="Q11" t="s">
        <v>39</v>
      </c>
      <c r="R11" t="s">
        <v>72</v>
      </c>
      <c r="S11" t="s">
        <v>41</v>
      </c>
      <c r="T11" t="s">
        <v>42</v>
      </c>
      <c r="U11" t="s">
        <v>43</v>
      </c>
      <c r="V11">
        <v>42009</v>
      </c>
      <c r="X11" t="s">
        <v>44</v>
      </c>
      <c r="Y11" t="s">
        <v>45</v>
      </c>
      <c r="Z11" t="s">
        <v>57</v>
      </c>
      <c r="AA11" t="s">
        <v>97</v>
      </c>
      <c r="AB11">
        <v>7</v>
      </c>
      <c r="AC11" t="s">
        <v>59</v>
      </c>
      <c r="AD11" t="s">
        <v>60</v>
      </c>
      <c r="AE11">
        <v>5</v>
      </c>
      <c r="AF11">
        <v>5</v>
      </c>
      <c r="AG11">
        <v>6</v>
      </c>
      <c r="AH11" t="s">
        <v>98</v>
      </c>
      <c r="AI11">
        <v>0</v>
      </c>
      <c r="AJ11">
        <v>16</v>
      </c>
      <c r="AK11" t="str">
        <f t="shared" si="0"/>
        <v>Normal</v>
      </c>
      <c r="AL11" t="str">
        <f t="shared" si="1"/>
        <v>low Outlier</v>
      </c>
      <c r="AM11">
        <f ca="1">INT((TODAY()-HRDataset_v14[[#This Row],[DOB]])/365.25)</f>
        <v>38</v>
      </c>
      <c r="AN11">
        <f ca="1">DATEDIF(HRDataset_v14[[#This Row],[DateofHire]],TODAY(),"Y")</f>
        <v>11</v>
      </c>
      <c r="AO11">
        <f ca="1">IF(ISBLANK(HRDataset_v14[[#This Row],[DateofTermination]]),DATEDIF(HRDataset_v14[[#This Row],[DateofHire]],TODAY(),"Y"),DATEDIF(HRDataset_v14[[#This Row],[DateofHire]],HRDataset_v14[[#This Row],[DateofTermination]],"Y"))</f>
        <v>11</v>
      </c>
      <c r="AP11" t="str">
        <f ca="1">IF(HRDataset_v14[[#This Row],[Tenure in Years
]]&lt;1,"0-1 Year",IF(HRDataset_v14[[#This Row],[Tenure in Years
]]&lt;3,"1-3 Years",IF(HRDataset_v14[[#This Row],[Tenure in Years
]]&lt;5,"3-5 Years",IF(HRDataset_v14[[#This Row],[Tenure in Years
]]&lt;10,"5-10 Years","10+ Years"))))</f>
        <v>10+ Years</v>
      </c>
      <c r="AQ11" t="str">
        <f ca="1">IF(HRDataset_v14[[#This Row],[Age Calculation
]]&lt;26,"18-25",IF(HRDataset_v14[[#This Row],[Age Calculation
]]&lt;36,"26-35",IF(HRDataset_v14[[#This Row],[Age Calculation
]]&lt;46,"36-45",IF(HRDataset_v14[[#This Row],[Age Calculation
]]&lt;56,"46-55","55+"))))</f>
        <v>36-45</v>
      </c>
      <c r="AR11" t="str">
        <f>IF(HRDataset_v14[[#This Row],[Salary]]&lt;40000,"Entry (&lt;40K)",IF(HRDataset_v14[[#This Row],[Salary]]&lt;70000,"Mid (40-70K)",IF(HRDataset_v14[[#This Row],[Salary]]&lt;100000,"Senior (70-100K)","Executive (100K+)")))</f>
        <v>Mid (40-70K)</v>
      </c>
      <c r="AS11">
        <f>IF(HRDataset_v14[[#This Row],[EmploymentStatus]]="Active",1,0)</f>
        <v>1</v>
      </c>
      <c r="AT11">
        <f>YEAR(HRDataset_v14[[#This Row],[DateofHire]])</f>
        <v>2015</v>
      </c>
      <c r="AU11">
        <f>MONTH(HRDataset_v14[[#This Row],[DateofHire]])</f>
        <v>1</v>
      </c>
      <c r="AV11" t="str">
        <f>"Q"&amp;ROUNDUP(MONTH(HRDataset_v14[[#This Row],[DateofHire]])/3,0)</f>
        <v>Q1</v>
      </c>
      <c r="AW11" t="str">
        <f>TEXT(HRDataset_v14[[#This Row],[DateofHire]],"MMM")</f>
        <v>Jan</v>
      </c>
      <c r="AX11" t="str">
        <f>TEXT(HRDataset_v14[[#This Row],[DateofHire]],"YYYY-MM")</f>
        <v>2015-01</v>
      </c>
      <c r="AY11" t="str">
        <f>IF(ISBLANK(HRDataset_v14[[#This Row],[DateofTermination]]),"N/A",YEAR(HRDataset_v14[[#This Row],[DateofTermination]]))</f>
        <v>N/A</v>
      </c>
      <c r="AZ11" t="str" cm="1">
        <f t="array" ref="AZ11">INDEX(_xlfn.UNIQUE(Z11:Z321),MATCH(MAX(COUNTIF(Z11:Z321,_xlfn.UNIQUE(Z11:Z321))),COUNTIF(Z11:Z321,_xlfn.UNIQUE(Z11:Z321)),0))</f>
        <v xml:space="preserve">Production       </v>
      </c>
      <c r="BA11">
        <f t="shared" si="6"/>
        <v>7.1428571428571423</v>
      </c>
      <c r="BB11">
        <f t="shared" si="7"/>
        <v>0</v>
      </c>
      <c r="BC11" t="str">
        <f t="shared" si="4"/>
        <v>Medium</v>
      </c>
      <c r="BD11">
        <f t="shared" si="9"/>
        <v>5</v>
      </c>
      <c r="BE11" t="str">
        <f t="shared" si="8"/>
        <v/>
      </c>
      <c r="BF11" t="s">
        <v>657</v>
      </c>
      <c r="BG11" t="s">
        <v>728</v>
      </c>
      <c r="BH11">
        <f>COUNTIF(Z:Z,"*Admin Offices*")</f>
        <v>9</v>
      </c>
      <c r="BI11" t="s">
        <v>705</v>
      </c>
      <c r="BJ11" t="s">
        <v>751</v>
      </c>
      <c r="BT11">
        <f t="shared" si="5"/>
        <v>5</v>
      </c>
      <c r="BV11">
        <v>4.4000000000000004</v>
      </c>
      <c r="BW11">
        <v>3.5</v>
      </c>
    </row>
    <row r="12" spans="1:75" x14ac:dyDescent="0.3">
      <c r="A12" t="s">
        <v>99</v>
      </c>
      <c r="B12">
        <v>10252</v>
      </c>
      <c r="C12">
        <v>1</v>
      </c>
      <c r="D12">
        <v>1</v>
      </c>
      <c r="E12">
        <v>0</v>
      </c>
      <c r="F12">
        <v>5</v>
      </c>
      <c r="G12">
        <v>5</v>
      </c>
      <c r="H12">
        <v>3</v>
      </c>
      <c r="I12">
        <v>1</v>
      </c>
      <c r="J12">
        <v>54670</v>
      </c>
      <c r="K12">
        <v>1</v>
      </c>
      <c r="L12">
        <v>19</v>
      </c>
      <c r="M12" t="s">
        <v>37</v>
      </c>
      <c r="N12" t="s">
        <v>38</v>
      </c>
      <c r="O12">
        <v>1902</v>
      </c>
      <c r="P12">
        <v>27041</v>
      </c>
      <c r="Q12" t="s">
        <v>64</v>
      </c>
      <c r="R12" t="s">
        <v>53</v>
      </c>
      <c r="S12" t="s">
        <v>41</v>
      </c>
      <c r="T12" t="s">
        <v>100</v>
      </c>
      <c r="U12" t="s">
        <v>91</v>
      </c>
      <c r="V12">
        <v>40553</v>
      </c>
      <c r="W12">
        <v>42747</v>
      </c>
      <c r="X12" t="s">
        <v>101</v>
      </c>
      <c r="Y12" t="s">
        <v>56</v>
      </c>
      <c r="Z12" t="s">
        <v>46</v>
      </c>
      <c r="AA12" t="s">
        <v>102</v>
      </c>
      <c r="AB12">
        <v>14</v>
      </c>
      <c r="AC12" t="s">
        <v>93</v>
      </c>
      <c r="AD12" t="s">
        <v>60</v>
      </c>
      <c r="AE12">
        <v>4.2</v>
      </c>
      <c r="AF12">
        <v>4</v>
      </c>
      <c r="AG12">
        <v>0</v>
      </c>
      <c r="AH12" t="s">
        <v>103</v>
      </c>
      <c r="AI12">
        <v>0</v>
      </c>
      <c r="AJ12">
        <v>12</v>
      </c>
      <c r="AK12" t="str">
        <f t="shared" si="0"/>
        <v>Normal</v>
      </c>
      <c r="AL12" t="str">
        <f t="shared" si="1"/>
        <v>low Outlier</v>
      </c>
      <c r="AM12">
        <f ca="1">INT((TODAY()-HRDataset_v14[[#This Row],[DOB]])/365.25)</f>
        <v>52</v>
      </c>
      <c r="AN12">
        <f ca="1">DATEDIF(HRDataset_v14[[#This Row],[DateofHire]],TODAY(),"Y")</f>
        <v>15</v>
      </c>
      <c r="AO12">
        <f ca="1">IF(ISBLANK(HRDataset_v14[[#This Row],[DateofTermination]]),DATEDIF(HRDataset_v14[[#This Row],[DateofHire]],TODAY(),"Y"),DATEDIF(HRDataset_v14[[#This Row],[DateofHire]],HRDataset_v14[[#This Row],[DateofTermination]],"Y"))</f>
        <v>6</v>
      </c>
      <c r="AP12" t="str">
        <f ca="1">IF(HRDataset_v14[[#This Row],[Tenure in Years
]]&lt;1,"0-1 Year",IF(HRDataset_v14[[#This Row],[Tenure in Years
]]&lt;3,"1-3 Years",IF(HRDataset_v14[[#This Row],[Tenure in Years
]]&lt;5,"3-5 Years",IF(HRDataset_v14[[#This Row],[Tenure in Years
]]&lt;10,"5-10 Years","10+ Years"))))</f>
        <v>10+ Years</v>
      </c>
      <c r="AQ12" t="str">
        <f ca="1">IF(HRDataset_v14[[#This Row],[Age Calculation
]]&lt;26,"18-25",IF(HRDataset_v14[[#This Row],[Age Calculation
]]&lt;36,"26-35",IF(HRDataset_v14[[#This Row],[Age Calculation
]]&lt;46,"36-45",IF(HRDataset_v14[[#This Row],[Age Calculation
]]&lt;56,"46-55","55+"))))</f>
        <v>46-55</v>
      </c>
      <c r="AR12" t="str">
        <f>IF(HRDataset_v14[[#This Row],[Salary]]&lt;40000,"Entry (&lt;40K)",IF(HRDataset_v14[[#This Row],[Salary]]&lt;70000,"Mid (40-70K)",IF(HRDataset_v14[[#This Row],[Salary]]&lt;100000,"Senior (70-100K)","Executive (100K+)")))</f>
        <v>Mid (40-70K)</v>
      </c>
      <c r="AS12">
        <f>IF(HRDataset_v14[[#This Row],[EmploymentStatus]]="Active",1,0)</f>
        <v>0</v>
      </c>
      <c r="AT12">
        <f>YEAR(HRDataset_v14[[#This Row],[DateofHire]])</f>
        <v>2011</v>
      </c>
      <c r="AU12">
        <f>MONTH(HRDataset_v14[[#This Row],[DateofHire]])</f>
        <v>1</v>
      </c>
      <c r="AV12" t="str">
        <f>"Q"&amp;ROUNDUP(MONTH(HRDataset_v14[[#This Row],[DateofHire]])/3,0)</f>
        <v>Q1</v>
      </c>
      <c r="AW12" t="str">
        <f>TEXT(HRDataset_v14[[#This Row],[DateofHire]],"MMM")</f>
        <v>Jan</v>
      </c>
      <c r="AX12" t="str">
        <f>TEXT(HRDataset_v14[[#This Row],[DateofHire]],"YYYY-MM")</f>
        <v>2011-01</v>
      </c>
      <c r="AY12">
        <f>IF(ISBLANK(HRDataset_v14[[#This Row],[DateofTermination]]),"N/A",YEAR(HRDataset_v14[[#This Row],[DateofTermination]]))</f>
        <v>2017</v>
      </c>
      <c r="AZ12" t="str" cm="1">
        <f t="array" ref="AZ12">INDEX(_xlfn.UNIQUE(Z12:Z322),MATCH(MAX(COUNTIF(Z12:Z322,_xlfn.UNIQUE(Z12:Z322))),COUNTIF(Z12:Z322,_xlfn.UNIQUE(Z12:Z322)),0))</f>
        <v xml:space="preserve">Production       </v>
      </c>
      <c r="BA12">
        <f t="shared" si="6"/>
        <v>28.571428571428569</v>
      </c>
      <c r="BB12">
        <f t="shared" si="7"/>
        <v>20</v>
      </c>
      <c r="BC12" t="str">
        <f t="shared" si="4"/>
        <v>Medium</v>
      </c>
      <c r="BD12" t="str">
        <f t="shared" si="9"/>
        <v/>
      </c>
      <c r="BE12">
        <f t="shared" si="8"/>
        <v>4.2</v>
      </c>
      <c r="BF12">
        <f>COUNTIFS(Q:Q,"*M*",Z:Z,"*IT*")</f>
        <v>28</v>
      </c>
      <c r="BG12" t="s">
        <v>729</v>
      </c>
      <c r="BH12" t="s">
        <v>647</v>
      </c>
      <c r="BI12">
        <f>COUNTIF(AC:AC,"Indeed")/COUNTA(AC:AC)*100</f>
        <v>27.884615384615387</v>
      </c>
      <c r="BT12" t="str">
        <f t="shared" si="5"/>
        <v/>
      </c>
      <c r="BV12">
        <v>5</v>
      </c>
      <c r="BW12">
        <v>3.39</v>
      </c>
    </row>
    <row r="13" spans="1:75" x14ac:dyDescent="0.3">
      <c r="A13" t="s">
        <v>104</v>
      </c>
      <c r="B13">
        <v>10242</v>
      </c>
      <c r="C13">
        <v>1</v>
      </c>
      <c r="D13">
        <v>1</v>
      </c>
      <c r="E13">
        <v>1</v>
      </c>
      <c r="F13">
        <v>5</v>
      </c>
      <c r="G13">
        <v>5</v>
      </c>
      <c r="H13">
        <v>3</v>
      </c>
      <c r="I13">
        <v>1</v>
      </c>
      <c r="J13">
        <v>47211</v>
      </c>
      <c r="K13">
        <v>1</v>
      </c>
      <c r="L13">
        <v>19</v>
      </c>
      <c r="M13" t="s">
        <v>37</v>
      </c>
      <c r="N13" t="s">
        <v>38</v>
      </c>
      <c r="O13">
        <v>2062</v>
      </c>
      <c r="P13">
        <v>27081</v>
      </c>
      <c r="Q13" t="s">
        <v>39</v>
      </c>
      <c r="R13" t="s">
        <v>53</v>
      </c>
      <c r="S13" t="s">
        <v>41</v>
      </c>
      <c r="T13" t="s">
        <v>100</v>
      </c>
      <c r="U13" t="s">
        <v>91</v>
      </c>
      <c r="V13">
        <v>41001</v>
      </c>
      <c r="W13">
        <v>42632</v>
      </c>
      <c r="X13" t="s">
        <v>105</v>
      </c>
      <c r="Y13" t="s">
        <v>56</v>
      </c>
      <c r="Z13" t="s">
        <v>46</v>
      </c>
      <c r="AA13" t="s">
        <v>66</v>
      </c>
      <c r="AB13">
        <v>20</v>
      </c>
      <c r="AC13" t="s">
        <v>93</v>
      </c>
      <c r="AD13" t="s">
        <v>60</v>
      </c>
      <c r="AE13">
        <v>4.2</v>
      </c>
      <c r="AF13">
        <v>3</v>
      </c>
      <c r="AG13">
        <v>0</v>
      </c>
      <c r="AH13" t="s">
        <v>106</v>
      </c>
      <c r="AI13">
        <v>0</v>
      </c>
      <c r="AJ13">
        <v>15</v>
      </c>
      <c r="AK13" t="str">
        <f t="shared" si="0"/>
        <v>Normal</v>
      </c>
      <c r="AL13" t="str">
        <f t="shared" si="1"/>
        <v>low Outlier</v>
      </c>
      <c r="AM13">
        <f ca="1">INT((TODAY()-HRDataset_v14[[#This Row],[DOB]])/365.25)</f>
        <v>52</v>
      </c>
      <c r="AN13">
        <f ca="1">DATEDIF(HRDataset_v14[[#This Row],[DateofHire]],TODAY(),"Y")</f>
        <v>14</v>
      </c>
      <c r="AO13">
        <f ca="1">IF(ISBLANK(HRDataset_v14[[#This Row],[DateofTermination]]),DATEDIF(HRDataset_v14[[#This Row],[DateofHire]],TODAY(),"Y"),DATEDIF(HRDataset_v14[[#This Row],[DateofHire]],HRDataset_v14[[#This Row],[DateofTermination]],"Y"))</f>
        <v>4</v>
      </c>
      <c r="AP13" t="str">
        <f ca="1">IF(HRDataset_v14[[#This Row],[Tenure in Years
]]&lt;1,"0-1 Year",IF(HRDataset_v14[[#This Row],[Tenure in Years
]]&lt;3,"1-3 Years",IF(HRDataset_v14[[#This Row],[Tenure in Years
]]&lt;5,"3-5 Years",IF(HRDataset_v14[[#This Row],[Tenure in Years
]]&lt;10,"5-10 Years","10+ Years"))))</f>
        <v>10+ Years</v>
      </c>
      <c r="AQ13" t="str">
        <f ca="1">IF(HRDataset_v14[[#This Row],[Age Calculation
]]&lt;26,"18-25",IF(HRDataset_v14[[#This Row],[Age Calculation
]]&lt;36,"26-35",IF(HRDataset_v14[[#This Row],[Age Calculation
]]&lt;46,"36-45",IF(HRDataset_v14[[#This Row],[Age Calculation
]]&lt;56,"46-55","55+"))))</f>
        <v>46-55</v>
      </c>
      <c r="AR13" t="str">
        <f>IF(HRDataset_v14[[#This Row],[Salary]]&lt;40000,"Entry (&lt;40K)",IF(HRDataset_v14[[#This Row],[Salary]]&lt;70000,"Mid (40-70K)",IF(HRDataset_v14[[#This Row],[Salary]]&lt;100000,"Senior (70-100K)","Executive (100K+)")))</f>
        <v>Mid (40-70K)</v>
      </c>
      <c r="AS13">
        <f>IF(HRDataset_v14[[#This Row],[EmploymentStatus]]="Active",1,0)</f>
        <v>0</v>
      </c>
      <c r="AT13">
        <f>YEAR(HRDataset_v14[[#This Row],[DateofHire]])</f>
        <v>2012</v>
      </c>
      <c r="AU13">
        <f>MONTH(HRDataset_v14[[#This Row],[DateofHire]])</f>
        <v>4</v>
      </c>
      <c r="AV13" t="str">
        <f>"Q"&amp;ROUNDUP(MONTH(HRDataset_v14[[#This Row],[DateofHire]])/3,0)</f>
        <v>Q2</v>
      </c>
      <c r="AW13" t="str">
        <f>TEXT(HRDataset_v14[[#This Row],[DateofHire]],"MMM")</f>
        <v>Apr</v>
      </c>
      <c r="AX13" t="str">
        <f>TEXT(HRDataset_v14[[#This Row],[DateofHire]],"YYYY-MM")</f>
        <v>2012-04</v>
      </c>
      <c r="AY13">
        <f>IF(ISBLANK(HRDataset_v14[[#This Row],[DateofTermination]]),"N/A",YEAR(HRDataset_v14[[#This Row],[DateofTermination]]))</f>
        <v>2016</v>
      </c>
      <c r="AZ13" t="str" cm="1">
        <f t="array" ref="AZ13">INDEX(_xlfn.UNIQUE(Z13:Z323),MATCH(MAX(COUNTIF(Z13:Z323,_xlfn.UNIQUE(Z13:Z323))),COUNTIF(Z13:Z323,_xlfn.UNIQUE(Z13:Z323)),0))</f>
        <v xml:space="preserve">Production       </v>
      </c>
      <c r="BA13">
        <f t="shared" si="6"/>
        <v>52.380952380952387</v>
      </c>
      <c r="BB13">
        <f t="shared" si="7"/>
        <v>14</v>
      </c>
      <c r="BC13" t="str">
        <f t="shared" si="4"/>
        <v>Medium</v>
      </c>
      <c r="BD13" t="str">
        <f t="shared" si="9"/>
        <v/>
      </c>
      <c r="BE13">
        <f t="shared" si="8"/>
        <v>4.2</v>
      </c>
      <c r="BF13">
        <f>COUNTIFS(Q:Q,"*F*",Z:Z,"*IT*")</f>
        <v>22</v>
      </c>
      <c r="BG13">
        <f>COUNTIF(K:K,1)</f>
        <v>104</v>
      </c>
      <c r="BH13">
        <f>COUNTIF(Z:Z,"*Sales*")</f>
        <v>31</v>
      </c>
      <c r="BI13" t="s">
        <v>88</v>
      </c>
      <c r="BJ13">
        <f>AVERAGE(H2:H312)</f>
        <v>2.977491961414791</v>
      </c>
      <c r="BT13" t="str">
        <f t="shared" si="5"/>
        <v/>
      </c>
      <c r="BV13">
        <v>4.2</v>
      </c>
      <c r="BW13">
        <v>3.35</v>
      </c>
    </row>
    <row r="14" spans="1:75" x14ac:dyDescent="0.3">
      <c r="A14" t="s">
        <v>107</v>
      </c>
      <c r="B14">
        <v>10012</v>
      </c>
      <c r="C14">
        <v>0</v>
      </c>
      <c r="D14">
        <v>2</v>
      </c>
      <c r="E14">
        <v>1</v>
      </c>
      <c r="F14">
        <v>1</v>
      </c>
      <c r="G14">
        <v>3</v>
      </c>
      <c r="H14">
        <v>4</v>
      </c>
      <c r="I14">
        <v>1</v>
      </c>
      <c r="J14">
        <v>92328</v>
      </c>
      <c r="K14">
        <v>0</v>
      </c>
      <c r="L14">
        <v>9</v>
      </c>
      <c r="M14" t="s">
        <v>108</v>
      </c>
      <c r="N14" t="s">
        <v>109</v>
      </c>
      <c r="O14">
        <v>78230</v>
      </c>
      <c r="P14">
        <v>32328</v>
      </c>
      <c r="Q14" t="s">
        <v>39</v>
      </c>
      <c r="R14" t="s">
        <v>72</v>
      </c>
      <c r="S14" t="s">
        <v>41</v>
      </c>
      <c r="T14" t="s">
        <v>42</v>
      </c>
      <c r="U14" t="s">
        <v>91</v>
      </c>
      <c r="V14">
        <v>41953</v>
      </c>
      <c r="X14" t="s">
        <v>44</v>
      </c>
      <c r="Y14" t="s">
        <v>45</v>
      </c>
      <c r="Z14" t="s">
        <v>57</v>
      </c>
      <c r="AA14" t="s">
        <v>58</v>
      </c>
      <c r="AB14">
        <v>4</v>
      </c>
      <c r="AC14" t="s">
        <v>93</v>
      </c>
      <c r="AD14" t="s">
        <v>49</v>
      </c>
      <c r="AE14">
        <v>4.28</v>
      </c>
      <c r="AF14">
        <v>4</v>
      </c>
      <c r="AG14">
        <v>5</v>
      </c>
      <c r="AH14" t="s">
        <v>89</v>
      </c>
      <c r="AI14">
        <v>0</v>
      </c>
      <c r="AJ14">
        <v>9</v>
      </c>
      <c r="AK14" t="str">
        <f t="shared" si="0"/>
        <v>Normal</v>
      </c>
      <c r="AL14" t="str">
        <f t="shared" si="1"/>
        <v>low Outlier</v>
      </c>
      <c r="AM14">
        <f ca="1">INT((TODAY()-HRDataset_v14[[#This Row],[DOB]])/365.25)</f>
        <v>37</v>
      </c>
      <c r="AN14">
        <f ca="1">DATEDIF(HRDataset_v14[[#This Row],[DateofHire]],TODAY(),"Y")</f>
        <v>11</v>
      </c>
      <c r="AO14">
        <f ca="1">IF(ISBLANK(HRDataset_v14[[#This Row],[DateofTermination]]),DATEDIF(HRDataset_v14[[#This Row],[DateofHire]],TODAY(),"Y"),DATEDIF(HRDataset_v14[[#This Row],[DateofHire]],HRDataset_v14[[#This Row],[DateofTermination]],"Y"))</f>
        <v>11</v>
      </c>
      <c r="AP14" t="str">
        <f ca="1">IF(HRDataset_v14[[#This Row],[Tenure in Years
]]&lt;1,"0-1 Year",IF(HRDataset_v14[[#This Row],[Tenure in Years
]]&lt;3,"1-3 Years",IF(HRDataset_v14[[#This Row],[Tenure in Years
]]&lt;5,"3-5 Years",IF(HRDataset_v14[[#This Row],[Tenure in Years
]]&lt;10,"5-10 Years","10+ Years"))))</f>
        <v>10+ Years</v>
      </c>
      <c r="AQ14" t="str">
        <f ca="1">IF(HRDataset_v14[[#This Row],[Age Calculation
]]&lt;26,"18-25",IF(HRDataset_v14[[#This Row],[Age Calculation
]]&lt;36,"26-35",IF(HRDataset_v14[[#This Row],[Age Calculation
]]&lt;46,"36-45",IF(HRDataset_v14[[#This Row],[Age Calculation
]]&lt;56,"46-55","55+"))))</f>
        <v>36-45</v>
      </c>
      <c r="AR14" t="str">
        <f>IF(HRDataset_v14[[#This Row],[Salary]]&lt;40000,"Entry (&lt;40K)",IF(HRDataset_v14[[#This Row],[Salary]]&lt;70000,"Mid (40-70K)",IF(HRDataset_v14[[#This Row],[Salary]]&lt;100000,"Senior (70-100K)","Executive (100K+)")))</f>
        <v>Senior (70-100K)</v>
      </c>
      <c r="AS14">
        <f>IF(HRDataset_v14[[#This Row],[EmploymentStatus]]="Active",1,0)</f>
        <v>1</v>
      </c>
      <c r="AT14">
        <f>YEAR(HRDataset_v14[[#This Row],[DateofHire]])</f>
        <v>2014</v>
      </c>
      <c r="AU14">
        <f>MONTH(HRDataset_v14[[#This Row],[DateofHire]])</f>
        <v>11</v>
      </c>
      <c r="AV14" t="str">
        <f>"Q"&amp;ROUNDUP(MONTH(HRDataset_v14[[#This Row],[DateofHire]])/3,0)</f>
        <v>Q4</v>
      </c>
      <c r="AW14" t="str">
        <f>TEXT(HRDataset_v14[[#This Row],[DateofHire]],"MMM")</f>
        <v>Nov</v>
      </c>
      <c r="AX14" t="str">
        <f>TEXT(HRDataset_v14[[#This Row],[DateofHire]],"YYYY-MM")</f>
        <v>2014-11</v>
      </c>
      <c r="AY14" t="str">
        <f>IF(ISBLANK(HRDataset_v14[[#This Row],[DateofTermination]]),"N/A",YEAR(HRDataset_v14[[#This Row],[DateofTermination]]))</f>
        <v>N/A</v>
      </c>
      <c r="AZ14" t="str" cm="1">
        <f t="array" ref="AZ14">INDEX(_xlfn.UNIQUE(Z14:Z324),MATCH(MAX(COUNTIF(Z14:Z324,_xlfn.UNIQUE(Z14:Z324))),COUNTIF(Z14:Z324,_xlfn.UNIQUE(Z14:Z324)),0))</f>
        <v xml:space="preserve">Production       </v>
      </c>
      <c r="BA14">
        <f t="shared" si="6"/>
        <v>43.75</v>
      </c>
      <c r="BB14">
        <f t="shared" si="7"/>
        <v>0</v>
      </c>
      <c r="BC14" t="str">
        <f t="shared" si="4"/>
        <v>Low</v>
      </c>
      <c r="BD14">
        <f t="shared" si="9"/>
        <v>4.28</v>
      </c>
      <c r="BE14" t="str">
        <f t="shared" si="8"/>
        <v/>
      </c>
      <c r="BF14" t="s">
        <v>658</v>
      </c>
      <c r="BH14" t="s">
        <v>648</v>
      </c>
      <c r="BI14">
        <f>COUNTIF(AC:AC,"Employee Referral")/COUNTA(AC:AC)*100</f>
        <v>9.9358974358974361</v>
      </c>
      <c r="BT14">
        <f t="shared" si="5"/>
        <v>4.28</v>
      </c>
      <c r="BV14">
        <v>5</v>
      </c>
      <c r="BW14">
        <v>3.14</v>
      </c>
    </row>
    <row r="15" spans="1:75" x14ac:dyDescent="0.3">
      <c r="A15" t="s">
        <v>110</v>
      </c>
      <c r="B15">
        <v>10265</v>
      </c>
      <c r="C15">
        <v>0</v>
      </c>
      <c r="D15">
        <v>0</v>
      </c>
      <c r="E15">
        <v>1</v>
      </c>
      <c r="F15">
        <v>1</v>
      </c>
      <c r="G15">
        <v>5</v>
      </c>
      <c r="H15">
        <v>3</v>
      </c>
      <c r="I15">
        <v>0</v>
      </c>
      <c r="J15">
        <v>58709</v>
      </c>
      <c r="K15">
        <v>0</v>
      </c>
      <c r="L15">
        <v>19</v>
      </c>
      <c r="M15" t="s">
        <v>37</v>
      </c>
      <c r="N15" t="s">
        <v>38</v>
      </c>
      <c r="O15">
        <v>1810</v>
      </c>
      <c r="P15">
        <v>30517</v>
      </c>
      <c r="Q15" t="s">
        <v>39</v>
      </c>
      <c r="R15" t="s">
        <v>40</v>
      </c>
      <c r="S15" t="s">
        <v>41</v>
      </c>
      <c r="T15" t="s">
        <v>42</v>
      </c>
      <c r="U15" t="s">
        <v>111</v>
      </c>
      <c r="V15">
        <v>40959</v>
      </c>
      <c r="X15" t="s">
        <v>44</v>
      </c>
      <c r="Y15" t="s">
        <v>45</v>
      </c>
      <c r="Z15" t="s">
        <v>46</v>
      </c>
      <c r="AA15" t="s">
        <v>113</v>
      </c>
      <c r="AB15">
        <v>18</v>
      </c>
      <c r="AC15" t="s">
        <v>75</v>
      </c>
      <c r="AD15" t="s">
        <v>60</v>
      </c>
      <c r="AE15">
        <v>4.5999999999999996</v>
      </c>
      <c r="AF15">
        <v>4</v>
      </c>
      <c r="AG15">
        <v>0</v>
      </c>
      <c r="AH15" t="s">
        <v>114</v>
      </c>
      <c r="AI15">
        <v>0</v>
      </c>
      <c r="AJ15">
        <v>7</v>
      </c>
      <c r="AK15" t="str">
        <f t="shared" si="0"/>
        <v>Normal</v>
      </c>
      <c r="AL15" t="str">
        <f t="shared" si="1"/>
        <v>low Outlier</v>
      </c>
      <c r="AM15">
        <f ca="1">INT((TODAY()-HRDataset_v14[[#This Row],[DOB]])/365.25)</f>
        <v>42</v>
      </c>
      <c r="AN15">
        <f ca="1">DATEDIF(HRDataset_v14[[#This Row],[DateofHire]],TODAY(),"Y")</f>
        <v>14</v>
      </c>
      <c r="AO15">
        <f ca="1">IF(ISBLANK(HRDataset_v14[[#This Row],[DateofTermination]]),DATEDIF(HRDataset_v14[[#This Row],[DateofHire]],TODAY(),"Y"),DATEDIF(HRDataset_v14[[#This Row],[DateofHire]],HRDataset_v14[[#This Row],[DateofTermination]],"Y"))</f>
        <v>14</v>
      </c>
      <c r="AP15" t="str">
        <f ca="1">IF(HRDataset_v14[[#This Row],[Tenure in Years
]]&lt;1,"0-1 Year",IF(HRDataset_v14[[#This Row],[Tenure in Years
]]&lt;3,"1-3 Years",IF(HRDataset_v14[[#This Row],[Tenure in Years
]]&lt;5,"3-5 Years",IF(HRDataset_v14[[#This Row],[Tenure in Years
]]&lt;10,"5-10 Years","10+ Years"))))</f>
        <v>10+ Years</v>
      </c>
      <c r="AQ15" t="str">
        <f ca="1">IF(HRDataset_v14[[#This Row],[Age Calculation
]]&lt;26,"18-25",IF(HRDataset_v14[[#This Row],[Age Calculation
]]&lt;36,"26-35",IF(HRDataset_v14[[#This Row],[Age Calculation
]]&lt;46,"36-45",IF(HRDataset_v14[[#This Row],[Age Calculation
]]&lt;56,"46-55","55+"))))</f>
        <v>36-45</v>
      </c>
      <c r="AR15" t="str">
        <f>IF(HRDataset_v14[[#This Row],[Salary]]&lt;40000,"Entry (&lt;40K)",IF(HRDataset_v14[[#This Row],[Salary]]&lt;70000,"Mid (40-70K)",IF(HRDataset_v14[[#This Row],[Salary]]&lt;100000,"Senior (70-100K)","Executive (100K+)")))</f>
        <v>Mid (40-70K)</v>
      </c>
      <c r="AS15">
        <f>IF(HRDataset_v14[[#This Row],[EmploymentStatus]]="Active",1,0)</f>
        <v>1</v>
      </c>
      <c r="AT15">
        <f>YEAR(HRDataset_v14[[#This Row],[DateofHire]])</f>
        <v>2012</v>
      </c>
      <c r="AU15">
        <f>MONTH(HRDataset_v14[[#This Row],[DateofHire]])</f>
        <v>2</v>
      </c>
      <c r="AV15" t="str">
        <f>"Q"&amp;ROUNDUP(MONTH(HRDataset_v14[[#This Row],[DateofHire]])/3,0)</f>
        <v>Q1</v>
      </c>
      <c r="AW15" t="str">
        <f>TEXT(HRDataset_v14[[#This Row],[DateofHire]],"MMM")</f>
        <v>Feb</v>
      </c>
      <c r="AX15" t="str">
        <f>TEXT(HRDataset_v14[[#This Row],[DateofHire]],"YYYY-MM")</f>
        <v>2012-02</v>
      </c>
      <c r="AY15" t="str">
        <f>IF(ISBLANK(HRDataset_v14[[#This Row],[DateofTermination]]),"N/A",YEAR(HRDataset_v14[[#This Row],[DateofTermination]]))</f>
        <v>N/A</v>
      </c>
      <c r="AZ15" t="str" cm="1">
        <f t="array" ref="AZ15">INDEX(_xlfn.UNIQUE(Z15:Z325),MATCH(MAX(COUNTIF(Z15:Z325,_xlfn.UNIQUE(Z15:Z325))),COUNTIF(Z15:Z325,_xlfn.UNIQUE(Z15:Z325)),0))</f>
        <v xml:space="preserve">Production       </v>
      </c>
      <c r="BA15">
        <f t="shared" si="6"/>
        <v>27.27272727272727</v>
      </c>
      <c r="BB15">
        <f t="shared" si="7"/>
        <v>0</v>
      </c>
      <c r="BC15" t="str">
        <f t="shared" si="4"/>
        <v>Medium</v>
      </c>
      <c r="BD15">
        <f t="shared" si="9"/>
        <v>4.5999999999999996</v>
      </c>
      <c r="BE15" t="str">
        <f t="shared" si="8"/>
        <v/>
      </c>
      <c r="BF15">
        <f>COUNTIFS(Q:Q,"*M*",M:M,"*Manager*")</f>
        <v>30</v>
      </c>
      <c r="BG15">
        <f>COUNTIF(F:F,5)</f>
        <v>88</v>
      </c>
      <c r="BH15">
        <f>COUNTIF(Z:Z,"*Software Engineering*")</f>
        <v>11</v>
      </c>
      <c r="BJ15" t="s">
        <v>752</v>
      </c>
      <c r="BT15">
        <f t="shared" si="5"/>
        <v>4.5999999999999996</v>
      </c>
      <c r="BV15">
        <v>4.2</v>
      </c>
      <c r="BW15">
        <v>4.3</v>
      </c>
    </row>
    <row r="16" spans="1:75" x14ac:dyDescent="0.3">
      <c r="A16" t="s">
        <v>115</v>
      </c>
      <c r="B16">
        <v>10066</v>
      </c>
      <c r="C16">
        <v>0</v>
      </c>
      <c r="D16">
        <v>2</v>
      </c>
      <c r="E16">
        <v>1</v>
      </c>
      <c r="F16">
        <v>5</v>
      </c>
      <c r="G16">
        <v>5</v>
      </c>
      <c r="H16">
        <v>3</v>
      </c>
      <c r="I16">
        <v>0</v>
      </c>
      <c r="J16">
        <v>52505</v>
      </c>
      <c r="K16">
        <v>1</v>
      </c>
      <c r="L16">
        <v>19</v>
      </c>
      <c r="M16" t="s">
        <v>37</v>
      </c>
      <c r="N16" t="s">
        <v>38</v>
      </c>
      <c r="O16">
        <v>2747</v>
      </c>
      <c r="P16">
        <v>28321</v>
      </c>
      <c r="Q16" t="s">
        <v>39</v>
      </c>
      <c r="R16" t="s">
        <v>72</v>
      </c>
      <c r="S16" t="s">
        <v>41</v>
      </c>
      <c r="T16" t="s">
        <v>42</v>
      </c>
      <c r="U16" t="s">
        <v>43</v>
      </c>
      <c r="V16">
        <v>41176</v>
      </c>
      <c r="W16">
        <v>42831</v>
      </c>
      <c r="X16" t="s">
        <v>101</v>
      </c>
      <c r="Y16" t="s">
        <v>56</v>
      </c>
      <c r="Z16" t="s">
        <v>46</v>
      </c>
      <c r="AA16" t="s">
        <v>47</v>
      </c>
      <c r="AB16">
        <v>22</v>
      </c>
      <c r="AC16" t="s">
        <v>117</v>
      </c>
      <c r="AD16" t="s">
        <v>60</v>
      </c>
      <c r="AE16">
        <v>5</v>
      </c>
      <c r="AF16">
        <v>5</v>
      </c>
      <c r="AG16">
        <v>0</v>
      </c>
      <c r="AH16" t="s">
        <v>118</v>
      </c>
      <c r="AI16">
        <v>0</v>
      </c>
      <c r="AJ16">
        <v>1</v>
      </c>
      <c r="AK16" t="str">
        <f t="shared" si="0"/>
        <v>Normal</v>
      </c>
      <c r="AL16" t="str">
        <f t="shared" si="1"/>
        <v>low Outlier</v>
      </c>
      <c r="AM16">
        <f ca="1">INT((TODAY()-HRDataset_v14[[#This Row],[DOB]])/365.25)</f>
        <v>48</v>
      </c>
      <c r="AN16">
        <f ca="1">DATEDIF(HRDataset_v14[[#This Row],[DateofHire]],TODAY(),"Y")</f>
        <v>13</v>
      </c>
      <c r="AO16">
        <f ca="1">IF(ISBLANK(HRDataset_v14[[#This Row],[DateofTermination]]),DATEDIF(HRDataset_v14[[#This Row],[DateofHire]],TODAY(),"Y"),DATEDIF(HRDataset_v14[[#This Row],[DateofHire]],HRDataset_v14[[#This Row],[DateofTermination]],"Y"))</f>
        <v>4</v>
      </c>
      <c r="AP16" t="str">
        <f ca="1">IF(HRDataset_v14[[#This Row],[Tenure in Years
]]&lt;1,"0-1 Year",IF(HRDataset_v14[[#This Row],[Tenure in Years
]]&lt;3,"1-3 Years",IF(HRDataset_v14[[#This Row],[Tenure in Years
]]&lt;5,"3-5 Years",IF(HRDataset_v14[[#This Row],[Tenure in Years
]]&lt;10,"5-10 Years","10+ Years"))))</f>
        <v>10+ Years</v>
      </c>
      <c r="AQ16" t="str">
        <f ca="1">IF(HRDataset_v14[[#This Row],[Age Calculation
]]&lt;26,"18-25",IF(HRDataset_v14[[#This Row],[Age Calculation
]]&lt;36,"26-35",IF(HRDataset_v14[[#This Row],[Age Calculation
]]&lt;46,"36-45",IF(HRDataset_v14[[#This Row],[Age Calculation
]]&lt;56,"46-55","55+"))))</f>
        <v>46-55</v>
      </c>
      <c r="AR16" t="str">
        <f>IF(HRDataset_v14[[#This Row],[Salary]]&lt;40000,"Entry (&lt;40K)",IF(HRDataset_v14[[#This Row],[Salary]]&lt;70000,"Mid (40-70K)",IF(HRDataset_v14[[#This Row],[Salary]]&lt;100000,"Senior (70-100K)","Executive (100K+)")))</f>
        <v>Mid (40-70K)</v>
      </c>
      <c r="AS16">
        <f>IF(HRDataset_v14[[#This Row],[EmploymentStatus]]="Active",1,0)</f>
        <v>0</v>
      </c>
      <c r="AT16">
        <f>YEAR(HRDataset_v14[[#This Row],[DateofHire]])</f>
        <v>2012</v>
      </c>
      <c r="AU16">
        <f>MONTH(HRDataset_v14[[#This Row],[DateofHire]])</f>
        <v>9</v>
      </c>
      <c r="AV16" t="str">
        <f>"Q"&amp;ROUNDUP(MONTH(HRDataset_v14[[#This Row],[DateofHire]])/3,0)</f>
        <v>Q3</v>
      </c>
      <c r="AW16" t="str">
        <f>TEXT(HRDataset_v14[[#This Row],[DateofHire]],"MMM")</f>
        <v>Sep</v>
      </c>
      <c r="AX16" t="str">
        <f>TEXT(HRDataset_v14[[#This Row],[DateofHire]],"YYYY-MM")</f>
        <v>2012-09</v>
      </c>
      <c r="AY16">
        <f>IF(ISBLANK(HRDataset_v14[[#This Row],[DateofTermination]]),"N/A",YEAR(HRDataset_v14[[#This Row],[DateofTermination]]))</f>
        <v>2017</v>
      </c>
      <c r="AZ16" t="str" cm="1">
        <f t="array" ref="AZ16">INDEX(_xlfn.UNIQUE(Z16:Z326),MATCH(MAX(COUNTIF(Z16:Z326,_xlfn.UNIQUE(Z16:Z326))),COUNTIF(Z16:Z326,_xlfn.UNIQUE(Z16:Z326)),0))</f>
        <v xml:space="preserve">Production       </v>
      </c>
      <c r="BA16">
        <f t="shared" si="6"/>
        <v>42.857142857142854</v>
      </c>
      <c r="BB16">
        <f t="shared" si="7"/>
        <v>19</v>
      </c>
      <c r="BC16" t="str">
        <f t="shared" si="4"/>
        <v>Medium</v>
      </c>
      <c r="BD16" t="str">
        <f t="shared" si="9"/>
        <v/>
      </c>
      <c r="BE16">
        <f t="shared" si="8"/>
        <v>5</v>
      </c>
      <c r="BF16">
        <f>COUNTIFS(Q:Q,"*F*",M:M,"*Manager*")</f>
        <v>20</v>
      </c>
      <c r="BG16" t="s">
        <v>730</v>
      </c>
      <c r="BI16" t="s">
        <v>706</v>
      </c>
      <c r="BJ16">
        <f>COUNTIF(AD2:AD312,"Exceeds")</f>
        <v>37</v>
      </c>
      <c r="BT16" t="str">
        <f t="shared" si="5"/>
        <v/>
      </c>
      <c r="BV16">
        <v>5</v>
      </c>
      <c r="BW16">
        <v>4.2</v>
      </c>
    </row>
    <row r="17" spans="1:75" x14ac:dyDescent="0.3">
      <c r="A17" t="s">
        <v>119</v>
      </c>
      <c r="B17">
        <v>10061</v>
      </c>
      <c r="C17">
        <v>0</v>
      </c>
      <c r="D17">
        <v>0</v>
      </c>
      <c r="E17">
        <v>1</v>
      </c>
      <c r="F17">
        <v>4</v>
      </c>
      <c r="G17">
        <v>5</v>
      </c>
      <c r="H17">
        <v>3</v>
      </c>
      <c r="I17">
        <v>0</v>
      </c>
      <c r="J17">
        <v>57834</v>
      </c>
      <c r="K17">
        <v>1</v>
      </c>
      <c r="L17">
        <v>19</v>
      </c>
      <c r="M17" t="s">
        <v>37</v>
      </c>
      <c r="N17" t="s">
        <v>38</v>
      </c>
      <c r="O17">
        <v>2050</v>
      </c>
      <c r="P17">
        <v>29877</v>
      </c>
      <c r="Q17" t="s">
        <v>39</v>
      </c>
      <c r="R17" t="s">
        <v>40</v>
      </c>
      <c r="S17" t="s">
        <v>41</v>
      </c>
      <c r="T17" t="s">
        <v>42</v>
      </c>
      <c r="U17" t="s">
        <v>43</v>
      </c>
      <c r="V17">
        <v>40595</v>
      </c>
      <c r="W17">
        <v>42951</v>
      </c>
      <c r="X17" t="s">
        <v>120</v>
      </c>
      <c r="Y17" t="s">
        <v>121</v>
      </c>
      <c r="Z17" t="s">
        <v>46</v>
      </c>
      <c r="AA17" t="s">
        <v>113</v>
      </c>
      <c r="AB17">
        <v>18</v>
      </c>
      <c r="AC17" t="s">
        <v>75</v>
      </c>
      <c r="AD17" t="s">
        <v>60</v>
      </c>
      <c r="AE17">
        <v>5</v>
      </c>
      <c r="AF17">
        <v>4</v>
      </c>
      <c r="AG17">
        <v>0</v>
      </c>
      <c r="AH17" t="s">
        <v>122</v>
      </c>
      <c r="AI17">
        <v>0</v>
      </c>
      <c r="AJ17">
        <v>20</v>
      </c>
      <c r="AK17" t="str">
        <f t="shared" si="0"/>
        <v>Normal</v>
      </c>
      <c r="AL17" t="str">
        <f t="shared" si="1"/>
        <v>low Outlier</v>
      </c>
      <c r="AM17">
        <f ca="1">INT((TODAY()-HRDataset_v14[[#This Row],[DOB]])/365.25)</f>
        <v>44</v>
      </c>
      <c r="AN17">
        <f ca="1">DATEDIF(HRDataset_v14[[#This Row],[DateofHire]],TODAY(),"Y")</f>
        <v>15</v>
      </c>
      <c r="AO17">
        <f ca="1">IF(ISBLANK(HRDataset_v14[[#This Row],[DateofTermination]]),DATEDIF(HRDataset_v14[[#This Row],[DateofHire]],TODAY(),"Y"),DATEDIF(HRDataset_v14[[#This Row],[DateofHire]],HRDataset_v14[[#This Row],[DateofTermination]],"Y"))</f>
        <v>6</v>
      </c>
      <c r="AP17" t="str">
        <f ca="1">IF(HRDataset_v14[[#This Row],[Tenure in Years
]]&lt;1,"0-1 Year",IF(HRDataset_v14[[#This Row],[Tenure in Years
]]&lt;3,"1-3 Years",IF(HRDataset_v14[[#This Row],[Tenure in Years
]]&lt;5,"3-5 Years",IF(HRDataset_v14[[#This Row],[Tenure in Years
]]&lt;10,"5-10 Years","10+ Years"))))</f>
        <v>10+ Years</v>
      </c>
      <c r="AQ17" t="str">
        <f ca="1">IF(HRDataset_v14[[#This Row],[Age Calculation
]]&lt;26,"18-25",IF(HRDataset_v14[[#This Row],[Age Calculation
]]&lt;36,"26-35",IF(HRDataset_v14[[#This Row],[Age Calculation
]]&lt;46,"36-45",IF(HRDataset_v14[[#This Row],[Age Calculation
]]&lt;56,"46-55","55+"))))</f>
        <v>36-45</v>
      </c>
      <c r="AR17" t="str">
        <f>IF(HRDataset_v14[[#This Row],[Salary]]&lt;40000,"Entry (&lt;40K)",IF(HRDataset_v14[[#This Row],[Salary]]&lt;70000,"Mid (40-70K)",IF(HRDataset_v14[[#This Row],[Salary]]&lt;100000,"Senior (70-100K)","Executive (100K+)")))</f>
        <v>Mid (40-70K)</v>
      </c>
      <c r="AS17">
        <f>IF(HRDataset_v14[[#This Row],[EmploymentStatus]]="Active",1,0)</f>
        <v>0</v>
      </c>
      <c r="AT17">
        <f>YEAR(HRDataset_v14[[#This Row],[DateofHire]])</f>
        <v>2011</v>
      </c>
      <c r="AU17">
        <f>MONTH(HRDataset_v14[[#This Row],[DateofHire]])</f>
        <v>2</v>
      </c>
      <c r="AV17" t="str">
        <f>"Q"&amp;ROUNDUP(MONTH(HRDataset_v14[[#This Row],[DateofHire]])/3,0)</f>
        <v>Q1</v>
      </c>
      <c r="AW17" t="str">
        <f>TEXT(HRDataset_v14[[#This Row],[DateofHire]],"MMM")</f>
        <v>Feb</v>
      </c>
      <c r="AX17" t="str">
        <f>TEXT(HRDataset_v14[[#This Row],[DateofHire]],"YYYY-MM")</f>
        <v>2011-02</v>
      </c>
      <c r="AY17">
        <f>IF(ISBLANK(HRDataset_v14[[#This Row],[DateofTermination]]),"N/A",YEAR(HRDataset_v14[[#This Row],[DateofTermination]]))</f>
        <v>2017</v>
      </c>
      <c r="AZ17" t="str" cm="1">
        <f t="array" ref="AZ17">INDEX(_xlfn.UNIQUE(Z17:Z327),MATCH(MAX(COUNTIF(Z17:Z327,_xlfn.UNIQUE(Z17:Z327))),COUNTIF(Z17:Z327,_xlfn.UNIQUE(Z17:Z327)),0))</f>
        <v xml:space="preserve">Production       </v>
      </c>
      <c r="BA17">
        <f t="shared" si="6"/>
        <v>28.571428571428569</v>
      </c>
      <c r="BB17">
        <f t="shared" si="7"/>
        <v>7</v>
      </c>
      <c r="BC17" t="str">
        <f t="shared" si="4"/>
        <v>Medium</v>
      </c>
      <c r="BD17" t="str">
        <f t="shared" si="9"/>
        <v/>
      </c>
      <c r="BE17">
        <f t="shared" si="8"/>
        <v>5</v>
      </c>
      <c r="BG17">
        <f>(COUNTIF(K:K,1)/COUNTA(B:B))*100</f>
        <v>33.333333333333329</v>
      </c>
      <c r="BH17" t="s">
        <v>649</v>
      </c>
      <c r="BI17">
        <f>AVERAGEIF(AC:AC,"LinkedIn",J:J)</f>
        <v>64903.315789473687</v>
      </c>
      <c r="BJ17">
        <f>COUNTIF(AD2:AD312,"Exceeds")
/COUNTA(AD2:AD312)*100</f>
        <v>11.89710610932476</v>
      </c>
      <c r="BT17" t="str">
        <f t="shared" si="5"/>
        <v/>
      </c>
      <c r="BV17">
        <v>2</v>
      </c>
      <c r="BW17">
        <v>4.2</v>
      </c>
    </row>
    <row r="18" spans="1:75" x14ac:dyDescent="0.3">
      <c r="A18" t="s">
        <v>123</v>
      </c>
      <c r="B18">
        <v>10023</v>
      </c>
      <c r="C18">
        <v>1</v>
      </c>
      <c r="D18">
        <v>1</v>
      </c>
      <c r="E18">
        <v>0</v>
      </c>
      <c r="F18">
        <v>2</v>
      </c>
      <c r="G18">
        <v>5</v>
      </c>
      <c r="H18">
        <v>4</v>
      </c>
      <c r="I18">
        <v>0</v>
      </c>
      <c r="J18">
        <v>70131</v>
      </c>
      <c r="K18">
        <v>0</v>
      </c>
      <c r="L18">
        <v>20</v>
      </c>
      <c r="M18" t="s">
        <v>63</v>
      </c>
      <c r="N18" t="s">
        <v>38</v>
      </c>
      <c r="O18">
        <v>2145</v>
      </c>
      <c r="P18">
        <v>24214</v>
      </c>
      <c r="Q18" t="s">
        <v>64</v>
      </c>
      <c r="R18" t="s">
        <v>53</v>
      </c>
      <c r="S18" t="s">
        <v>41</v>
      </c>
      <c r="T18" t="s">
        <v>42</v>
      </c>
      <c r="U18" t="s">
        <v>43</v>
      </c>
      <c r="V18">
        <v>42572</v>
      </c>
      <c r="X18" t="s">
        <v>44</v>
      </c>
      <c r="Y18" t="s">
        <v>45</v>
      </c>
      <c r="Z18" t="s">
        <v>46</v>
      </c>
      <c r="AA18" t="s">
        <v>113</v>
      </c>
      <c r="AB18">
        <v>18</v>
      </c>
      <c r="AC18" t="s">
        <v>88</v>
      </c>
      <c r="AD18" t="s">
        <v>49</v>
      </c>
      <c r="AE18">
        <v>4.4000000000000004</v>
      </c>
      <c r="AF18">
        <v>3</v>
      </c>
      <c r="AG18">
        <v>0</v>
      </c>
      <c r="AH18" t="s">
        <v>124</v>
      </c>
      <c r="AI18">
        <v>0</v>
      </c>
      <c r="AJ18">
        <v>16</v>
      </c>
      <c r="AK18" t="str">
        <f t="shared" si="0"/>
        <v>Normal</v>
      </c>
      <c r="AL18" t="str">
        <f t="shared" si="1"/>
        <v>low Outlier</v>
      </c>
      <c r="AM18">
        <f ca="1">INT((TODAY()-HRDataset_v14[[#This Row],[DOB]])/365.25)</f>
        <v>59</v>
      </c>
      <c r="AN18">
        <f ca="1">DATEDIF(HRDataset_v14[[#This Row],[DateofHire]],TODAY(),"Y")</f>
        <v>9</v>
      </c>
      <c r="AO18">
        <f ca="1">IF(ISBLANK(HRDataset_v14[[#This Row],[DateofTermination]]),DATEDIF(HRDataset_v14[[#This Row],[DateofHire]],TODAY(),"Y"),DATEDIF(HRDataset_v14[[#This Row],[DateofHire]],HRDataset_v14[[#This Row],[DateofTermination]],"Y"))</f>
        <v>9</v>
      </c>
      <c r="AP18" t="str">
        <f ca="1">IF(HRDataset_v14[[#This Row],[Tenure in Years
]]&lt;1,"0-1 Year",IF(HRDataset_v14[[#This Row],[Tenure in Years
]]&lt;3,"1-3 Years",IF(HRDataset_v14[[#This Row],[Tenure in Years
]]&lt;5,"3-5 Years",IF(HRDataset_v14[[#This Row],[Tenure in Years
]]&lt;10,"5-10 Years","10+ Years"))))</f>
        <v>5-10 Years</v>
      </c>
      <c r="AQ18" t="str">
        <f ca="1">IF(HRDataset_v14[[#This Row],[Age Calculation
]]&lt;26,"18-25",IF(HRDataset_v14[[#This Row],[Age Calculation
]]&lt;36,"26-35",IF(HRDataset_v14[[#This Row],[Age Calculation
]]&lt;46,"36-45",IF(HRDataset_v14[[#This Row],[Age Calculation
]]&lt;56,"46-55","55+"))))</f>
        <v>55+</v>
      </c>
      <c r="AR18" t="str">
        <f>IF(HRDataset_v14[[#This Row],[Salary]]&lt;40000,"Entry (&lt;40K)",IF(HRDataset_v14[[#This Row],[Salary]]&lt;70000,"Mid (40-70K)",IF(HRDataset_v14[[#This Row],[Salary]]&lt;100000,"Senior (70-100K)","Executive (100K+)")))</f>
        <v>Senior (70-100K)</v>
      </c>
      <c r="AS18">
        <f>IF(HRDataset_v14[[#This Row],[EmploymentStatus]]="Active",1,0)</f>
        <v>1</v>
      </c>
      <c r="AT18">
        <f>YEAR(HRDataset_v14[[#This Row],[DateofHire]])</f>
        <v>2016</v>
      </c>
      <c r="AU18">
        <f>MONTH(HRDataset_v14[[#This Row],[DateofHire]])</f>
        <v>7</v>
      </c>
      <c r="AV18" t="str">
        <f>"Q"&amp;ROUNDUP(MONTH(HRDataset_v14[[#This Row],[DateofHire]])/3,0)</f>
        <v>Q3</v>
      </c>
      <c r="AW18" t="str">
        <f>TEXT(HRDataset_v14[[#This Row],[DateofHire]],"MMM")</f>
        <v>Jul</v>
      </c>
      <c r="AX18" t="str">
        <f>TEXT(HRDataset_v14[[#This Row],[DateofHire]],"YYYY-MM")</f>
        <v>2016-07</v>
      </c>
      <c r="AY18" t="str">
        <f>IF(ISBLANK(HRDataset_v14[[#This Row],[DateofTermination]]),"N/A",YEAR(HRDataset_v14[[#This Row],[DateofTermination]]))</f>
        <v>N/A</v>
      </c>
      <c r="AZ18" t="str" cm="1">
        <f t="array" ref="AZ18">INDEX(_xlfn.UNIQUE(Z18:Z328),MATCH(MAX(COUNTIF(Z18:Z328,_xlfn.UNIQUE(Z18:Z328))),COUNTIF(Z18:Z328,_xlfn.UNIQUE(Z18:Z328)),0))</f>
        <v xml:space="preserve">Production       </v>
      </c>
      <c r="BA18">
        <f t="shared" si="6"/>
        <v>25</v>
      </c>
      <c r="BB18">
        <f t="shared" si="7"/>
        <v>0</v>
      </c>
      <c r="BC18" t="str">
        <f t="shared" si="4"/>
        <v>Low</v>
      </c>
      <c r="BD18">
        <f t="shared" si="9"/>
        <v>4.4000000000000004</v>
      </c>
      <c r="BE18" t="str">
        <f t="shared" si="8"/>
        <v/>
      </c>
      <c r="BF18" t="s">
        <v>659</v>
      </c>
      <c r="BH18">
        <f>COUNTIF(Z:Z,"*Executive Office*")</f>
        <v>1</v>
      </c>
      <c r="BI18" t="s">
        <v>707</v>
      </c>
      <c r="BT18">
        <f t="shared" si="5"/>
        <v>4.4000000000000004</v>
      </c>
      <c r="BV18">
        <v>5</v>
      </c>
      <c r="BW18">
        <v>2</v>
      </c>
    </row>
    <row r="19" spans="1:75" x14ac:dyDescent="0.3">
      <c r="A19" t="s">
        <v>125</v>
      </c>
      <c r="B19">
        <v>10055</v>
      </c>
      <c r="C19">
        <v>0</v>
      </c>
      <c r="D19">
        <v>0</v>
      </c>
      <c r="E19">
        <v>0</v>
      </c>
      <c r="F19">
        <v>1</v>
      </c>
      <c r="G19">
        <v>5</v>
      </c>
      <c r="H19">
        <v>3</v>
      </c>
      <c r="I19">
        <v>0</v>
      </c>
      <c r="J19">
        <v>59026</v>
      </c>
      <c r="K19">
        <v>0</v>
      </c>
      <c r="L19">
        <v>19</v>
      </c>
      <c r="M19" t="s">
        <v>37</v>
      </c>
      <c r="N19" t="s">
        <v>38</v>
      </c>
      <c r="O19">
        <v>1915</v>
      </c>
      <c r="P19">
        <v>25868</v>
      </c>
      <c r="Q19" t="s">
        <v>64</v>
      </c>
      <c r="R19" t="s">
        <v>40</v>
      </c>
      <c r="S19" t="s">
        <v>126</v>
      </c>
      <c r="T19" t="s">
        <v>42</v>
      </c>
      <c r="U19" t="s">
        <v>43</v>
      </c>
      <c r="V19">
        <v>40637</v>
      </c>
      <c r="X19" t="s">
        <v>44</v>
      </c>
      <c r="Y19" t="s">
        <v>45</v>
      </c>
      <c r="Z19" t="s">
        <v>46</v>
      </c>
      <c r="AA19" t="s">
        <v>69</v>
      </c>
      <c r="AB19">
        <v>16</v>
      </c>
      <c r="AC19" t="s">
        <v>75</v>
      </c>
      <c r="AD19" t="s">
        <v>60</v>
      </c>
      <c r="AE19">
        <v>5</v>
      </c>
      <c r="AF19">
        <v>5</v>
      </c>
      <c r="AG19">
        <v>0</v>
      </c>
      <c r="AH19" t="s">
        <v>124</v>
      </c>
      <c r="AI19">
        <v>0</v>
      </c>
      <c r="AJ19">
        <v>12</v>
      </c>
      <c r="AK19" t="str">
        <f t="shared" si="0"/>
        <v>Normal</v>
      </c>
      <c r="AL19" t="str">
        <f t="shared" si="1"/>
        <v>low Outlier</v>
      </c>
      <c r="AM19">
        <f ca="1">INT((TODAY()-HRDataset_v14[[#This Row],[DOB]])/365.25)</f>
        <v>55</v>
      </c>
      <c r="AN19">
        <f ca="1">DATEDIF(HRDataset_v14[[#This Row],[DateofHire]],TODAY(),"Y")</f>
        <v>14</v>
      </c>
      <c r="AO19">
        <f ca="1">IF(ISBLANK(HRDataset_v14[[#This Row],[DateofTermination]]),DATEDIF(HRDataset_v14[[#This Row],[DateofHire]],TODAY(),"Y"),DATEDIF(HRDataset_v14[[#This Row],[DateofHire]],HRDataset_v14[[#This Row],[DateofTermination]],"Y"))</f>
        <v>14</v>
      </c>
      <c r="AP19" t="str">
        <f ca="1">IF(HRDataset_v14[[#This Row],[Tenure in Years
]]&lt;1,"0-1 Year",IF(HRDataset_v14[[#This Row],[Tenure in Years
]]&lt;3,"1-3 Years",IF(HRDataset_v14[[#This Row],[Tenure in Years
]]&lt;5,"3-5 Years",IF(HRDataset_v14[[#This Row],[Tenure in Years
]]&lt;10,"5-10 Years","10+ Years"))))</f>
        <v>10+ Years</v>
      </c>
      <c r="AQ19" t="str">
        <f ca="1">IF(HRDataset_v14[[#This Row],[Age Calculation
]]&lt;26,"18-25",IF(HRDataset_v14[[#This Row],[Age Calculation
]]&lt;36,"26-35",IF(HRDataset_v14[[#This Row],[Age Calculation
]]&lt;46,"36-45",IF(HRDataset_v14[[#This Row],[Age Calculation
]]&lt;56,"46-55","55+"))))</f>
        <v>46-55</v>
      </c>
      <c r="AR19" t="str">
        <f>IF(HRDataset_v14[[#This Row],[Salary]]&lt;40000,"Entry (&lt;40K)",IF(HRDataset_v14[[#This Row],[Salary]]&lt;70000,"Mid (40-70K)",IF(HRDataset_v14[[#This Row],[Salary]]&lt;100000,"Senior (70-100K)","Executive (100K+)")))</f>
        <v>Mid (40-70K)</v>
      </c>
      <c r="AS19">
        <f>IF(HRDataset_v14[[#This Row],[EmploymentStatus]]="Active",1,0)</f>
        <v>1</v>
      </c>
      <c r="AT19">
        <f>YEAR(HRDataset_v14[[#This Row],[DateofHire]])</f>
        <v>2011</v>
      </c>
      <c r="AU19">
        <f>MONTH(HRDataset_v14[[#This Row],[DateofHire]])</f>
        <v>4</v>
      </c>
      <c r="AV19" t="str">
        <f>"Q"&amp;ROUNDUP(MONTH(HRDataset_v14[[#This Row],[DateofHire]])/3,0)</f>
        <v>Q2</v>
      </c>
      <c r="AW19" t="str">
        <f>TEXT(HRDataset_v14[[#This Row],[DateofHire]],"MMM")</f>
        <v>Apr</v>
      </c>
      <c r="AX19" t="str">
        <f>TEXT(HRDataset_v14[[#This Row],[DateofHire]],"YYYY-MM")</f>
        <v>2011-04</v>
      </c>
      <c r="AY19" t="str">
        <f>IF(ISBLANK(HRDataset_v14[[#This Row],[DateofTermination]]),"N/A",YEAR(HRDataset_v14[[#This Row],[DateofTermination]]))</f>
        <v>N/A</v>
      </c>
      <c r="AZ19" t="str" cm="1">
        <f t="array" ref="AZ19">INDEX(_xlfn.UNIQUE(Z19:Z329),MATCH(MAX(COUNTIF(Z19:Z329,_xlfn.UNIQUE(Z19:Z329))),COUNTIF(Z19:Z329,_xlfn.UNIQUE(Z19:Z329)),0))</f>
        <v xml:space="preserve">Production       </v>
      </c>
      <c r="BA19">
        <f t="shared" si="6"/>
        <v>38.095238095238095</v>
      </c>
      <c r="BB19">
        <f t="shared" si="7"/>
        <v>0</v>
      </c>
      <c r="BC19" t="str">
        <f t="shared" si="4"/>
        <v>Medium</v>
      </c>
      <c r="BD19">
        <f t="shared" si="9"/>
        <v>5</v>
      </c>
      <c r="BE19" t="str">
        <f t="shared" si="8"/>
        <v/>
      </c>
      <c r="BF19">
        <f>AVERAGEIF(Q:Q,"*M*",J:J)</f>
        <v>70629.399999999994</v>
      </c>
      <c r="BG19" t="s">
        <v>731</v>
      </c>
      <c r="BH19" t="s">
        <v>650</v>
      </c>
      <c r="BI19">
        <f>AVERAGEIF(AC:AC,"Indeed",J:J)</f>
        <v>75495.747126436778</v>
      </c>
      <c r="BJ19" t="s">
        <v>753</v>
      </c>
      <c r="BT19">
        <f t="shared" si="5"/>
        <v>5</v>
      </c>
      <c r="BV19">
        <v>4.5</v>
      </c>
      <c r="BW19">
        <v>5</v>
      </c>
    </row>
    <row r="20" spans="1:75" x14ac:dyDescent="0.3">
      <c r="A20" t="s">
        <v>127</v>
      </c>
      <c r="B20">
        <v>10245</v>
      </c>
      <c r="C20">
        <v>0</v>
      </c>
      <c r="D20">
        <v>0</v>
      </c>
      <c r="E20">
        <v>0</v>
      </c>
      <c r="F20">
        <v>4</v>
      </c>
      <c r="G20">
        <v>3</v>
      </c>
      <c r="H20">
        <v>3</v>
      </c>
      <c r="I20">
        <v>0</v>
      </c>
      <c r="J20">
        <v>110000</v>
      </c>
      <c r="K20">
        <v>1</v>
      </c>
      <c r="L20">
        <v>8</v>
      </c>
      <c r="M20" t="s">
        <v>128</v>
      </c>
      <c r="N20" t="s">
        <v>38</v>
      </c>
      <c r="O20">
        <v>2026</v>
      </c>
      <c r="P20">
        <v>31506</v>
      </c>
      <c r="Q20" t="s">
        <v>64</v>
      </c>
      <c r="R20" t="s">
        <v>40</v>
      </c>
      <c r="S20" t="s">
        <v>41</v>
      </c>
      <c r="T20" t="s">
        <v>100</v>
      </c>
      <c r="U20" t="s">
        <v>43</v>
      </c>
      <c r="V20">
        <v>41827</v>
      </c>
      <c r="W20">
        <v>42259</v>
      </c>
      <c r="X20" t="s">
        <v>129</v>
      </c>
      <c r="Y20" t="s">
        <v>121</v>
      </c>
      <c r="Z20" t="s">
        <v>57</v>
      </c>
      <c r="AA20" t="s">
        <v>58</v>
      </c>
      <c r="AB20">
        <v>4</v>
      </c>
      <c r="AC20" t="s">
        <v>75</v>
      </c>
      <c r="AD20" t="s">
        <v>60</v>
      </c>
      <c r="AE20">
        <v>4.5</v>
      </c>
      <c r="AF20">
        <v>4</v>
      </c>
      <c r="AG20">
        <v>5</v>
      </c>
      <c r="AH20" t="s">
        <v>130</v>
      </c>
      <c r="AI20">
        <v>0</v>
      </c>
      <c r="AJ20">
        <v>8</v>
      </c>
      <c r="AK20" t="str">
        <f t="shared" si="0"/>
        <v>Normal</v>
      </c>
      <c r="AL20" t="str">
        <f t="shared" si="1"/>
        <v>low Outlier</v>
      </c>
      <c r="AM20">
        <f ca="1">INT((TODAY()-HRDataset_v14[[#This Row],[DOB]])/365.25)</f>
        <v>39</v>
      </c>
      <c r="AN20">
        <f ca="1">DATEDIF(HRDataset_v14[[#This Row],[DateofHire]],TODAY(),"Y")</f>
        <v>11</v>
      </c>
      <c r="AO20">
        <f ca="1">IF(ISBLANK(HRDataset_v14[[#This Row],[DateofTermination]]),DATEDIF(HRDataset_v14[[#This Row],[DateofHire]],TODAY(),"Y"),DATEDIF(HRDataset_v14[[#This Row],[DateofHire]],HRDataset_v14[[#This Row],[DateofTermination]],"Y"))</f>
        <v>1</v>
      </c>
      <c r="AP20" t="str">
        <f ca="1">IF(HRDataset_v14[[#This Row],[Tenure in Years
]]&lt;1,"0-1 Year",IF(HRDataset_v14[[#This Row],[Tenure in Years
]]&lt;3,"1-3 Years",IF(HRDataset_v14[[#This Row],[Tenure in Years
]]&lt;5,"3-5 Years",IF(HRDataset_v14[[#This Row],[Tenure in Years
]]&lt;10,"5-10 Years","10+ Years"))))</f>
        <v>10+ Years</v>
      </c>
      <c r="AQ20" t="str">
        <f ca="1">IF(HRDataset_v14[[#This Row],[Age Calculation
]]&lt;26,"18-25",IF(HRDataset_v14[[#This Row],[Age Calculation
]]&lt;36,"26-35",IF(HRDataset_v14[[#This Row],[Age Calculation
]]&lt;46,"36-45",IF(HRDataset_v14[[#This Row],[Age Calculation
]]&lt;56,"46-55","55+"))))</f>
        <v>36-45</v>
      </c>
      <c r="AR20" t="str">
        <f>IF(HRDataset_v14[[#This Row],[Salary]]&lt;40000,"Entry (&lt;40K)",IF(HRDataset_v14[[#This Row],[Salary]]&lt;70000,"Mid (40-70K)",IF(HRDataset_v14[[#This Row],[Salary]]&lt;100000,"Senior (70-100K)","Executive (100K+)")))</f>
        <v>Executive (100K+)</v>
      </c>
      <c r="AS20">
        <f>IF(HRDataset_v14[[#This Row],[EmploymentStatus]]="Active",1,0)</f>
        <v>0</v>
      </c>
      <c r="AT20">
        <f>YEAR(HRDataset_v14[[#This Row],[DateofHire]])</f>
        <v>2014</v>
      </c>
      <c r="AU20">
        <f>MONTH(HRDataset_v14[[#This Row],[DateofHire]])</f>
        <v>7</v>
      </c>
      <c r="AV20" t="str">
        <f>"Q"&amp;ROUNDUP(MONTH(HRDataset_v14[[#This Row],[DateofHire]])/3,0)</f>
        <v>Q3</v>
      </c>
      <c r="AW20" t="str">
        <f>TEXT(HRDataset_v14[[#This Row],[DateofHire]],"MMM")</f>
        <v>Jul</v>
      </c>
      <c r="AX20" t="str">
        <f>TEXT(HRDataset_v14[[#This Row],[DateofHire]],"YYYY-MM")</f>
        <v>2014-07</v>
      </c>
      <c r="AY20">
        <f>IF(ISBLANK(HRDataset_v14[[#This Row],[DateofTermination]]),"N/A",YEAR(HRDataset_v14[[#This Row],[DateofTermination]]))</f>
        <v>2015</v>
      </c>
      <c r="AZ20" t="str" cm="1">
        <f t="array" ref="AZ20">INDEX(_xlfn.UNIQUE(Z20:Z330),MATCH(MAX(COUNTIF(Z20:Z330,_xlfn.UNIQUE(Z20:Z330))),COUNTIF(Z20:Z330,_xlfn.UNIQUE(Z20:Z330)),0))</f>
        <v xml:space="preserve">Production       </v>
      </c>
      <c r="BA20">
        <f t="shared" si="6"/>
        <v>46.666666666666664</v>
      </c>
      <c r="BB20">
        <f t="shared" si="7"/>
        <v>4</v>
      </c>
      <c r="BC20" t="str">
        <f t="shared" si="4"/>
        <v>Medium</v>
      </c>
      <c r="BD20" t="str">
        <f t="shared" si="9"/>
        <v/>
      </c>
      <c r="BE20">
        <f t="shared" si="8"/>
        <v>4.5</v>
      </c>
      <c r="BF20">
        <f>AVERAGEIF(Q:Q,"*F*",J:J)</f>
        <v>67786.727272727279</v>
      </c>
      <c r="BG20" t="s">
        <v>732</v>
      </c>
      <c r="BH20">
        <f>COUNTIFS(Z:Z,"IT/IS", Y:Y,"Active")</f>
        <v>40</v>
      </c>
      <c r="BJ20" t="s">
        <v>754</v>
      </c>
      <c r="BT20" t="str">
        <f t="shared" si="5"/>
        <v/>
      </c>
      <c r="BV20">
        <v>3.19</v>
      </c>
      <c r="BW20">
        <v>4.62</v>
      </c>
    </row>
    <row r="21" spans="1:75" x14ac:dyDescent="0.3">
      <c r="A21" t="s">
        <v>131</v>
      </c>
      <c r="B21">
        <v>10277</v>
      </c>
      <c r="C21">
        <v>0</v>
      </c>
      <c r="D21">
        <v>0</v>
      </c>
      <c r="E21">
        <v>1</v>
      </c>
      <c r="F21">
        <v>3</v>
      </c>
      <c r="G21">
        <v>5</v>
      </c>
      <c r="H21">
        <v>3</v>
      </c>
      <c r="I21">
        <v>0</v>
      </c>
      <c r="J21">
        <v>53250</v>
      </c>
      <c r="K21">
        <v>0</v>
      </c>
      <c r="L21">
        <v>19</v>
      </c>
      <c r="M21" t="s">
        <v>37</v>
      </c>
      <c r="N21" t="s">
        <v>38</v>
      </c>
      <c r="O21">
        <v>2452</v>
      </c>
      <c r="P21">
        <v>28951</v>
      </c>
      <c r="Q21" t="s">
        <v>39</v>
      </c>
      <c r="R21" t="s">
        <v>40</v>
      </c>
      <c r="S21" t="s">
        <v>41</v>
      </c>
      <c r="T21" t="s">
        <v>42</v>
      </c>
      <c r="U21" t="s">
        <v>132</v>
      </c>
      <c r="V21">
        <v>41463</v>
      </c>
      <c r="X21" t="s">
        <v>44</v>
      </c>
      <c r="Y21" t="s">
        <v>45</v>
      </c>
      <c r="Z21" t="s">
        <v>46</v>
      </c>
      <c r="AA21" t="s">
        <v>74</v>
      </c>
      <c r="AC21" t="s">
        <v>48</v>
      </c>
      <c r="AD21" t="s">
        <v>60</v>
      </c>
      <c r="AE21">
        <v>4.2</v>
      </c>
      <c r="AF21">
        <v>4</v>
      </c>
      <c r="AG21">
        <v>0</v>
      </c>
      <c r="AH21" t="s">
        <v>133</v>
      </c>
      <c r="AI21">
        <v>0</v>
      </c>
      <c r="AJ21">
        <v>13</v>
      </c>
      <c r="AK21" t="str">
        <f t="shared" si="0"/>
        <v>Normal</v>
      </c>
      <c r="AL21" t="str">
        <f t="shared" si="1"/>
        <v>low Outlier</v>
      </c>
      <c r="AM21">
        <f ca="1">INT((TODAY()-HRDataset_v14[[#This Row],[DOB]])/365.25)</f>
        <v>46</v>
      </c>
      <c r="AN21">
        <f ca="1">DATEDIF(HRDataset_v14[[#This Row],[DateofHire]],TODAY(),"Y")</f>
        <v>12</v>
      </c>
      <c r="AO21">
        <f ca="1">IF(ISBLANK(HRDataset_v14[[#This Row],[DateofTermination]]),DATEDIF(HRDataset_v14[[#This Row],[DateofHire]],TODAY(),"Y"),DATEDIF(HRDataset_v14[[#This Row],[DateofHire]],HRDataset_v14[[#This Row],[DateofTermination]],"Y"))</f>
        <v>12</v>
      </c>
      <c r="AP21" t="str">
        <f ca="1">IF(HRDataset_v14[[#This Row],[Tenure in Years
]]&lt;1,"0-1 Year",IF(HRDataset_v14[[#This Row],[Tenure in Years
]]&lt;3,"1-3 Years",IF(HRDataset_v14[[#This Row],[Tenure in Years
]]&lt;5,"3-5 Years",IF(HRDataset_v14[[#This Row],[Tenure in Years
]]&lt;10,"5-10 Years","10+ Years"))))</f>
        <v>10+ Years</v>
      </c>
      <c r="AQ21" t="str">
        <f ca="1">IF(HRDataset_v14[[#This Row],[Age Calculation
]]&lt;26,"18-25",IF(HRDataset_v14[[#This Row],[Age Calculation
]]&lt;36,"26-35",IF(HRDataset_v14[[#This Row],[Age Calculation
]]&lt;46,"36-45",IF(HRDataset_v14[[#This Row],[Age Calculation
]]&lt;56,"46-55","55+"))))</f>
        <v>46-55</v>
      </c>
      <c r="AR21" t="str">
        <f>IF(HRDataset_v14[[#This Row],[Salary]]&lt;40000,"Entry (&lt;40K)",IF(HRDataset_v14[[#This Row],[Salary]]&lt;70000,"Mid (40-70K)",IF(HRDataset_v14[[#This Row],[Salary]]&lt;100000,"Senior (70-100K)","Executive (100K+)")))</f>
        <v>Mid (40-70K)</v>
      </c>
      <c r="AS21">
        <f>IF(HRDataset_v14[[#This Row],[EmploymentStatus]]="Active",1,0)</f>
        <v>1</v>
      </c>
      <c r="AT21">
        <f>YEAR(HRDataset_v14[[#This Row],[DateofHire]])</f>
        <v>2013</v>
      </c>
      <c r="AU21">
        <f>MONTH(HRDataset_v14[[#This Row],[DateofHire]])</f>
        <v>7</v>
      </c>
      <c r="AV21" t="str">
        <f>"Q"&amp;ROUNDUP(MONTH(HRDataset_v14[[#This Row],[DateofHire]])/3,0)</f>
        <v>Q3</v>
      </c>
      <c r="AW21" t="str">
        <f>TEXT(HRDataset_v14[[#This Row],[DateofHire]],"MMM")</f>
        <v>Jul</v>
      </c>
      <c r="AX21" t="str">
        <f>TEXT(HRDataset_v14[[#This Row],[DateofHire]],"YYYY-MM")</f>
        <v>2013-07</v>
      </c>
      <c r="AY21" t="str">
        <f>IF(ISBLANK(HRDataset_v14[[#This Row],[DateofTermination]]),"N/A",YEAR(HRDataset_v14[[#This Row],[DateofTermination]]))</f>
        <v>N/A</v>
      </c>
      <c r="AZ21" t="str" cm="1">
        <f t="array" ref="AZ21">INDEX(_xlfn.UNIQUE(Z21:Z331),MATCH(MAX(COUNTIF(Z21:Z331,_xlfn.UNIQUE(Z21:Z331))),COUNTIF(Z21:Z331,_xlfn.UNIQUE(Z21:Z331)),0))</f>
        <v xml:space="preserve">Production       </v>
      </c>
      <c r="BA21">
        <f t="shared" si="6"/>
        <v>60</v>
      </c>
      <c r="BB21">
        <f t="shared" si="7"/>
        <v>0</v>
      </c>
      <c r="BC21" t="str">
        <f t="shared" si="4"/>
        <v>Medium</v>
      </c>
      <c r="BD21">
        <f t="shared" si="9"/>
        <v>4.2</v>
      </c>
      <c r="BE21" t="str">
        <f t="shared" si="8"/>
        <v/>
      </c>
      <c r="BG21">
        <f>COUNTIF(X2:X312,"*Another position*")
+COUNTIF(X2:X312,"*career change*")
+COUNTIF(X2:X312,"*more money*")
+COUNTIF(X2:X312,"*return to school*")
+COUNTIF(X2:X312,"*relocation*")
+COUNTIF(X2:X312,"*unhappy*")
+COUNTIF(X2:X312,"*retiring*")
+COUNTIF(X2:X312,"*military*")
+COUNTIF(X2:X312,"*medical*")
+COUNTIF(X2:X312,"*maternity*")</f>
        <v>78</v>
      </c>
      <c r="BH21" t="s">
        <v>651</v>
      </c>
      <c r="BI21" t="s">
        <v>708</v>
      </c>
      <c r="BT21">
        <f t="shared" si="5"/>
        <v>4.2</v>
      </c>
      <c r="BV21">
        <v>3.5</v>
      </c>
      <c r="BW21">
        <v>5</v>
      </c>
    </row>
    <row r="22" spans="1:75" x14ac:dyDescent="0.3">
      <c r="A22" t="s">
        <v>134</v>
      </c>
      <c r="B22">
        <v>10046</v>
      </c>
      <c r="C22">
        <v>0</v>
      </c>
      <c r="D22">
        <v>0</v>
      </c>
      <c r="E22">
        <v>1</v>
      </c>
      <c r="F22">
        <v>1</v>
      </c>
      <c r="G22">
        <v>5</v>
      </c>
      <c r="H22">
        <v>3</v>
      </c>
      <c r="I22">
        <v>0</v>
      </c>
      <c r="J22">
        <v>51044</v>
      </c>
      <c r="K22">
        <v>0</v>
      </c>
      <c r="L22">
        <v>19</v>
      </c>
      <c r="M22" t="s">
        <v>37</v>
      </c>
      <c r="N22" t="s">
        <v>38</v>
      </c>
      <c r="O22">
        <v>2072</v>
      </c>
      <c r="P22">
        <v>25924</v>
      </c>
      <c r="Q22" t="s">
        <v>39</v>
      </c>
      <c r="R22" t="s">
        <v>40</v>
      </c>
      <c r="S22" t="s">
        <v>41</v>
      </c>
      <c r="T22" t="s">
        <v>100</v>
      </c>
      <c r="U22" t="s">
        <v>43</v>
      </c>
      <c r="V22">
        <v>41001</v>
      </c>
      <c r="X22" t="s">
        <v>44</v>
      </c>
      <c r="Y22" t="s">
        <v>45</v>
      </c>
      <c r="Z22" t="s">
        <v>46</v>
      </c>
      <c r="AA22" t="s">
        <v>78</v>
      </c>
      <c r="AB22">
        <v>11</v>
      </c>
      <c r="AC22" t="s">
        <v>75</v>
      </c>
      <c r="AD22" t="s">
        <v>60</v>
      </c>
      <c r="AE22">
        <v>5</v>
      </c>
      <c r="AF22">
        <v>3</v>
      </c>
      <c r="AG22">
        <v>0</v>
      </c>
      <c r="AH22" t="s">
        <v>124</v>
      </c>
      <c r="AI22">
        <v>0</v>
      </c>
      <c r="AJ22">
        <v>13</v>
      </c>
      <c r="AK22" t="str">
        <f t="shared" si="0"/>
        <v>Normal</v>
      </c>
      <c r="AL22" t="str">
        <f t="shared" si="1"/>
        <v>low Outlier</v>
      </c>
      <c r="AM22">
        <f ca="1">INT((TODAY()-HRDataset_v14[[#This Row],[DOB]])/365.25)</f>
        <v>55</v>
      </c>
      <c r="AN22">
        <f ca="1">DATEDIF(HRDataset_v14[[#This Row],[DateofHire]],TODAY(),"Y")</f>
        <v>14</v>
      </c>
      <c r="AO22">
        <f ca="1">IF(ISBLANK(HRDataset_v14[[#This Row],[DateofTermination]]),DATEDIF(HRDataset_v14[[#This Row],[DateofHire]],TODAY(),"Y"),DATEDIF(HRDataset_v14[[#This Row],[DateofHire]],HRDataset_v14[[#This Row],[DateofTermination]],"Y"))</f>
        <v>14</v>
      </c>
      <c r="AP22" t="str">
        <f ca="1">IF(HRDataset_v14[[#This Row],[Tenure in Years
]]&lt;1,"0-1 Year",IF(HRDataset_v14[[#This Row],[Tenure in Years
]]&lt;3,"1-3 Years",IF(HRDataset_v14[[#This Row],[Tenure in Years
]]&lt;5,"3-5 Years",IF(HRDataset_v14[[#This Row],[Tenure in Years
]]&lt;10,"5-10 Years","10+ Years"))))</f>
        <v>10+ Years</v>
      </c>
      <c r="AQ22" t="str">
        <f ca="1">IF(HRDataset_v14[[#This Row],[Age Calculation
]]&lt;26,"18-25",IF(HRDataset_v14[[#This Row],[Age Calculation
]]&lt;36,"26-35",IF(HRDataset_v14[[#This Row],[Age Calculation
]]&lt;46,"36-45",IF(HRDataset_v14[[#This Row],[Age Calculation
]]&lt;56,"46-55","55+"))))</f>
        <v>46-55</v>
      </c>
      <c r="AR22" t="str">
        <f>IF(HRDataset_v14[[#This Row],[Salary]]&lt;40000,"Entry (&lt;40K)",IF(HRDataset_v14[[#This Row],[Salary]]&lt;70000,"Mid (40-70K)",IF(HRDataset_v14[[#This Row],[Salary]]&lt;100000,"Senior (70-100K)","Executive (100K+)")))</f>
        <v>Mid (40-70K)</v>
      </c>
      <c r="AS22">
        <f>IF(HRDataset_v14[[#This Row],[EmploymentStatus]]="Active",1,0)</f>
        <v>1</v>
      </c>
      <c r="AT22">
        <f>YEAR(HRDataset_v14[[#This Row],[DateofHire]])</f>
        <v>2012</v>
      </c>
      <c r="AU22">
        <f>MONTH(HRDataset_v14[[#This Row],[DateofHire]])</f>
        <v>4</v>
      </c>
      <c r="AV22" t="str">
        <f>"Q"&amp;ROUNDUP(MONTH(HRDataset_v14[[#This Row],[DateofHire]])/3,0)</f>
        <v>Q2</v>
      </c>
      <c r="AW22" t="str">
        <f>TEXT(HRDataset_v14[[#This Row],[DateofHire]],"MMM")</f>
        <v>Apr</v>
      </c>
      <c r="AX22" t="str">
        <f>TEXT(HRDataset_v14[[#This Row],[DateofHire]],"YYYY-MM")</f>
        <v>2012-04</v>
      </c>
      <c r="AY22" t="str">
        <f>IF(ISBLANK(HRDataset_v14[[#This Row],[DateofTermination]]),"N/A",YEAR(HRDataset_v14[[#This Row],[DateofTermination]]))</f>
        <v>N/A</v>
      </c>
      <c r="AZ22" t="str" cm="1">
        <f t="array" ref="AZ22">INDEX(_xlfn.UNIQUE(Z22:Z332),MATCH(MAX(COUNTIF(Z22:Z332,_xlfn.UNIQUE(Z22:Z332))),COUNTIF(Z22:Z332,_xlfn.UNIQUE(Z22:Z332)),0))</f>
        <v xml:space="preserve">Production       </v>
      </c>
      <c r="BA22">
        <f t="shared" si="6"/>
        <v>65</v>
      </c>
      <c r="BB22">
        <f t="shared" si="7"/>
        <v>0</v>
      </c>
      <c r="BC22" t="str">
        <f t="shared" si="4"/>
        <v>Medium</v>
      </c>
      <c r="BD22">
        <f t="shared" si="9"/>
        <v>5</v>
      </c>
      <c r="BE22" t="str">
        <f t="shared" si="8"/>
        <v/>
      </c>
      <c r="BF22" t="s">
        <v>660</v>
      </c>
      <c r="BG22" t="s">
        <v>733</v>
      </c>
      <c r="BH22">
        <f>COUNTIF(S:S,"US Citizen")</f>
        <v>295</v>
      </c>
      <c r="BI22">
        <f>COUNTIFS(AC:AC,"LinkedIn",K:K,1)/COUNTIF(AC:AC,"LinkedIn")*100</f>
        <v>23.684210526315788</v>
      </c>
      <c r="BJ22">
        <f>COUNTIF(AD2:AD312,"Exceeds")</f>
        <v>37</v>
      </c>
      <c r="BS22" s="8">
        <f>HRDataset_v14!B19</f>
        <v>10055</v>
      </c>
      <c r="BT22">
        <f t="shared" si="5"/>
        <v>5</v>
      </c>
      <c r="BV22">
        <v>4.51</v>
      </c>
      <c r="BW22">
        <v>5</v>
      </c>
    </row>
    <row r="23" spans="1:75" x14ac:dyDescent="0.3">
      <c r="A23" t="s">
        <v>135</v>
      </c>
      <c r="B23">
        <v>10226</v>
      </c>
      <c r="C23">
        <v>0</v>
      </c>
      <c r="D23">
        <v>2</v>
      </c>
      <c r="E23">
        <v>0</v>
      </c>
      <c r="F23">
        <v>1</v>
      </c>
      <c r="G23">
        <v>5</v>
      </c>
      <c r="H23">
        <v>3</v>
      </c>
      <c r="I23">
        <v>0</v>
      </c>
      <c r="J23">
        <v>64919</v>
      </c>
      <c r="K23">
        <v>0</v>
      </c>
      <c r="L23">
        <v>19</v>
      </c>
      <c r="M23" t="s">
        <v>37</v>
      </c>
      <c r="N23" t="s">
        <v>38</v>
      </c>
      <c r="O23">
        <v>2027</v>
      </c>
      <c r="P23">
        <v>21546</v>
      </c>
      <c r="Q23" t="s">
        <v>64</v>
      </c>
      <c r="R23" t="s">
        <v>72</v>
      </c>
      <c r="S23" t="s">
        <v>41</v>
      </c>
      <c r="T23" t="s">
        <v>42</v>
      </c>
      <c r="U23" t="s">
        <v>132</v>
      </c>
      <c r="V23">
        <v>41505</v>
      </c>
      <c r="X23" t="s">
        <v>44</v>
      </c>
      <c r="Y23" t="s">
        <v>45</v>
      </c>
      <c r="Z23" t="s">
        <v>46</v>
      </c>
      <c r="AA23" t="s">
        <v>87</v>
      </c>
      <c r="AB23">
        <v>19</v>
      </c>
      <c r="AC23" t="s">
        <v>59</v>
      </c>
      <c r="AD23" t="s">
        <v>60</v>
      </c>
      <c r="AE23">
        <v>4.2</v>
      </c>
      <c r="AF23">
        <v>3</v>
      </c>
      <c r="AG23">
        <v>0</v>
      </c>
      <c r="AH23" t="s">
        <v>136</v>
      </c>
      <c r="AI23">
        <v>0</v>
      </c>
      <c r="AJ23">
        <v>2</v>
      </c>
      <c r="AK23" t="str">
        <f t="shared" si="0"/>
        <v>Normal</v>
      </c>
      <c r="AL23" t="str">
        <f t="shared" si="1"/>
        <v>low Outlier</v>
      </c>
      <c r="AM23">
        <f ca="1">INT((TODAY()-HRDataset_v14[[#This Row],[DOB]])/365.25)</f>
        <v>67</v>
      </c>
      <c r="AN23">
        <f ca="1">DATEDIF(HRDataset_v14[[#This Row],[DateofHire]],TODAY(),"Y")</f>
        <v>12</v>
      </c>
      <c r="AO23">
        <f ca="1">IF(ISBLANK(HRDataset_v14[[#This Row],[DateofTermination]]),DATEDIF(HRDataset_v14[[#This Row],[DateofHire]],TODAY(),"Y"),DATEDIF(HRDataset_v14[[#This Row],[DateofHire]],HRDataset_v14[[#This Row],[DateofTermination]],"Y"))</f>
        <v>12</v>
      </c>
      <c r="AP23" t="str">
        <f ca="1">IF(HRDataset_v14[[#This Row],[Tenure in Years
]]&lt;1,"0-1 Year",IF(HRDataset_v14[[#This Row],[Tenure in Years
]]&lt;3,"1-3 Years",IF(HRDataset_v14[[#This Row],[Tenure in Years
]]&lt;5,"3-5 Years",IF(HRDataset_v14[[#This Row],[Tenure in Years
]]&lt;10,"5-10 Years","10+ Years"))))</f>
        <v>10+ Years</v>
      </c>
      <c r="AQ23" t="str">
        <f ca="1">IF(HRDataset_v14[[#This Row],[Age Calculation
]]&lt;26,"18-25",IF(HRDataset_v14[[#This Row],[Age Calculation
]]&lt;36,"26-35",IF(HRDataset_v14[[#This Row],[Age Calculation
]]&lt;46,"36-45",IF(HRDataset_v14[[#This Row],[Age Calculation
]]&lt;56,"46-55","55+"))))</f>
        <v>55+</v>
      </c>
      <c r="AR23" t="str">
        <f>IF(HRDataset_v14[[#This Row],[Salary]]&lt;40000,"Entry (&lt;40K)",IF(HRDataset_v14[[#This Row],[Salary]]&lt;70000,"Mid (40-70K)",IF(HRDataset_v14[[#This Row],[Salary]]&lt;100000,"Senior (70-100K)","Executive (100K+)")))</f>
        <v>Mid (40-70K)</v>
      </c>
      <c r="AS23">
        <f>IF(HRDataset_v14[[#This Row],[EmploymentStatus]]="Active",1,0)</f>
        <v>1</v>
      </c>
      <c r="AT23">
        <f>YEAR(HRDataset_v14[[#This Row],[DateofHire]])</f>
        <v>2013</v>
      </c>
      <c r="AU23">
        <f>MONTH(HRDataset_v14[[#This Row],[DateofHire]])</f>
        <v>8</v>
      </c>
      <c r="AV23" t="str">
        <f>"Q"&amp;ROUNDUP(MONTH(HRDataset_v14[[#This Row],[DateofHire]])/3,0)</f>
        <v>Q3</v>
      </c>
      <c r="AW23" t="str">
        <f>TEXT(HRDataset_v14[[#This Row],[DateofHire]],"MMM")</f>
        <v>Aug</v>
      </c>
      <c r="AX23" t="str">
        <f>TEXT(HRDataset_v14[[#This Row],[DateofHire]],"YYYY-MM")</f>
        <v>2013-08</v>
      </c>
      <c r="AY23" t="str">
        <f>IF(ISBLANK(HRDataset_v14[[#This Row],[DateofTermination]]),"N/A",YEAR(HRDataset_v14[[#This Row],[DateofTermination]]))</f>
        <v>N/A</v>
      </c>
      <c r="AZ23" t="str" cm="1">
        <f t="array" ref="AZ23">INDEX(_xlfn.UNIQUE(Z23:Z333),MATCH(MAX(COUNTIF(Z23:Z333,_xlfn.UNIQUE(Z23:Z333))),COUNTIF(Z23:Z333,_xlfn.UNIQUE(Z23:Z333)),0))</f>
        <v xml:space="preserve">Production       </v>
      </c>
      <c r="BA23">
        <f t="shared" si="6"/>
        <v>25</v>
      </c>
      <c r="BB23">
        <f t="shared" si="7"/>
        <v>0</v>
      </c>
      <c r="BC23" t="str">
        <f t="shared" si="4"/>
        <v>Medium</v>
      </c>
      <c r="BD23">
        <f t="shared" si="9"/>
        <v>4.2</v>
      </c>
      <c r="BE23" t="str">
        <f t="shared" si="8"/>
        <v/>
      </c>
      <c r="BF23">
        <f>((AVERAGEIF(Q:Q,"*M*",J:J)-AVERAGEIF(Q:Q,"*F*",J:J))/AVERAGEIF(Q:Q,"*M*",J:J))*100</f>
        <v>4.0247725837579189</v>
      </c>
      <c r="BG23">
        <f>COUNTIF(X2:X312,"*attendance*")
+COUNTIF(X2:X312,"*performance*")
+COUNTIF(X2:X312,"*no-call*")
+COUNTIF(X2:X312,"*misconduct*")
+COUNTIF(X2:X312,"*hours*")
+COUNTIF(X2:X312,"*gangster*")
+COUNTIF(X2:X312,"*Fatal*")</f>
        <v>26</v>
      </c>
      <c r="BH23" t="s">
        <v>126</v>
      </c>
      <c r="BI23">
        <f>COUNTIFS(AC:AC,"Indeed",K:K,1)/COUNTIF(AC:AC,"Indeed")*100</f>
        <v>24.137931034482758</v>
      </c>
      <c r="BJ23">
        <f>COUNTIF(AF2:AF312,"&lt;3")</f>
        <v>11</v>
      </c>
      <c r="BT23">
        <f t="shared" si="5"/>
        <v>4.2</v>
      </c>
      <c r="BV23">
        <v>3.25</v>
      </c>
      <c r="BW23">
        <v>2.2999999999999998</v>
      </c>
    </row>
    <row r="24" spans="1:75" x14ac:dyDescent="0.3">
      <c r="A24" t="s">
        <v>137</v>
      </c>
      <c r="B24">
        <v>10003</v>
      </c>
      <c r="C24">
        <v>1</v>
      </c>
      <c r="D24">
        <v>1</v>
      </c>
      <c r="E24">
        <v>0</v>
      </c>
      <c r="F24">
        <v>1</v>
      </c>
      <c r="G24">
        <v>5</v>
      </c>
      <c r="H24">
        <v>4</v>
      </c>
      <c r="I24">
        <v>0</v>
      </c>
      <c r="J24">
        <v>62910</v>
      </c>
      <c r="K24">
        <v>0</v>
      </c>
      <c r="L24">
        <v>19</v>
      </c>
      <c r="M24" t="s">
        <v>37</v>
      </c>
      <c r="N24" t="s">
        <v>38</v>
      </c>
      <c r="O24">
        <v>2031</v>
      </c>
      <c r="P24">
        <v>32752</v>
      </c>
      <c r="Q24" t="s">
        <v>64</v>
      </c>
      <c r="R24" t="s">
        <v>53</v>
      </c>
      <c r="S24" t="s">
        <v>41</v>
      </c>
      <c r="T24" t="s">
        <v>42</v>
      </c>
      <c r="U24" t="s">
        <v>43</v>
      </c>
      <c r="V24">
        <v>41827</v>
      </c>
      <c r="X24" t="s">
        <v>44</v>
      </c>
      <c r="Y24" t="s">
        <v>45</v>
      </c>
      <c r="Z24" t="s">
        <v>46</v>
      </c>
      <c r="AA24" t="s">
        <v>92</v>
      </c>
      <c r="AB24">
        <v>12</v>
      </c>
      <c r="AC24" t="s">
        <v>59</v>
      </c>
      <c r="AD24" t="s">
        <v>49</v>
      </c>
      <c r="AE24">
        <v>5</v>
      </c>
      <c r="AF24">
        <v>3</v>
      </c>
      <c r="AG24">
        <v>0</v>
      </c>
      <c r="AH24" t="s">
        <v>138</v>
      </c>
      <c r="AI24">
        <v>0</v>
      </c>
      <c r="AJ24">
        <v>19</v>
      </c>
      <c r="AK24" t="str">
        <f t="shared" si="0"/>
        <v>Normal</v>
      </c>
      <c r="AL24" t="str">
        <f t="shared" si="1"/>
        <v>low Outlier</v>
      </c>
      <c r="AM24">
        <f ca="1">INT((TODAY()-HRDataset_v14[[#This Row],[DOB]])/365.25)</f>
        <v>36</v>
      </c>
      <c r="AN24">
        <f ca="1">DATEDIF(HRDataset_v14[[#This Row],[DateofHire]],TODAY(),"Y")</f>
        <v>11</v>
      </c>
      <c r="AO24">
        <f ca="1">IF(ISBLANK(HRDataset_v14[[#This Row],[DateofTermination]]),DATEDIF(HRDataset_v14[[#This Row],[DateofHire]],TODAY(),"Y"),DATEDIF(HRDataset_v14[[#This Row],[DateofHire]],HRDataset_v14[[#This Row],[DateofTermination]],"Y"))</f>
        <v>11</v>
      </c>
      <c r="AP24" t="str">
        <f ca="1">IF(HRDataset_v14[[#This Row],[Tenure in Years
]]&lt;1,"0-1 Year",IF(HRDataset_v14[[#This Row],[Tenure in Years
]]&lt;3,"1-3 Years",IF(HRDataset_v14[[#This Row],[Tenure in Years
]]&lt;5,"3-5 Years",IF(HRDataset_v14[[#This Row],[Tenure in Years
]]&lt;10,"5-10 Years","10+ Years"))))</f>
        <v>10+ Years</v>
      </c>
      <c r="AQ24" t="str">
        <f ca="1">IF(HRDataset_v14[[#This Row],[Age Calculation
]]&lt;26,"18-25",IF(HRDataset_v14[[#This Row],[Age Calculation
]]&lt;36,"26-35",IF(HRDataset_v14[[#This Row],[Age Calculation
]]&lt;46,"36-45",IF(HRDataset_v14[[#This Row],[Age Calculation
]]&lt;56,"46-55","55+"))))</f>
        <v>36-45</v>
      </c>
      <c r="AR24" t="str">
        <f>IF(HRDataset_v14[[#This Row],[Salary]]&lt;40000,"Entry (&lt;40K)",IF(HRDataset_v14[[#This Row],[Salary]]&lt;70000,"Mid (40-70K)",IF(HRDataset_v14[[#This Row],[Salary]]&lt;100000,"Senior (70-100K)","Executive (100K+)")))</f>
        <v>Mid (40-70K)</v>
      </c>
      <c r="AS24">
        <f>IF(HRDataset_v14[[#This Row],[EmploymentStatus]]="Active",1,0)</f>
        <v>1</v>
      </c>
      <c r="AT24">
        <f>YEAR(HRDataset_v14[[#This Row],[DateofHire]])</f>
        <v>2014</v>
      </c>
      <c r="AU24">
        <f>MONTH(HRDataset_v14[[#This Row],[DateofHire]])</f>
        <v>7</v>
      </c>
      <c r="AV24" t="str">
        <f>"Q"&amp;ROUNDUP(MONTH(HRDataset_v14[[#This Row],[DateofHire]])/3,0)</f>
        <v>Q3</v>
      </c>
      <c r="AW24" t="str">
        <f>TEXT(HRDataset_v14[[#This Row],[DateofHire]],"MMM")</f>
        <v>Jul</v>
      </c>
      <c r="AX24" t="str">
        <f>TEXT(HRDataset_v14[[#This Row],[DateofHire]],"YYYY-MM")</f>
        <v>2014-07</v>
      </c>
      <c r="AY24" t="str">
        <f>IF(ISBLANK(HRDataset_v14[[#This Row],[DateofTermination]]),"N/A",YEAR(HRDataset_v14[[#This Row],[DateofTermination]]))</f>
        <v>N/A</v>
      </c>
      <c r="AZ24" t="str" cm="1">
        <f t="array" ref="AZ24">INDEX(_xlfn.UNIQUE(Z24:Z334),MATCH(MAX(COUNTIF(Z24:Z334,_xlfn.UNIQUE(Z24:Z334))),COUNTIF(Z24:Z334,_xlfn.UNIQUE(Z24:Z334)),0))</f>
        <v xml:space="preserve">Production       </v>
      </c>
      <c r="BA24">
        <f t="shared" si="6"/>
        <v>28.571428571428569</v>
      </c>
      <c r="BB24">
        <f t="shared" si="7"/>
        <v>0</v>
      </c>
      <c r="BC24" t="str">
        <f t="shared" si="4"/>
        <v>Low</v>
      </c>
      <c r="BD24">
        <f t="shared" si="9"/>
        <v>5</v>
      </c>
      <c r="BE24" t="str">
        <f t="shared" si="8"/>
        <v/>
      </c>
      <c r="BG24" t="s">
        <v>734</v>
      </c>
      <c r="BH24">
        <f>COUNTIF(S:S,"Eligible NonCitizen")</f>
        <v>12</v>
      </c>
      <c r="BM24">
        <f>AVERAGE(J2:J312)</f>
        <v>69020.684887459807</v>
      </c>
      <c r="BT24">
        <f t="shared" si="5"/>
        <v>5</v>
      </c>
      <c r="BV24">
        <v>3.84</v>
      </c>
      <c r="BW24">
        <v>2.1</v>
      </c>
    </row>
    <row r="25" spans="1:75" x14ac:dyDescent="0.3">
      <c r="A25" t="s">
        <v>139</v>
      </c>
      <c r="B25">
        <v>10294</v>
      </c>
      <c r="C25">
        <v>0</v>
      </c>
      <c r="D25">
        <v>0</v>
      </c>
      <c r="E25">
        <v>0</v>
      </c>
      <c r="F25">
        <v>1</v>
      </c>
      <c r="G25">
        <v>5</v>
      </c>
      <c r="H25">
        <v>2</v>
      </c>
      <c r="I25">
        <v>0</v>
      </c>
      <c r="J25">
        <v>66441</v>
      </c>
      <c r="K25">
        <v>0</v>
      </c>
      <c r="L25">
        <v>20</v>
      </c>
      <c r="M25" t="s">
        <v>63</v>
      </c>
      <c r="N25" t="s">
        <v>38</v>
      </c>
      <c r="O25">
        <v>2171</v>
      </c>
      <c r="P25">
        <v>33137</v>
      </c>
      <c r="Q25" t="s">
        <v>64</v>
      </c>
      <c r="R25" t="s">
        <v>40</v>
      </c>
      <c r="S25" t="s">
        <v>41</v>
      </c>
      <c r="T25" t="s">
        <v>42</v>
      </c>
      <c r="U25" t="s">
        <v>43</v>
      </c>
      <c r="V25">
        <v>40637</v>
      </c>
      <c r="X25" t="s">
        <v>44</v>
      </c>
      <c r="Y25" t="s">
        <v>45</v>
      </c>
      <c r="Z25" t="s">
        <v>46</v>
      </c>
      <c r="AA25" t="s">
        <v>47</v>
      </c>
      <c r="AB25">
        <v>22</v>
      </c>
      <c r="AC25" t="s">
        <v>140</v>
      </c>
      <c r="AD25" t="s">
        <v>141</v>
      </c>
      <c r="AE25">
        <v>2</v>
      </c>
      <c r="AF25">
        <v>3</v>
      </c>
      <c r="AG25">
        <v>0</v>
      </c>
      <c r="AH25" t="s">
        <v>138</v>
      </c>
      <c r="AI25">
        <v>2</v>
      </c>
      <c r="AJ25">
        <v>3</v>
      </c>
      <c r="AK25" t="str">
        <f t="shared" si="0"/>
        <v>Normal</v>
      </c>
      <c r="AL25" t="str">
        <f t="shared" si="1"/>
        <v>low Outlier</v>
      </c>
      <c r="AM25">
        <f ca="1">INT((TODAY()-HRDataset_v14[[#This Row],[DOB]])/365.25)</f>
        <v>35</v>
      </c>
      <c r="AN25">
        <f ca="1">DATEDIF(HRDataset_v14[[#This Row],[DateofHire]],TODAY(),"Y")</f>
        <v>14</v>
      </c>
      <c r="AO25">
        <f ca="1">IF(ISBLANK(HRDataset_v14[[#This Row],[DateofTermination]]),DATEDIF(HRDataset_v14[[#This Row],[DateofHire]],TODAY(),"Y"),DATEDIF(HRDataset_v14[[#This Row],[DateofHire]],HRDataset_v14[[#This Row],[DateofTermination]],"Y"))</f>
        <v>14</v>
      </c>
      <c r="AP25" t="str">
        <f ca="1">IF(HRDataset_v14[[#This Row],[Tenure in Years
]]&lt;1,"0-1 Year",IF(HRDataset_v14[[#This Row],[Tenure in Years
]]&lt;3,"1-3 Years",IF(HRDataset_v14[[#This Row],[Tenure in Years
]]&lt;5,"3-5 Years",IF(HRDataset_v14[[#This Row],[Tenure in Years
]]&lt;10,"5-10 Years","10+ Years"))))</f>
        <v>10+ Years</v>
      </c>
      <c r="AQ25" t="str">
        <f ca="1">IF(HRDataset_v14[[#This Row],[Age Calculation
]]&lt;26,"18-25",IF(HRDataset_v14[[#This Row],[Age Calculation
]]&lt;36,"26-35",IF(HRDataset_v14[[#This Row],[Age Calculation
]]&lt;46,"36-45",IF(HRDataset_v14[[#This Row],[Age Calculation
]]&lt;56,"46-55","55+"))))</f>
        <v>26-35</v>
      </c>
      <c r="AR25" t="str">
        <f>IF(HRDataset_v14[[#This Row],[Salary]]&lt;40000,"Entry (&lt;40K)",IF(HRDataset_v14[[#This Row],[Salary]]&lt;70000,"Mid (40-70K)",IF(HRDataset_v14[[#This Row],[Salary]]&lt;100000,"Senior (70-100K)","Executive (100K+)")))</f>
        <v>Mid (40-70K)</v>
      </c>
      <c r="AS25">
        <f>IF(HRDataset_v14[[#This Row],[EmploymentStatus]]="Active",1,0)</f>
        <v>1</v>
      </c>
      <c r="AT25">
        <f>YEAR(HRDataset_v14[[#This Row],[DateofHire]])</f>
        <v>2011</v>
      </c>
      <c r="AU25">
        <f>MONTH(HRDataset_v14[[#This Row],[DateofHire]])</f>
        <v>4</v>
      </c>
      <c r="AV25" t="str">
        <f>"Q"&amp;ROUNDUP(MONTH(HRDataset_v14[[#This Row],[DateofHire]])/3,0)</f>
        <v>Q2</v>
      </c>
      <c r="AW25" t="str">
        <f>TEXT(HRDataset_v14[[#This Row],[DateofHire]],"MMM")</f>
        <v>Apr</v>
      </c>
      <c r="AX25" t="str">
        <f>TEXT(HRDataset_v14[[#This Row],[DateofHire]],"YYYY-MM")</f>
        <v>2011-04</v>
      </c>
      <c r="AY25" t="str">
        <f>IF(ISBLANK(HRDataset_v14[[#This Row],[DateofTermination]]),"N/A",YEAR(HRDataset_v14[[#This Row],[DateofTermination]]))</f>
        <v>N/A</v>
      </c>
      <c r="AZ25" t="str" cm="1">
        <f t="array" ref="AZ25">INDEX(_xlfn.UNIQUE(Z25:Z335),MATCH(MAX(COUNTIF(Z25:Z335,_xlfn.UNIQUE(Z25:Z335))),COUNTIF(Z25:Z335,_xlfn.UNIQUE(Z25:Z335)),0))</f>
        <v xml:space="preserve">Production       </v>
      </c>
      <c r="BA25">
        <f t="shared" si="6"/>
        <v>40</v>
      </c>
      <c r="BB25">
        <f t="shared" si="7"/>
        <v>0</v>
      </c>
      <c r="BC25" t="str">
        <f t="shared" si="4"/>
        <v>High</v>
      </c>
      <c r="BD25">
        <f t="shared" si="9"/>
        <v>2</v>
      </c>
      <c r="BE25" t="str">
        <f t="shared" si="8"/>
        <v/>
      </c>
      <c r="BF25" t="s">
        <v>661</v>
      </c>
      <c r="BG25">
        <f ca="1">AVERAGEIF(K:K,1,AN:AN)</f>
        <v>13.798076923076923</v>
      </c>
      <c r="BH25" t="s">
        <v>203</v>
      </c>
      <c r="BI25" t="s">
        <v>709</v>
      </c>
      <c r="BT25">
        <f t="shared" si="5"/>
        <v>2</v>
      </c>
      <c r="BV25">
        <v>5</v>
      </c>
      <c r="BW25">
        <v>3.13</v>
      </c>
    </row>
    <row r="26" spans="1:75" x14ac:dyDescent="0.3">
      <c r="A26" t="s">
        <v>142</v>
      </c>
      <c r="B26">
        <v>10267</v>
      </c>
      <c r="C26">
        <v>0</v>
      </c>
      <c r="D26">
        <v>0</v>
      </c>
      <c r="E26">
        <v>0</v>
      </c>
      <c r="F26">
        <v>5</v>
      </c>
      <c r="G26">
        <v>5</v>
      </c>
      <c r="H26">
        <v>3</v>
      </c>
      <c r="I26">
        <v>0</v>
      </c>
      <c r="J26">
        <v>57815</v>
      </c>
      <c r="K26">
        <v>1</v>
      </c>
      <c r="L26">
        <v>20</v>
      </c>
      <c r="M26" t="s">
        <v>63</v>
      </c>
      <c r="N26" t="s">
        <v>38</v>
      </c>
      <c r="O26">
        <v>2210</v>
      </c>
      <c r="P26">
        <v>24488</v>
      </c>
      <c r="Q26" t="s">
        <v>64</v>
      </c>
      <c r="R26" t="s">
        <v>40</v>
      </c>
      <c r="S26" t="s">
        <v>41</v>
      </c>
      <c r="T26" t="s">
        <v>42</v>
      </c>
      <c r="U26" t="s">
        <v>43</v>
      </c>
      <c r="V26">
        <v>40553</v>
      </c>
      <c r="W26">
        <v>41733</v>
      </c>
      <c r="X26" t="s">
        <v>55</v>
      </c>
      <c r="Y26" t="s">
        <v>56</v>
      </c>
      <c r="Z26" t="s">
        <v>46</v>
      </c>
      <c r="AA26" t="s">
        <v>69</v>
      </c>
      <c r="AB26">
        <v>16</v>
      </c>
      <c r="AC26" t="s">
        <v>75</v>
      </c>
      <c r="AD26" t="s">
        <v>60</v>
      </c>
      <c r="AE26">
        <v>4.8</v>
      </c>
      <c r="AF26">
        <v>5</v>
      </c>
      <c r="AG26">
        <v>0</v>
      </c>
      <c r="AH26" t="s">
        <v>143</v>
      </c>
      <c r="AI26">
        <v>0</v>
      </c>
      <c r="AJ26">
        <v>5</v>
      </c>
      <c r="AK26" t="str">
        <f t="shared" si="0"/>
        <v>Normal</v>
      </c>
      <c r="AL26" t="str">
        <f t="shared" si="1"/>
        <v>low Outlier</v>
      </c>
      <c r="AM26">
        <f ca="1">INT((TODAY()-HRDataset_v14[[#This Row],[DOB]])/365.25)</f>
        <v>59</v>
      </c>
      <c r="AN26">
        <f ca="1">DATEDIF(HRDataset_v14[[#This Row],[DateofHire]],TODAY(),"Y")</f>
        <v>15</v>
      </c>
      <c r="AO26">
        <f ca="1">IF(ISBLANK(HRDataset_v14[[#This Row],[DateofTermination]]),DATEDIF(HRDataset_v14[[#This Row],[DateofHire]],TODAY(),"Y"),DATEDIF(HRDataset_v14[[#This Row],[DateofHire]],HRDataset_v14[[#This Row],[DateofTermination]],"Y"))</f>
        <v>3</v>
      </c>
      <c r="AP26" t="str">
        <f ca="1">IF(HRDataset_v14[[#This Row],[Tenure in Years
]]&lt;1,"0-1 Year",IF(HRDataset_v14[[#This Row],[Tenure in Years
]]&lt;3,"1-3 Years",IF(HRDataset_v14[[#This Row],[Tenure in Years
]]&lt;5,"3-5 Years",IF(HRDataset_v14[[#This Row],[Tenure in Years
]]&lt;10,"5-10 Years","10+ Years"))))</f>
        <v>10+ Years</v>
      </c>
      <c r="AQ26" t="str">
        <f ca="1">IF(HRDataset_v14[[#This Row],[Age Calculation
]]&lt;26,"18-25",IF(HRDataset_v14[[#This Row],[Age Calculation
]]&lt;36,"26-35",IF(HRDataset_v14[[#This Row],[Age Calculation
]]&lt;46,"36-45",IF(HRDataset_v14[[#This Row],[Age Calculation
]]&lt;56,"46-55","55+"))))</f>
        <v>55+</v>
      </c>
      <c r="AR26" t="str">
        <f>IF(HRDataset_v14[[#This Row],[Salary]]&lt;40000,"Entry (&lt;40K)",IF(HRDataset_v14[[#This Row],[Salary]]&lt;70000,"Mid (40-70K)",IF(HRDataset_v14[[#This Row],[Salary]]&lt;100000,"Senior (70-100K)","Executive (100K+)")))</f>
        <v>Mid (40-70K)</v>
      </c>
      <c r="AS26">
        <f>IF(HRDataset_v14[[#This Row],[EmploymentStatus]]="Active",1,0)</f>
        <v>0</v>
      </c>
      <c r="AT26">
        <f>YEAR(HRDataset_v14[[#This Row],[DateofHire]])</f>
        <v>2011</v>
      </c>
      <c r="AU26">
        <f>MONTH(HRDataset_v14[[#This Row],[DateofHire]])</f>
        <v>1</v>
      </c>
      <c r="AV26" t="str">
        <f>"Q"&amp;ROUNDUP(MONTH(HRDataset_v14[[#This Row],[DateofHire]])/3,0)</f>
        <v>Q1</v>
      </c>
      <c r="AW26" t="str">
        <f>TEXT(HRDataset_v14[[#This Row],[DateofHire]],"MMM")</f>
        <v>Jan</v>
      </c>
      <c r="AX26" t="str">
        <f>TEXT(HRDataset_v14[[#This Row],[DateofHire]],"YYYY-MM")</f>
        <v>2011-01</v>
      </c>
      <c r="AY26">
        <f>IF(ISBLANK(HRDataset_v14[[#This Row],[DateofTermination]]),"N/A",YEAR(HRDataset_v14[[#This Row],[DateofTermination]]))</f>
        <v>2014</v>
      </c>
      <c r="AZ26" t="str" cm="1">
        <f t="array" ref="AZ26">INDEX(_xlfn.UNIQUE(Z26:Z336),MATCH(MAX(COUNTIF(Z26:Z336,_xlfn.UNIQUE(Z26:Z336))),COUNTIF(Z26:Z336,_xlfn.UNIQUE(Z26:Z336)),0))</f>
        <v xml:space="preserve">Production       </v>
      </c>
      <c r="BA26">
        <f t="shared" si="6"/>
        <v>40</v>
      </c>
      <c r="BB26">
        <f t="shared" si="7"/>
        <v>8</v>
      </c>
      <c r="BC26" t="str">
        <f t="shared" si="4"/>
        <v>Medium</v>
      </c>
      <c r="BD26" t="str">
        <f t="shared" si="9"/>
        <v/>
      </c>
      <c r="BE26">
        <f t="shared" si="8"/>
        <v>4.8</v>
      </c>
      <c r="BG26" t="s">
        <v>735</v>
      </c>
      <c r="BH26">
        <f>COUNTIF(S:S,"Non-Citizen")</f>
        <v>4</v>
      </c>
      <c r="BI26">
        <f>COUNTIFS(AC:AC,"LinkedIn",K:K,0)/COUNTIF(AC:AC,"LinkedIn")*100</f>
        <v>76.31578947368422</v>
      </c>
      <c r="BM26">
        <f ca="1">IFERROR(COUNTIFS(AP2:AP312,"10+ Years",K2:K312,0)/COUNTIF(AP2:AP312,"10+ Years"),0)</f>
        <v>0.64383561643835618</v>
      </c>
      <c r="BT26" t="str">
        <f t="shared" si="5"/>
        <v/>
      </c>
      <c r="BV26">
        <v>4.96</v>
      </c>
      <c r="BW26">
        <v>4.76</v>
      </c>
    </row>
    <row r="27" spans="1:75" x14ac:dyDescent="0.3">
      <c r="A27" t="s">
        <v>144</v>
      </c>
      <c r="B27">
        <v>10199</v>
      </c>
      <c r="C27">
        <v>0</v>
      </c>
      <c r="D27">
        <v>0</v>
      </c>
      <c r="E27">
        <v>1</v>
      </c>
      <c r="F27">
        <v>4</v>
      </c>
      <c r="G27">
        <v>3</v>
      </c>
      <c r="H27">
        <v>3</v>
      </c>
      <c r="I27">
        <v>0</v>
      </c>
      <c r="J27">
        <v>103613</v>
      </c>
      <c r="K27">
        <v>1</v>
      </c>
      <c r="L27">
        <v>30</v>
      </c>
      <c r="M27" t="s">
        <v>145</v>
      </c>
      <c r="N27" t="s">
        <v>146</v>
      </c>
      <c r="O27">
        <v>6033</v>
      </c>
      <c r="P27">
        <v>23588</v>
      </c>
      <c r="Q27" t="s">
        <v>39</v>
      </c>
      <c r="R27" t="s">
        <v>40</v>
      </c>
      <c r="S27" t="s">
        <v>41</v>
      </c>
      <c r="T27" t="s">
        <v>42</v>
      </c>
      <c r="U27" t="s">
        <v>91</v>
      </c>
      <c r="V27">
        <v>41687</v>
      </c>
      <c r="W27">
        <v>42419</v>
      </c>
      <c r="X27" t="s">
        <v>147</v>
      </c>
      <c r="Y27" t="s">
        <v>121</v>
      </c>
      <c r="Z27" t="s">
        <v>57</v>
      </c>
      <c r="AA27" t="s">
        <v>58</v>
      </c>
      <c r="AB27">
        <v>4</v>
      </c>
      <c r="AC27" t="s">
        <v>48</v>
      </c>
      <c r="AD27" t="s">
        <v>60</v>
      </c>
      <c r="AE27">
        <v>3.5</v>
      </c>
      <c r="AF27">
        <v>5</v>
      </c>
      <c r="AG27">
        <v>7</v>
      </c>
      <c r="AH27" t="s">
        <v>148</v>
      </c>
      <c r="AI27">
        <v>0</v>
      </c>
      <c r="AJ27">
        <v>2</v>
      </c>
      <c r="AK27" t="str">
        <f t="shared" si="0"/>
        <v>Normal</v>
      </c>
      <c r="AL27" t="str">
        <f t="shared" si="1"/>
        <v>low Outlier</v>
      </c>
      <c r="AM27">
        <f ca="1">INT((TODAY()-HRDataset_v14[[#This Row],[DOB]])/365.25)</f>
        <v>61</v>
      </c>
      <c r="AN27">
        <f ca="1">DATEDIF(HRDataset_v14[[#This Row],[DateofHire]],TODAY(),"Y")</f>
        <v>12</v>
      </c>
      <c r="AO27">
        <f ca="1">IF(ISBLANK(HRDataset_v14[[#This Row],[DateofTermination]]),DATEDIF(HRDataset_v14[[#This Row],[DateofHire]],TODAY(),"Y"),DATEDIF(HRDataset_v14[[#This Row],[DateofHire]],HRDataset_v14[[#This Row],[DateofTermination]],"Y"))</f>
        <v>2</v>
      </c>
      <c r="AP27" t="str">
        <f ca="1">IF(HRDataset_v14[[#This Row],[Tenure in Years
]]&lt;1,"0-1 Year",IF(HRDataset_v14[[#This Row],[Tenure in Years
]]&lt;3,"1-3 Years",IF(HRDataset_v14[[#This Row],[Tenure in Years
]]&lt;5,"3-5 Years",IF(HRDataset_v14[[#This Row],[Tenure in Years
]]&lt;10,"5-10 Years","10+ Years"))))</f>
        <v>10+ Years</v>
      </c>
      <c r="AQ27" t="str">
        <f ca="1">IF(HRDataset_v14[[#This Row],[Age Calculation
]]&lt;26,"18-25",IF(HRDataset_v14[[#This Row],[Age Calculation
]]&lt;36,"26-35",IF(HRDataset_v14[[#This Row],[Age Calculation
]]&lt;46,"36-45",IF(HRDataset_v14[[#This Row],[Age Calculation
]]&lt;56,"46-55","55+"))))</f>
        <v>55+</v>
      </c>
      <c r="AR27" t="str">
        <f>IF(HRDataset_v14[[#This Row],[Salary]]&lt;40000,"Entry (&lt;40K)",IF(HRDataset_v14[[#This Row],[Salary]]&lt;70000,"Mid (40-70K)",IF(HRDataset_v14[[#This Row],[Salary]]&lt;100000,"Senior (70-100K)","Executive (100K+)")))</f>
        <v>Executive (100K+)</v>
      </c>
      <c r="AS27">
        <f>IF(HRDataset_v14[[#This Row],[EmploymentStatus]]="Active",1,0)</f>
        <v>0</v>
      </c>
      <c r="AT27">
        <f>YEAR(HRDataset_v14[[#This Row],[DateofHire]])</f>
        <v>2014</v>
      </c>
      <c r="AU27">
        <f>MONTH(HRDataset_v14[[#This Row],[DateofHire]])</f>
        <v>2</v>
      </c>
      <c r="AV27" t="str">
        <f>"Q"&amp;ROUNDUP(MONTH(HRDataset_v14[[#This Row],[DateofHire]])/3,0)</f>
        <v>Q1</v>
      </c>
      <c r="AW27" t="str">
        <f>TEXT(HRDataset_v14[[#This Row],[DateofHire]],"MMM")</f>
        <v>Feb</v>
      </c>
      <c r="AX27" t="str">
        <f>TEXT(HRDataset_v14[[#This Row],[DateofHire]],"YYYY-MM")</f>
        <v>2014-02</v>
      </c>
      <c r="AY27">
        <f>IF(ISBLANK(HRDataset_v14[[#This Row],[DateofTermination]]),"N/A",YEAR(HRDataset_v14[[#This Row],[DateofTermination]]))</f>
        <v>2016</v>
      </c>
      <c r="AZ27" t="str" cm="1">
        <f t="array" ref="AZ27">INDEX(_xlfn.UNIQUE(Z27:Z337),MATCH(MAX(COUNTIF(Z27:Z337,_xlfn.UNIQUE(Z27:Z337))),COUNTIF(Z27:Z337,_xlfn.UNIQUE(Z27:Z337)),0))</f>
        <v xml:space="preserve">Production       </v>
      </c>
      <c r="BA27">
        <f t="shared" si="6"/>
        <v>42.857142857142854</v>
      </c>
      <c r="BB27">
        <f t="shared" si="7"/>
        <v>1</v>
      </c>
      <c r="BC27" t="str">
        <f t="shared" si="4"/>
        <v>Medium</v>
      </c>
      <c r="BD27" t="str">
        <f t="shared" si="9"/>
        <v/>
      </c>
      <c r="BE27">
        <f t="shared" si="8"/>
        <v>3.5</v>
      </c>
      <c r="BF27" t="s">
        <v>662</v>
      </c>
      <c r="BG27" cm="1">
        <f t="array" ref="BG27">SUMPRODUCT((YEAR(W2:W312)=2011)*1)</f>
        <v>3</v>
      </c>
      <c r="BH27" t="s">
        <v>121</v>
      </c>
      <c r="BT27" t="str">
        <f t="shared" si="5"/>
        <v/>
      </c>
      <c r="BV27">
        <v>4.43</v>
      </c>
      <c r="BW27">
        <v>3.66</v>
      </c>
    </row>
    <row r="28" spans="1:75" x14ac:dyDescent="0.3">
      <c r="A28" t="s">
        <v>149</v>
      </c>
      <c r="B28">
        <v>10081</v>
      </c>
      <c r="C28">
        <v>1</v>
      </c>
      <c r="D28">
        <v>1</v>
      </c>
      <c r="E28">
        <v>0</v>
      </c>
      <c r="F28">
        <v>1</v>
      </c>
      <c r="G28">
        <v>1</v>
      </c>
      <c r="H28">
        <v>3</v>
      </c>
      <c r="I28">
        <v>1</v>
      </c>
      <c r="J28">
        <v>106367</v>
      </c>
      <c r="K28">
        <v>0</v>
      </c>
      <c r="L28">
        <v>26</v>
      </c>
      <c r="M28" t="s">
        <v>150</v>
      </c>
      <c r="N28" t="s">
        <v>38</v>
      </c>
      <c r="O28">
        <v>2468</v>
      </c>
      <c r="P28">
        <v>31871</v>
      </c>
      <c r="Q28" t="s">
        <v>64</v>
      </c>
      <c r="R28" t="s">
        <v>53</v>
      </c>
      <c r="S28" t="s">
        <v>41</v>
      </c>
      <c r="T28" t="s">
        <v>42</v>
      </c>
      <c r="U28" t="s">
        <v>91</v>
      </c>
      <c r="V28">
        <v>42051</v>
      </c>
      <c r="X28" t="s">
        <v>44</v>
      </c>
      <c r="Y28" t="s">
        <v>45</v>
      </c>
      <c r="Z28" t="s">
        <v>151</v>
      </c>
      <c r="AA28" t="s">
        <v>152</v>
      </c>
      <c r="AB28">
        <v>3</v>
      </c>
      <c r="AC28" t="s">
        <v>93</v>
      </c>
      <c r="AD28" t="s">
        <v>60</v>
      </c>
      <c r="AE28">
        <v>5</v>
      </c>
      <c r="AF28">
        <v>4</v>
      </c>
      <c r="AG28">
        <v>3</v>
      </c>
      <c r="AH28" t="s">
        <v>98</v>
      </c>
      <c r="AI28">
        <v>0</v>
      </c>
      <c r="AJ28">
        <v>4</v>
      </c>
      <c r="AK28" t="str">
        <f t="shared" si="0"/>
        <v>Normal</v>
      </c>
      <c r="AL28" t="str">
        <f t="shared" si="1"/>
        <v>low Outlier</v>
      </c>
      <c r="AM28">
        <f ca="1">INT((TODAY()-HRDataset_v14[[#This Row],[DOB]])/365.25)</f>
        <v>38</v>
      </c>
      <c r="AN28">
        <f ca="1">DATEDIF(HRDataset_v14[[#This Row],[DateofHire]],TODAY(),"Y")</f>
        <v>11</v>
      </c>
      <c r="AO28">
        <f ca="1">IF(ISBLANK(HRDataset_v14[[#This Row],[DateofTermination]]),DATEDIF(HRDataset_v14[[#This Row],[DateofHire]],TODAY(),"Y"),DATEDIF(HRDataset_v14[[#This Row],[DateofHire]],HRDataset_v14[[#This Row],[DateofTermination]],"Y"))</f>
        <v>11</v>
      </c>
      <c r="AP28" t="str">
        <f ca="1">IF(HRDataset_v14[[#This Row],[Tenure in Years
]]&lt;1,"0-1 Year",IF(HRDataset_v14[[#This Row],[Tenure in Years
]]&lt;3,"1-3 Years",IF(HRDataset_v14[[#This Row],[Tenure in Years
]]&lt;5,"3-5 Years",IF(HRDataset_v14[[#This Row],[Tenure in Years
]]&lt;10,"5-10 Years","10+ Years"))))</f>
        <v>10+ Years</v>
      </c>
      <c r="AQ28" t="str">
        <f ca="1">IF(HRDataset_v14[[#This Row],[Age Calculation
]]&lt;26,"18-25",IF(HRDataset_v14[[#This Row],[Age Calculation
]]&lt;36,"26-35",IF(HRDataset_v14[[#This Row],[Age Calculation
]]&lt;46,"36-45",IF(HRDataset_v14[[#This Row],[Age Calculation
]]&lt;56,"46-55","55+"))))</f>
        <v>36-45</v>
      </c>
      <c r="AR28" t="str">
        <f>IF(HRDataset_v14[[#This Row],[Salary]]&lt;40000,"Entry (&lt;40K)",IF(HRDataset_v14[[#This Row],[Salary]]&lt;70000,"Mid (40-70K)",IF(HRDataset_v14[[#This Row],[Salary]]&lt;100000,"Senior (70-100K)","Executive (100K+)")))</f>
        <v>Executive (100K+)</v>
      </c>
      <c r="AS28">
        <f>IF(HRDataset_v14[[#This Row],[EmploymentStatus]]="Active",1,0)</f>
        <v>1</v>
      </c>
      <c r="AT28">
        <f>YEAR(HRDataset_v14[[#This Row],[DateofHire]])</f>
        <v>2015</v>
      </c>
      <c r="AU28">
        <f>MONTH(HRDataset_v14[[#This Row],[DateofHire]])</f>
        <v>2</v>
      </c>
      <c r="AV28" t="str">
        <f>"Q"&amp;ROUNDUP(MONTH(HRDataset_v14[[#This Row],[DateofHire]])/3,0)</f>
        <v>Q1</v>
      </c>
      <c r="AW28" t="str">
        <f>TEXT(HRDataset_v14[[#This Row],[DateofHire]],"MMM")</f>
        <v>Feb</v>
      </c>
      <c r="AX28" t="str">
        <f>TEXT(HRDataset_v14[[#This Row],[DateofHire]],"YYYY-MM")</f>
        <v>2015-02</v>
      </c>
      <c r="AY28" t="str">
        <f>IF(ISBLANK(HRDataset_v14[[#This Row],[DateofTermination]]),"N/A",YEAR(HRDataset_v14[[#This Row],[DateofTermination]]))</f>
        <v>N/A</v>
      </c>
      <c r="AZ28" t="str" cm="1">
        <f t="array" ref="AZ28">INDEX(_xlfn.UNIQUE(Z28:Z338),MATCH(MAX(COUNTIF(Z28:Z338,_xlfn.UNIQUE(Z28:Z338))),COUNTIF(Z28:Z338,_xlfn.UNIQUE(Z28:Z338)),0))</f>
        <v xml:space="preserve">Production       </v>
      </c>
      <c r="BA28">
        <f t="shared" si="6"/>
        <v>28.571428571428569</v>
      </c>
      <c r="BB28">
        <f t="shared" si="7"/>
        <v>0</v>
      </c>
      <c r="BC28" t="str">
        <f t="shared" si="4"/>
        <v>Medium</v>
      </c>
      <c r="BD28">
        <f t="shared" si="9"/>
        <v>5</v>
      </c>
      <c r="BE28" t="str">
        <f t="shared" si="8"/>
        <v/>
      </c>
      <c r="BF28">
        <f ca="1">AVERAGE(AM:AM)</f>
        <v>46.610932475884248</v>
      </c>
      <c r="BH28">
        <f>COUNTIF(Y:Y,"Terminated for Cause")</f>
        <v>16</v>
      </c>
      <c r="BI28" t="s">
        <v>710</v>
      </c>
      <c r="BT28">
        <f t="shared" si="5"/>
        <v>5</v>
      </c>
      <c r="BV28">
        <v>5</v>
      </c>
      <c r="BW28">
        <v>2</v>
      </c>
    </row>
    <row r="29" spans="1:75" x14ac:dyDescent="0.3">
      <c r="A29" t="s">
        <v>153</v>
      </c>
      <c r="B29">
        <v>10175</v>
      </c>
      <c r="C29">
        <v>0</v>
      </c>
      <c r="D29">
        <v>0</v>
      </c>
      <c r="E29">
        <v>1</v>
      </c>
      <c r="F29">
        <v>5</v>
      </c>
      <c r="G29">
        <v>5</v>
      </c>
      <c r="H29">
        <v>3</v>
      </c>
      <c r="I29">
        <v>0</v>
      </c>
      <c r="J29">
        <v>74312</v>
      </c>
      <c r="K29">
        <v>1</v>
      </c>
      <c r="L29">
        <v>18</v>
      </c>
      <c r="M29" t="s">
        <v>154</v>
      </c>
      <c r="N29" t="s">
        <v>38</v>
      </c>
      <c r="O29">
        <v>1901</v>
      </c>
      <c r="P29">
        <v>25637</v>
      </c>
      <c r="Q29" t="s">
        <v>39</v>
      </c>
      <c r="R29" t="s">
        <v>40</v>
      </c>
      <c r="S29" t="s">
        <v>41</v>
      </c>
      <c r="T29" t="s">
        <v>42</v>
      </c>
      <c r="U29" t="s">
        <v>132</v>
      </c>
      <c r="V29">
        <v>41547</v>
      </c>
      <c r="W29">
        <v>41858</v>
      </c>
      <c r="X29" t="s">
        <v>155</v>
      </c>
      <c r="Y29" t="s">
        <v>56</v>
      </c>
      <c r="Z29" t="s">
        <v>46</v>
      </c>
      <c r="AA29" t="s">
        <v>156</v>
      </c>
      <c r="AB29">
        <v>2</v>
      </c>
      <c r="AC29" t="s">
        <v>59</v>
      </c>
      <c r="AD29" t="s">
        <v>60</v>
      </c>
      <c r="AE29">
        <v>3.39</v>
      </c>
      <c r="AF29">
        <v>3</v>
      </c>
      <c r="AG29">
        <v>0</v>
      </c>
      <c r="AH29" t="s">
        <v>157</v>
      </c>
      <c r="AI29">
        <v>0</v>
      </c>
      <c r="AJ29">
        <v>14</v>
      </c>
      <c r="AK29" t="str">
        <f t="shared" si="0"/>
        <v>Normal</v>
      </c>
      <c r="AL29" t="str">
        <f t="shared" si="1"/>
        <v>low Outlier</v>
      </c>
      <c r="AM29">
        <f ca="1">INT((TODAY()-HRDataset_v14[[#This Row],[DOB]])/365.25)</f>
        <v>56</v>
      </c>
      <c r="AN29">
        <f ca="1">DATEDIF(HRDataset_v14[[#This Row],[DateofHire]],TODAY(),"Y")</f>
        <v>12</v>
      </c>
      <c r="AO29">
        <f ca="1">IF(ISBLANK(HRDataset_v14[[#This Row],[DateofTermination]]),DATEDIF(HRDataset_v14[[#This Row],[DateofHire]],TODAY(),"Y"),DATEDIF(HRDataset_v14[[#This Row],[DateofHire]],HRDataset_v14[[#This Row],[DateofTermination]],"Y"))</f>
        <v>0</v>
      </c>
      <c r="AP29" t="str">
        <f ca="1">IF(HRDataset_v14[[#This Row],[Tenure in Years
]]&lt;1,"0-1 Year",IF(HRDataset_v14[[#This Row],[Tenure in Years
]]&lt;3,"1-3 Years",IF(HRDataset_v14[[#This Row],[Tenure in Years
]]&lt;5,"3-5 Years",IF(HRDataset_v14[[#This Row],[Tenure in Years
]]&lt;10,"5-10 Years","10+ Years"))))</f>
        <v>10+ Years</v>
      </c>
      <c r="AQ29" t="str">
        <f ca="1">IF(HRDataset_v14[[#This Row],[Age Calculation
]]&lt;26,"18-25",IF(HRDataset_v14[[#This Row],[Age Calculation
]]&lt;36,"26-35",IF(HRDataset_v14[[#This Row],[Age Calculation
]]&lt;46,"36-45",IF(HRDataset_v14[[#This Row],[Age Calculation
]]&lt;56,"46-55","55+"))))</f>
        <v>55+</v>
      </c>
      <c r="AR29" t="str">
        <f>IF(HRDataset_v14[[#This Row],[Salary]]&lt;40000,"Entry (&lt;40K)",IF(HRDataset_v14[[#This Row],[Salary]]&lt;70000,"Mid (40-70K)",IF(HRDataset_v14[[#This Row],[Salary]]&lt;100000,"Senior (70-100K)","Executive (100K+)")))</f>
        <v>Senior (70-100K)</v>
      </c>
      <c r="AS29">
        <f>IF(HRDataset_v14[[#This Row],[EmploymentStatus]]="Active",1,0)</f>
        <v>0</v>
      </c>
      <c r="AT29">
        <f>YEAR(HRDataset_v14[[#This Row],[DateofHire]])</f>
        <v>2013</v>
      </c>
      <c r="AU29">
        <f>MONTH(HRDataset_v14[[#This Row],[DateofHire]])</f>
        <v>9</v>
      </c>
      <c r="AV29" t="str">
        <f>"Q"&amp;ROUNDUP(MONTH(HRDataset_v14[[#This Row],[DateofHire]])/3,0)</f>
        <v>Q3</v>
      </c>
      <c r="AW29" t="str">
        <f>TEXT(HRDataset_v14[[#This Row],[DateofHire]],"MMM")</f>
        <v>Sep</v>
      </c>
      <c r="AX29" t="str">
        <f>TEXT(HRDataset_v14[[#This Row],[DateofHire]],"YYYY-MM")</f>
        <v>2013-09</v>
      </c>
      <c r="AY29">
        <f>IF(ISBLANK(HRDataset_v14[[#This Row],[DateofTermination]]),"N/A",YEAR(HRDataset_v14[[#This Row],[DateofTermination]]))</f>
        <v>2014</v>
      </c>
      <c r="AZ29" t="str" cm="1">
        <f t="array" ref="AZ29">INDEX(_xlfn.UNIQUE(Z29:Z339),MATCH(MAX(COUNTIF(Z29:Z339,_xlfn.UNIQUE(Z29:Z339))),COUNTIF(Z29:Z339,_xlfn.UNIQUE(Z29:Z339)),0))</f>
        <v xml:space="preserve">Production       </v>
      </c>
      <c r="BA29">
        <f t="shared" si="6"/>
        <v>31.578947368421051</v>
      </c>
      <c r="BB29">
        <f t="shared" si="7"/>
        <v>4</v>
      </c>
      <c r="BC29" t="str">
        <f t="shared" si="4"/>
        <v>Medium</v>
      </c>
      <c r="BD29" t="str">
        <f t="shared" si="9"/>
        <v/>
      </c>
      <c r="BE29">
        <f t="shared" si="8"/>
        <v>3.39</v>
      </c>
      <c r="BG29" t="s">
        <v>736</v>
      </c>
      <c r="BI29">
        <f>COUNTIF(AT:AT,2006)</f>
        <v>1</v>
      </c>
      <c r="BT29" t="str">
        <f t="shared" si="5"/>
        <v/>
      </c>
      <c r="BV29">
        <v>5</v>
      </c>
      <c r="BW29">
        <v>4.24</v>
      </c>
    </row>
    <row r="30" spans="1:75" x14ac:dyDescent="0.3">
      <c r="A30" t="s">
        <v>158</v>
      </c>
      <c r="B30">
        <v>10177</v>
      </c>
      <c r="C30">
        <v>1</v>
      </c>
      <c r="D30">
        <v>1</v>
      </c>
      <c r="E30">
        <v>0</v>
      </c>
      <c r="F30">
        <v>5</v>
      </c>
      <c r="G30">
        <v>5</v>
      </c>
      <c r="H30">
        <v>3</v>
      </c>
      <c r="I30">
        <v>0</v>
      </c>
      <c r="J30">
        <v>53492</v>
      </c>
      <c r="K30">
        <v>1</v>
      </c>
      <c r="L30">
        <v>19</v>
      </c>
      <c r="M30" t="s">
        <v>37</v>
      </c>
      <c r="N30" t="s">
        <v>38</v>
      </c>
      <c r="O30">
        <v>1701</v>
      </c>
      <c r="P30">
        <v>33109</v>
      </c>
      <c r="Q30" t="s">
        <v>64</v>
      </c>
      <c r="R30" t="s">
        <v>53</v>
      </c>
      <c r="S30" t="s">
        <v>41</v>
      </c>
      <c r="T30" t="s">
        <v>42</v>
      </c>
      <c r="U30" t="s">
        <v>43</v>
      </c>
      <c r="V30">
        <v>41001</v>
      </c>
      <c r="W30">
        <v>41440</v>
      </c>
      <c r="X30" t="s">
        <v>101</v>
      </c>
      <c r="Y30" t="s">
        <v>56</v>
      </c>
      <c r="Z30" t="s">
        <v>46</v>
      </c>
      <c r="AA30" t="s">
        <v>102</v>
      </c>
      <c r="AB30">
        <v>14</v>
      </c>
      <c r="AC30" t="s">
        <v>75</v>
      </c>
      <c r="AD30" t="s">
        <v>60</v>
      </c>
      <c r="AE30">
        <v>3.35</v>
      </c>
      <c r="AF30">
        <v>4</v>
      </c>
      <c r="AG30">
        <v>0</v>
      </c>
      <c r="AH30" t="s">
        <v>159</v>
      </c>
      <c r="AI30">
        <v>0</v>
      </c>
      <c r="AJ30">
        <v>6</v>
      </c>
      <c r="AK30" t="str">
        <f t="shared" si="0"/>
        <v>Normal</v>
      </c>
      <c r="AL30" t="str">
        <f t="shared" si="1"/>
        <v>low Outlier</v>
      </c>
      <c r="AM30">
        <f ca="1">INT((TODAY()-HRDataset_v14[[#This Row],[DOB]])/365.25)</f>
        <v>35</v>
      </c>
      <c r="AN30">
        <f ca="1">DATEDIF(HRDataset_v14[[#This Row],[DateofHire]],TODAY(),"Y")</f>
        <v>14</v>
      </c>
      <c r="AO30">
        <f ca="1">IF(ISBLANK(HRDataset_v14[[#This Row],[DateofTermination]]),DATEDIF(HRDataset_v14[[#This Row],[DateofHire]],TODAY(),"Y"),DATEDIF(HRDataset_v14[[#This Row],[DateofHire]],HRDataset_v14[[#This Row],[DateofTermination]],"Y"))</f>
        <v>1</v>
      </c>
      <c r="AP30" t="str">
        <f ca="1">IF(HRDataset_v14[[#This Row],[Tenure in Years
]]&lt;1,"0-1 Year",IF(HRDataset_v14[[#This Row],[Tenure in Years
]]&lt;3,"1-3 Years",IF(HRDataset_v14[[#This Row],[Tenure in Years
]]&lt;5,"3-5 Years",IF(HRDataset_v14[[#This Row],[Tenure in Years
]]&lt;10,"5-10 Years","10+ Years"))))</f>
        <v>10+ Years</v>
      </c>
      <c r="AQ30" t="str">
        <f ca="1">IF(HRDataset_v14[[#This Row],[Age Calculation
]]&lt;26,"18-25",IF(HRDataset_v14[[#This Row],[Age Calculation
]]&lt;36,"26-35",IF(HRDataset_v14[[#This Row],[Age Calculation
]]&lt;46,"36-45",IF(HRDataset_v14[[#This Row],[Age Calculation
]]&lt;56,"46-55","55+"))))</f>
        <v>26-35</v>
      </c>
      <c r="AR30" t="str">
        <f>IF(HRDataset_v14[[#This Row],[Salary]]&lt;40000,"Entry (&lt;40K)",IF(HRDataset_v14[[#This Row],[Salary]]&lt;70000,"Mid (40-70K)",IF(HRDataset_v14[[#This Row],[Salary]]&lt;100000,"Senior (70-100K)","Executive (100K+)")))</f>
        <v>Mid (40-70K)</v>
      </c>
      <c r="AS30">
        <f>IF(HRDataset_v14[[#This Row],[EmploymentStatus]]="Active",1,0)</f>
        <v>0</v>
      </c>
      <c r="AT30">
        <f>YEAR(HRDataset_v14[[#This Row],[DateofHire]])</f>
        <v>2012</v>
      </c>
      <c r="AU30">
        <f>MONTH(HRDataset_v14[[#This Row],[DateofHire]])</f>
        <v>4</v>
      </c>
      <c r="AV30" t="str">
        <f>"Q"&amp;ROUNDUP(MONTH(HRDataset_v14[[#This Row],[DateofHire]])/3,0)</f>
        <v>Q2</v>
      </c>
      <c r="AW30" t="str">
        <f>TEXT(HRDataset_v14[[#This Row],[DateofHire]],"MMM")</f>
        <v>Apr</v>
      </c>
      <c r="AX30" t="str">
        <f>TEXT(HRDataset_v14[[#This Row],[DateofHire]],"YYYY-MM")</f>
        <v>2012-04</v>
      </c>
      <c r="AY30">
        <f>IF(ISBLANK(HRDataset_v14[[#This Row],[DateofTermination]]),"N/A",YEAR(HRDataset_v14[[#This Row],[DateofTermination]]))</f>
        <v>2013</v>
      </c>
      <c r="AZ30" t="str" cm="1">
        <f t="array" ref="AZ30">INDEX(_xlfn.UNIQUE(Z30:Z340),MATCH(MAX(COUNTIF(Z30:Z340,_xlfn.UNIQUE(Z30:Z340))),COUNTIF(Z30:Z340,_xlfn.UNIQUE(Z30:Z340)),0))</f>
        <v xml:space="preserve">Production       </v>
      </c>
      <c r="BA30">
        <f t="shared" si="6"/>
        <v>25</v>
      </c>
      <c r="BB30">
        <f t="shared" si="7"/>
        <v>18</v>
      </c>
      <c r="BC30" t="str">
        <f t="shared" si="4"/>
        <v>Medium</v>
      </c>
      <c r="BD30" t="str">
        <f t="shared" si="9"/>
        <v/>
      </c>
      <c r="BE30">
        <f t="shared" si="8"/>
        <v>3.35</v>
      </c>
      <c r="BF30" t="s">
        <v>663</v>
      </c>
      <c r="BG30">
        <f>COUNTIF(K:K,1)*5000</f>
        <v>520000</v>
      </c>
      <c r="BI30">
        <f>COUNTIF(AT:AT,2007)</f>
        <v>2</v>
      </c>
      <c r="BT30" t="str">
        <f t="shared" si="5"/>
        <v/>
      </c>
      <c r="BV30">
        <v>5</v>
      </c>
      <c r="BW30">
        <v>3.97</v>
      </c>
    </row>
    <row r="31" spans="1:75" x14ac:dyDescent="0.3">
      <c r="A31" t="s">
        <v>160</v>
      </c>
      <c r="B31">
        <v>10238</v>
      </c>
      <c r="C31">
        <v>1</v>
      </c>
      <c r="D31">
        <v>1</v>
      </c>
      <c r="E31">
        <v>0</v>
      </c>
      <c r="F31">
        <v>1</v>
      </c>
      <c r="G31">
        <v>1</v>
      </c>
      <c r="H31">
        <v>3</v>
      </c>
      <c r="I31">
        <v>1</v>
      </c>
      <c r="J31">
        <v>63000</v>
      </c>
      <c r="K31">
        <v>0</v>
      </c>
      <c r="L31">
        <v>1</v>
      </c>
      <c r="M31" t="s">
        <v>161</v>
      </c>
      <c r="N31" t="s">
        <v>38</v>
      </c>
      <c r="O31">
        <v>1450</v>
      </c>
      <c r="P31">
        <v>32105</v>
      </c>
      <c r="Q31" t="s">
        <v>64</v>
      </c>
      <c r="R31" t="s">
        <v>53</v>
      </c>
      <c r="S31" t="s">
        <v>41</v>
      </c>
      <c r="T31" t="s">
        <v>42</v>
      </c>
      <c r="U31" t="s">
        <v>91</v>
      </c>
      <c r="V31">
        <v>39748</v>
      </c>
      <c r="X31" t="s">
        <v>44</v>
      </c>
      <c r="Y31" t="s">
        <v>45</v>
      </c>
      <c r="Z31" t="s">
        <v>151</v>
      </c>
      <c r="AA31" t="s">
        <v>152</v>
      </c>
      <c r="AB31">
        <v>1</v>
      </c>
      <c r="AC31" t="s">
        <v>93</v>
      </c>
      <c r="AD31" t="s">
        <v>60</v>
      </c>
      <c r="AE31">
        <v>4.5</v>
      </c>
      <c r="AF31">
        <v>2</v>
      </c>
      <c r="AG31">
        <v>6</v>
      </c>
      <c r="AH31" t="s">
        <v>162</v>
      </c>
      <c r="AI31">
        <v>0</v>
      </c>
      <c r="AJ31">
        <v>14</v>
      </c>
      <c r="AK31" t="str">
        <f t="shared" si="0"/>
        <v>Normal</v>
      </c>
      <c r="AL31" t="str">
        <f t="shared" si="1"/>
        <v>low Outlier</v>
      </c>
      <c r="AM31">
        <f ca="1">INT((TODAY()-HRDataset_v14[[#This Row],[DOB]])/365.25)</f>
        <v>38</v>
      </c>
      <c r="AN31">
        <f ca="1">DATEDIF(HRDataset_v14[[#This Row],[DateofHire]],TODAY(),"Y")</f>
        <v>17</v>
      </c>
      <c r="AO31">
        <f ca="1">IF(ISBLANK(HRDataset_v14[[#This Row],[DateofTermination]]),DATEDIF(HRDataset_v14[[#This Row],[DateofHire]],TODAY(),"Y"),DATEDIF(HRDataset_v14[[#This Row],[DateofHire]],HRDataset_v14[[#This Row],[DateofTermination]],"Y"))</f>
        <v>17</v>
      </c>
      <c r="AP31" t="str">
        <f ca="1">IF(HRDataset_v14[[#This Row],[Tenure in Years
]]&lt;1,"0-1 Year",IF(HRDataset_v14[[#This Row],[Tenure in Years
]]&lt;3,"1-3 Years",IF(HRDataset_v14[[#This Row],[Tenure in Years
]]&lt;5,"3-5 Years",IF(HRDataset_v14[[#This Row],[Tenure in Years
]]&lt;10,"5-10 Years","10+ Years"))))</f>
        <v>10+ Years</v>
      </c>
      <c r="AQ31" t="str">
        <f ca="1">IF(HRDataset_v14[[#This Row],[Age Calculation
]]&lt;26,"18-25",IF(HRDataset_v14[[#This Row],[Age Calculation
]]&lt;36,"26-35",IF(HRDataset_v14[[#This Row],[Age Calculation
]]&lt;46,"36-45",IF(HRDataset_v14[[#This Row],[Age Calculation
]]&lt;56,"46-55","55+"))))</f>
        <v>36-45</v>
      </c>
      <c r="AR31" t="str">
        <f>IF(HRDataset_v14[[#This Row],[Salary]]&lt;40000,"Entry (&lt;40K)",IF(HRDataset_v14[[#This Row],[Salary]]&lt;70000,"Mid (40-70K)",IF(HRDataset_v14[[#This Row],[Salary]]&lt;100000,"Senior (70-100K)","Executive (100K+)")))</f>
        <v>Mid (40-70K)</v>
      </c>
      <c r="AS31">
        <f>IF(HRDataset_v14[[#This Row],[EmploymentStatus]]="Active",1,0)</f>
        <v>1</v>
      </c>
      <c r="AT31">
        <f>YEAR(HRDataset_v14[[#This Row],[DateofHire]])</f>
        <v>2008</v>
      </c>
      <c r="AU31">
        <f>MONTH(HRDataset_v14[[#This Row],[DateofHire]])</f>
        <v>10</v>
      </c>
      <c r="AV31" t="str">
        <f>"Q"&amp;ROUNDUP(MONTH(HRDataset_v14[[#This Row],[DateofHire]])/3,0)</f>
        <v>Q4</v>
      </c>
      <c r="AW31" t="str">
        <f>TEXT(HRDataset_v14[[#This Row],[DateofHire]],"MMM")</f>
        <v>Oct</v>
      </c>
      <c r="AX31" t="str">
        <f>TEXT(HRDataset_v14[[#This Row],[DateofHire]],"YYYY-MM")</f>
        <v>2008-10</v>
      </c>
      <c r="AY31" t="str">
        <f>IF(ISBLANK(HRDataset_v14[[#This Row],[DateofTermination]]),"N/A",YEAR(HRDataset_v14[[#This Row],[DateofTermination]]))</f>
        <v>N/A</v>
      </c>
      <c r="AZ31" t="str" cm="1">
        <f t="array" ref="AZ31">INDEX(_xlfn.UNIQUE(Z31:Z341),MATCH(MAX(COUNTIF(Z31:Z341,_xlfn.UNIQUE(Z31:Z341))),COUNTIF(Z31:Z341,_xlfn.UNIQUE(Z31:Z341)),0))</f>
        <v xml:space="preserve">Production       </v>
      </c>
      <c r="BA31">
        <f t="shared" si="6"/>
        <v>33.333333333333329</v>
      </c>
      <c r="BB31">
        <f t="shared" si="7"/>
        <v>0</v>
      </c>
      <c r="BC31" t="str">
        <f t="shared" si="4"/>
        <v>Medium</v>
      </c>
      <c r="BD31">
        <f t="shared" si="9"/>
        <v>4.5</v>
      </c>
      <c r="BE31" t="str">
        <f t="shared" si="8"/>
        <v/>
      </c>
      <c r="BF31">
        <f ca="1">MEDIAN(AM:AM)</f>
        <v>45</v>
      </c>
      <c r="BH31" t="s">
        <v>755</v>
      </c>
      <c r="BI31">
        <f>COUNTIF(AT:AT,2008)</f>
        <v>3</v>
      </c>
      <c r="BT31">
        <f t="shared" si="5"/>
        <v>4.5</v>
      </c>
      <c r="BV31">
        <v>4.5</v>
      </c>
      <c r="BW31">
        <v>3.97</v>
      </c>
    </row>
    <row r="32" spans="1:75" x14ac:dyDescent="0.3">
      <c r="A32" t="s">
        <v>163</v>
      </c>
      <c r="B32">
        <v>10184</v>
      </c>
      <c r="C32">
        <v>0</v>
      </c>
      <c r="D32">
        <v>0</v>
      </c>
      <c r="E32">
        <v>1</v>
      </c>
      <c r="F32">
        <v>1</v>
      </c>
      <c r="G32">
        <v>5</v>
      </c>
      <c r="H32">
        <v>3</v>
      </c>
      <c r="I32">
        <v>0</v>
      </c>
      <c r="J32">
        <v>65288</v>
      </c>
      <c r="K32">
        <v>0</v>
      </c>
      <c r="L32">
        <v>20</v>
      </c>
      <c r="M32" t="s">
        <v>63</v>
      </c>
      <c r="N32" t="s">
        <v>38</v>
      </c>
      <c r="O32">
        <v>1013</v>
      </c>
      <c r="P32">
        <v>30525</v>
      </c>
      <c r="Q32" t="s">
        <v>39</v>
      </c>
      <c r="R32" t="s">
        <v>40</v>
      </c>
      <c r="S32" t="s">
        <v>41</v>
      </c>
      <c r="T32" t="s">
        <v>42</v>
      </c>
      <c r="U32" t="s">
        <v>43</v>
      </c>
      <c r="V32">
        <v>41911</v>
      </c>
      <c r="X32" t="s">
        <v>44</v>
      </c>
      <c r="Y32" t="s">
        <v>45</v>
      </c>
      <c r="Z32" t="s">
        <v>46</v>
      </c>
      <c r="AA32" t="s">
        <v>74</v>
      </c>
      <c r="AC32" t="s">
        <v>75</v>
      </c>
      <c r="AD32" t="s">
        <v>60</v>
      </c>
      <c r="AE32">
        <v>3.19</v>
      </c>
      <c r="AF32">
        <v>3</v>
      </c>
      <c r="AG32">
        <v>0</v>
      </c>
      <c r="AH32" t="s">
        <v>164</v>
      </c>
      <c r="AI32">
        <v>0</v>
      </c>
      <c r="AJ32">
        <v>9</v>
      </c>
      <c r="AK32" t="str">
        <f t="shared" si="0"/>
        <v>Normal</v>
      </c>
      <c r="AL32" t="str">
        <f t="shared" si="1"/>
        <v>low Outlier</v>
      </c>
      <c r="AM32">
        <f ca="1">INT((TODAY()-HRDataset_v14[[#This Row],[DOB]])/365.25)</f>
        <v>42</v>
      </c>
      <c r="AN32">
        <f ca="1">DATEDIF(HRDataset_v14[[#This Row],[DateofHire]],TODAY(),"Y")</f>
        <v>11</v>
      </c>
      <c r="AO32">
        <f ca="1">IF(ISBLANK(HRDataset_v14[[#This Row],[DateofTermination]]),DATEDIF(HRDataset_v14[[#This Row],[DateofHire]],TODAY(),"Y"),DATEDIF(HRDataset_v14[[#This Row],[DateofHire]],HRDataset_v14[[#This Row],[DateofTermination]],"Y"))</f>
        <v>11</v>
      </c>
      <c r="AP32" t="str">
        <f ca="1">IF(HRDataset_v14[[#This Row],[Tenure in Years
]]&lt;1,"0-1 Year",IF(HRDataset_v14[[#This Row],[Tenure in Years
]]&lt;3,"1-3 Years",IF(HRDataset_v14[[#This Row],[Tenure in Years
]]&lt;5,"3-5 Years",IF(HRDataset_v14[[#This Row],[Tenure in Years
]]&lt;10,"5-10 Years","10+ Years"))))</f>
        <v>10+ Years</v>
      </c>
      <c r="AQ32" t="str">
        <f ca="1">IF(HRDataset_v14[[#This Row],[Age Calculation
]]&lt;26,"18-25",IF(HRDataset_v14[[#This Row],[Age Calculation
]]&lt;36,"26-35",IF(HRDataset_v14[[#This Row],[Age Calculation
]]&lt;46,"36-45",IF(HRDataset_v14[[#This Row],[Age Calculation
]]&lt;56,"46-55","55+"))))</f>
        <v>36-45</v>
      </c>
      <c r="AR32" t="str">
        <f>IF(HRDataset_v14[[#This Row],[Salary]]&lt;40000,"Entry (&lt;40K)",IF(HRDataset_v14[[#This Row],[Salary]]&lt;70000,"Mid (40-70K)",IF(HRDataset_v14[[#This Row],[Salary]]&lt;100000,"Senior (70-100K)","Executive (100K+)")))</f>
        <v>Mid (40-70K)</v>
      </c>
      <c r="AS32">
        <f>IF(HRDataset_v14[[#This Row],[EmploymentStatus]]="Active",1,0)</f>
        <v>1</v>
      </c>
      <c r="AT32">
        <f>YEAR(HRDataset_v14[[#This Row],[DateofHire]])</f>
        <v>2014</v>
      </c>
      <c r="AU32">
        <f>MONTH(HRDataset_v14[[#This Row],[DateofHire]])</f>
        <v>9</v>
      </c>
      <c r="AV32" t="str">
        <f>"Q"&amp;ROUNDUP(MONTH(HRDataset_v14[[#This Row],[DateofHire]])/3,0)</f>
        <v>Q3</v>
      </c>
      <c r="AW32" t="str">
        <f>TEXT(HRDataset_v14[[#This Row],[DateofHire]],"MMM")</f>
        <v>Sep</v>
      </c>
      <c r="AX32" t="str">
        <f>TEXT(HRDataset_v14[[#This Row],[DateofHire]],"YYYY-MM")</f>
        <v>2014-09</v>
      </c>
      <c r="AY32" t="str">
        <f>IF(ISBLANK(HRDataset_v14[[#This Row],[DateofTermination]]),"N/A",YEAR(HRDataset_v14[[#This Row],[DateofTermination]]))</f>
        <v>N/A</v>
      </c>
      <c r="AZ32" t="str" cm="1">
        <f t="array" ref="AZ32">INDEX(_xlfn.UNIQUE(Z32:Z342),MATCH(MAX(COUNTIF(Z32:Z342,_xlfn.UNIQUE(Z32:Z342))),COUNTIF(Z32:Z342,_xlfn.UNIQUE(Z32:Z342)),0))</f>
        <v xml:space="preserve">Production       </v>
      </c>
      <c r="BA32">
        <f t="shared" si="6"/>
        <v>63.157894736842103</v>
      </c>
      <c r="BB32">
        <f t="shared" si="7"/>
        <v>0</v>
      </c>
      <c r="BC32" t="str">
        <f t="shared" si="4"/>
        <v>Medium</v>
      </c>
      <c r="BD32">
        <f t="shared" si="9"/>
        <v>3.19</v>
      </c>
      <c r="BE32" t="str">
        <f t="shared" si="8"/>
        <v/>
      </c>
      <c r="BF32" t="s">
        <v>664</v>
      </c>
      <c r="BG32" t="s">
        <v>737</v>
      </c>
      <c r="BI32">
        <f>COUNTIF(AT:AT,2009)</f>
        <v>7</v>
      </c>
      <c r="BT32">
        <f t="shared" si="5"/>
        <v>3.19</v>
      </c>
      <c r="BV32">
        <v>3.3</v>
      </c>
      <c r="BW32">
        <v>4.5999999999999996</v>
      </c>
    </row>
    <row r="33" spans="1:75" x14ac:dyDescent="0.3">
      <c r="A33" t="s">
        <v>165</v>
      </c>
      <c r="B33">
        <v>10203</v>
      </c>
      <c r="C33">
        <v>0</v>
      </c>
      <c r="D33">
        <v>3</v>
      </c>
      <c r="E33">
        <v>0</v>
      </c>
      <c r="F33">
        <v>3</v>
      </c>
      <c r="G33">
        <v>5</v>
      </c>
      <c r="H33">
        <v>3</v>
      </c>
      <c r="I33">
        <v>1</v>
      </c>
      <c r="J33">
        <v>64375</v>
      </c>
      <c r="K33">
        <v>0</v>
      </c>
      <c r="L33">
        <v>19</v>
      </c>
      <c r="M33" t="s">
        <v>37</v>
      </c>
      <c r="N33" t="s">
        <v>38</v>
      </c>
      <c r="O33">
        <v>2043</v>
      </c>
      <c r="P33">
        <v>25506</v>
      </c>
      <c r="Q33" t="s">
        <v>64</v>
      </c>
      <c r="R33" t="s">
        <v>166</v>
      </c>
      <c r="S33" t="s">
        <v>41</v>
      </c>
      <c r="T33" t="s">
        <v>42</v>
      </c>
      <c r="U33" t="s">
        <v>91</v>
      </c>
      <c r="V33">
        <v>41589</v>
      </c>
      <c r="X33" t="s">
        <v>44</v>
      </c>
      <c r="Y33" t="s">
        <v>45</v>
      </c>
      <c r="Z33" t="s">
        <v>46</v>
      </c>
      <c r="AA33" t="s">
        <v>66</v>
      </c>
      <c r="AB33">
        <v>20</v>
      </c>
      <c r="AC33" t="s">
        <v>93</v>
      </c>
      <c r="AD33" t="s">
        <v>60</v>
      </c>
      <c r="AE33">
        <v>3.5</v>
      </c>
      <c r="AF33">
        <v>5</v>
      </c>
      <c r="AG33">
        <v>0</v>
      </c>
      <c r="AH33" t="s">
        <v>167</v>
      </c>
      <c r="AI33">
        <v>0</v>
      </c>
      <c r="AJ33">
        <v>17</v>
      </c>
      <c r="AK33" t="str">
        <f t="shared" si="0"/>
        <v>Normal</v>
      </c>
      <c r="AL33" t="str">
        <f t="shared" si="1"/>
        <v>low Outlier</v>
      </c>
      <c r="AM33">
        <f ca="1">INT((TODAY()-HRDataset_v14[[#This Row],[DOB]])/365.25)</f>
        <v>56</v>
      </c>
      <c r="AN33">
        <f ca="1">DATEDIF(HRDataset_v14[[#This Row],[DateofHire]],TODAY(),"Y")</f>
        <v>12</v>
      </c>
      <c r="AO33">
        <f ca="1">IF(ISBLANK(HRDataset_v14[[#This Row],[DateofTermination]]),DATEDIF(HRDataset_v14[[#This Row],[DateofHire]],TODAY(),"Y"),DATEDIF(HRDataset_v14[[#This Row],[DateofHire]],HRDataset_v14[[#This Row],[DateofTermination]],"Y"))</f>
        <v>12</v>
      </c>
      <c r="AP33" t="str">
        <f ca="1">IF(HRDataset_v14[[#This Row],[Tenure in Years
]]&lt;1,"0-1 Year",IF(HRDataset_v14[[#This Row],[Tenure in Years
]]&lt;3,"1-3 Years",IF(HRDataset_v14[[#This Row],[Tenure in Years
]]&lt;5,"3-5 Years",IF(HRDataset_v14[[#This Row],[Tenure in Years
]]&lt;10,"5-10 Years","10+ Years"))))</f>
        <v>10+ Years</v>
      </c>
      <c r="AQ33" t="str">
        <f ca="1">IF(HRDataset_v14[[#This Row],[Age Calculation
]]&lt;26,"18-25",IF(HRDataset_v14[[#This Row],[Age Calculation
]]&lt;36,"26-35",IF(HRDataset_v14[[#This Row],[Age Calculation
]]&lt;46,"36-45",IF(HRDataset_v14[[#This Row],[Age Calculation
]]&lt;56,"46-55","55+"))))</f>
        <v>55+</v>
      </c>
      <c r="AR33" t="str">
        <f>IF(HRDataset_v14[[#This Row],[Salary]]&lt;40000,"Entry (&lt;40K)",IF(HRDataset_v14[[#This Row],[Salary]]&lt;70000,"Mid (40-70K)",IF(HRDataset_v14[[#This Row],[Salary]]&lt;100000,"Senior (70-100K)","Executive (100K+)")))</f>
        <v>Mid (40-70K)</v>
      </c>
      <c r="AS33">
        <f>IF(HRDataset_v14[[#This Row],[EmploymentStatus]]="Active",1,0)</f>
        <v>1</v>
      </c>
      <c r="AT33">
        <f>YEAR(HRDataset_v14[[#This Row],[DateofHire]])</f>
        <v>2013</v>
      </c>
      <c r="AU33">
        <f>MONTH(HRDataset_v14[[#This Row],[DateofHire]])</f>
        <v>11</v>
      </c>
      <c r="AV33" t="str">
        <f>"Q"&amp;ROUNDUP(MONTH(HRDataset_v14[[#This Row],[DateofHire]])/3,0)</f>
        <v>Q4</v>
      </c>
      <c r="AW33" t="str">
        <f>TEXT(HRDataset_v14[[#This Row],[DateofHire]],"MMM")</f>
        <v>Nov</v>
      </c>
      <c r="AX33" t="str">
        <f>TEXT(HRDataset_v14[[#This Row],[DateofHire]],"YYYY-MM")</f>
        <v>2013-11</v>
      </c>
      <c r="AY33" t="str">
        <f>IF(ISBLANK(HRDataset_v14[[#This Row],[DateofTermination]]),"N/A",YEAR(HRDataset_v14[[#This Row],[DateofTermination]]))</f>
        <v>N/A</v>
      </c>
      <c r="AZ33" t="str" cm="1">
        <f t="array" ref="AZ33">INDEX(_xlfn.UNIQUE(Z33:Z343),MATCH(MAX(COUNTIF(Z33:Z343,_xlfn.UNIQUE(Z33:Z343))),COUNTIF(Z33:Z343,_xlfn.UNIQUE(Z33:Z343)),0))</f>
        <v xml:space="preserve">Production       </v>
      </c>
      <c r="BA33">
        <f t="shared" si="6"/>
        <v>50</v>
      </c>
      <c r="BB33">
        <f t="shared" si="7"/>
        <v>0</v>
      </c>
      <c r="BC33" t="str">
        <f t="shared" si="4"/>
        <v>Medium</v>
      </c>
      <c r="BD33">
        <f t="shared" si="9"/>
        <v>3.5</v>
      </c>
      <c r="BE33" t="str">
        <f t="shared" si="8"/>
        <v/>
      </c>
      <c r="BF33" t="s">
        <v>665</v>
      </c>
      <c r="BG33">
        <f>COUNTIFS(Z:Z,"IT/IS",K:K,1)/COUNTIF(Z:Z,"IT/IS")*100</f>
        <v>20</v>
      </c>
      <c r="BH33" t="s">
        <v>756</v>
      </c>
      <c r="BI33">
        <f>COUNTIF(AT:AT,2010)</f>
        <v>9</v>
      </c>
      <c r="BT33">
        <f t="shared" si="5"/>
        <v>3.5</v>
      </c>
      <c r="BV33">
        <v>3.8</v>
      </c>
      <c r="BW33">
        <v>3</v>
      </c>
    </row>
    <row r="34" spans="1:75" x14ac:dyDescent="0.3">
      <c r="A34" t="s">
        <v>168</v>
      </c>
      <c r="B34">
        <v>10188</v>
      </c>
      <c r="C34">
        <v>1</v>
      </c>
      <c r="D34">
        <v>1</v>
      </c>
      <c r="E34">
        <v>0</v>
      </c>
      <c r="F34">
        <v>5</v>
      </c>
      <c r="G34">
        <v>6</v>
      </c>
      <c r="H34">
        <v>3</v>
      </c>
      <c r="I34">
        <v>0</v>
      </c>
      <c r="J34">
        <v>74326</v>
      </c>
      <c r="K34">
        <v>1</v>
      </c>
      <c r="L34">
        <v>3</v>
      </c>
      <c r="M34" t="s">
        <v>169</v>
      </c>
      <c r="N34" t="s">
        <v>170</v>
      </c>
      <c r="O34">
        <v>21851</v>
      </c>
      <c r="P34">
        <v>23529</v>
      </c>
      <c r="Q34" t="s">
        <v>64</v>
      </c>
      <c r="R34" t="s">
        <v>53</v>
      </c>
      <c r="S34" t="s">
        <v>126</v>
      </c>
      <c r="T34" t="s">
        <v>42</v>
      </c>
      <c r="U34" t="s">
        <v>91</v>
      </c>
      <c r="V34">
        <v>40770</v>
      </c>
      <c r="W34">
        <v>41853</v>
      </c>
      <c r="X34" t="s">
        <v>101</v>
      </c>
      <c r="Y34" t="s">
        <v>56</v>
      </c>
      <c r="Z34" t="s">
        <v>171</v>
      </c>
      <c r="AA34" t="s">
        <v>172</v>
      </c>
      <c r="AB34">
        <v>17</v>
      </c>
      <c r="AC34" t="s">
        <v>75</v>
      </c>
      <c r="AD34" t="s">
        <v>60</v>
      </c>
      <c r="AE34">
        <v>3.14</v>
      </c>
      <c r="AF34">
        <v>5</v>
      </c>
      <c r="AG34">
        <v>0</v>
      </c>
      <c r="AH34" t="s">
        <v>173</v>
      </c>
      <c r="AI34">
        <v>1</v>
      </c>
      <c r="AJ34">
        <v>19</v>
      </c>
      <c r="AK34" t="str">
        <f t="shared" si="0"/>
        <v>Normal</v>
      </c>
      <c r="AL34" t="str">
        <f t="shared" si="1"/>
        <v>low Outlier</v>
      </c>
      <c r="AM34">
        <f ca="1">INT((TODAY()-HRDataset_v14[[#This Row],[DOB]])/365.25)</f>
        <v>61</v>
      </c>
      <c r="AN34">
        <f ca="1">DATEDIF(HRDataset_v14[[#This Row],[DateofHire]],TODAY(),"Y")</f>
        <v>14</v>
      </c>
      <c r="AO34">
        <f ca="1">IF(ISBLANK(HRDataset_v14[[#This Row],[DateofTermination]]),DATEDIF(HRDataset_v14[[#This Row],[DateofHire]],TODAY(),"Y"),DATEDIF(HRDataset_v14[[#This Row],[DateofHire]],HRDataset_v14[[#This Row],[DateofTermination]],"Y"))</f>
        <v>2</v>
      </c>
      <c r="AP34" t="str">
        <f ca="1">IF(HRDataset_v14[[#This Row],[Tenure in Years
]]&lt;1,"0-1 Year",IF(HRDataset_v14[[#This Row],[Tenure in Years
]]&lt;3,"1-3 Years",IF(HRDataset_v14[[#This Row],[Tenure in Years
]]&lt;5,"3-5 Years",IF(HRDataset_v14[[#This Row],[Tenure in Years
]]&lt;10,"5-10 Years","10+ Years"))))</f>
        <v>10+ Years</v>
      </c>
      <c r="AQ34" t="str">
        <f ca="1">IF(HRDataset_v14[[#This Row],[Age Calculation
]]&lt;26,"18-25",IF(HRDataset_v14[[#This Row],[Age Calculation
]]&lt;36,"26-35",IF(HRDataset_v14[[#This Row],[Age Calculation
]]&lt;46,"36-45",IF(HRDataset_v14[[#This Row],[Age Calculation
]]&lt;56,"46-55","55+"))))</f>
        <v>55+</v>
      </c>
      <c r="AR34" t="str">
        <f>IF(HRDataset_v14[[#This Row],[Salary]]&lt;40000,"Entry (&lt;40K)",IF(HRDataset_v14[[#This Row],[Salary]]&lt;70000,"Mid (40-70K)",IF(HRDataset_v14[[#This Row],[Salary]]&lt;100000,"Senior (70-100K)","Executive (100K+)")))</f>
        <v>Senior (70-100K)</v>
      </c>
      <c r="AS34">
        <f>IF(HRDataset_v14[[#This Row],[EmploymentStatus]]="Active",1,0)</f>
        <v>0</v>
      </c>
      <c r="AT34">
        <f>YEAR(HRDataset_v14[[#This Row],[DateofHire]])</f>
        <v>2011</v>
      </c>
      <c r="AU34">
        <f>MONTH(HRDataset_v14[[#This Row],[DateofHire]])</f>
        <v>8</v>
      </c>
      <c r="AV34" t="str">
        <f>"Q"&amp;ROUNDUP(MONTH(HRDataset_v14[[#This Row],[DateofHire]])/3,0)</f>
        <v>Q3</v>
      </c>
      <c r="AW34" t="str">
        <f>TEXT(HRDataset_v14[[#This Row],[DateofHire]],"MMM")</f>
        <v>Aug</v>
      </c>
      <c r="AX34" t="str">
        <f>TEXT(HRDataset_v14[[#This Row],[DateofHire]],"YYYY-MM")</f>
        <v>2011-08</v>
      </c>
      <c r="AY34">
        <f>IF(ISBLANK(HRDataset_v14[[#This Row],[DateofTermination]]),"N/A",YEAR(HRDataset_v14[[#This Row],[DateofTermination]]))</f>
        <v>2014</v>
      </c>
      <c r="AZ34" t="str" cm="1">
        <f t="array" ref="AZ34">INDEX(_xlfn.UNIQUE(Z34:Z344),MATCH(MAX(COUNTIF(Z34:Z344,_xlfn.UNIQUE(Z34:Z344))),COUNTIF(Z34:Z344,_xlfn.UNIQUE(Z34:Z344)),0))</f>
        <v xml:space="preserve">Production       </v>
      </c>
      <c r="BA34">
        <f t="shared" si="6"/>
        <v>21.428571428571427</v>
      </c>
      <c r="BB34">
        <f t="shared" si="7"/>
        <v>17</v>
      </c>
      <c r="BC34" t="str">
        <f t="shared" si="4"/>
        <v>Medium</v>
      </c>
      <c r="BD34" t="str">
        <f t="shared" si="9"/>
        <v/>
      </c>
      <c r="BE34">
        <f t="shared" si="8"/>
        <v>3.14</v>
      </c>
      <c r="BF34">
        <f ca="1">COUNTIFS(AM:AM,"&gt;=18",AM:AM,"&lt;=25")</f>
        <v>0</v>
      </c>
      <c r="BG34">
        <f>COUNTIFS(Z:Z,"Sales",K:K,1)/COUNTIF(Z:Z,"Sales")*100</f>
        <v>16.129032258064516</v>
      </c>
      <c r="BH34">
        <f>SUM(J2:J312)</f>
        <v>21465433</v>
      </c>
      <c r="BI34">
        <f>COUNTIF(AT:AT,2011)</f>
        <v>83</v>
      </c>
      <c r="BT34" t="str">
        <f t="shared" si="5"/>
        <v/>
      </c>
      <c r="BV34">
        <v>3</v>
      </c>
      <c r="BW34">
        <v>5</v>
      </c>
    </row>
    <row r="35" spans="1:75" x14ac:dyDescent="0.3">
      <c r="A35" t="s">
        <v>174</v>
      </c>
      <c r="B35">
        <v>10107</v>
      </c>
      <c r="C35">
        <v>0</v>
      </c>
      <c r="D35">
        <v>0</v>
      </c>
      <c r="E35">
        <v>0</v>
      </c>
      <c r="F35">
        <v>1</v>
      </c>
      <c r="G35">
        <v>5</v>
      </c>
      <c r="H35">
        <v>3</v>
      </c>
      <c r="I35">
        <v>0</v>
      </c>
      <c r="J35">
        <v>63763</v>
      </c>
      <c r="K35">
        <v>0</v>
      </c>
      <c r="L35">
        <v>20</v>
      </c>
      <c r="M35" t="s">
        <v>63</v>
      </c>
      <c r="N35" t="s">
        <v>38</v>
      </c>
      <c r="O35">
        <v>2148</v>
      </c>
      <c r="P35">
        <v>29282</v>
      </c>
      <c r="Q35" t="s">
        <v>64</v>
      </c>
      <c r="R35" t="s">
        <v>40</v>
      </c>
      <c r="S35" t="s">
        <v>41</v>
      </c>
      <c r="T35" t="s">
        <v>42</v>
      </c>
      <c r="U35" t="s">
        <v>91</v>
      </c>
      <c r="V35">
        <v>40973</v>
      </c>
      <c r="X35" t="s">
        <v>44</v>
      </c>
      <c r="Y35" t="s">
        <v>45</v>
      </c>
      <c r="Z35" t="s">
        <v>46</v>
      </c>
      <c r="AA35" t="s">
        <v>78</v>
      </c>
      <c r="AB35">
        <v>11</v>
      </c>
      <c r="AC35" t="s">
        <v>88</v>
      </c>
      <c r="AD35" t="s">
        <v>60</v>
      </c>
      <c r="AE35">
        <v>4.51</v>
      </c>
      <c r="AF35">
        <v>4</v>
      </c>
      <c r="AG35">
        <v>0</v>
      </c>
      <c r="AH35" t="s">
        <v>176</v>
      </c>
      <c r="AI35">
        <v>0</v>
      </c>
      <c r="AJ35">
        <v>3</v>
      </c>
      <c r="AK35" t="str">
        <f t="shared" si="0"/>
        <v>Normal</v>
      </c>
      <c r="AL35" t="str">
        <f t="shared" si="1"/>
        <v>low Outlier</v>
      </c>
      <c r="AM35">
        <f ca="1">INT((TODAY()-HRDataset_v14[[#This Row],[DOB]])/365.25)</f>
        <v>46</v>
      </c>
      <c r="AN35">
        <f ca="1">DATEDIF(HRDataset_v14[[#This Row],[DateofHire]],TODAY(),"Y")</f>
        <v>14</v>
      </c>
      <c r="AO35">
        <f ca="1">IF(ISBLANK(HRDataset_v14[[#This Row],[DateofTermination]]),DATEDIF(HRDataset_v14[[#This Row],[DateofHire]],TODAY(),"Y"),DATEDIF(HRDataset_v14[[#This Row],[DateofHire]],HRDataset_v14[[#This Row],[DateofTermination]],"Y"))</f>
        <v>14</v>
      </c>
      <c r="AP35" t="str">
        <f ca="1">IF(HRDataset_v14[[#This Row],[Tenure in Years
]]&lt;1,"0-1 Year",IF(HRDataset_v14[[#This Row],[Tenure in Years
]]&lt;3,"1-3 Years",IF(HRDataset_v14[[#This Row],[Tenure in Years
]]&lt;5,"3-5 Years",IF(HRDataset_v14[[#This Row],[Tenure in Years
]]&lt;10,"5-10 Years","10+ Years"))))</f>
        <v>10+ Years</v>
      </c>
      <c r="AQ35" t="str">
        <f ca="1">IF(HRDataset_v14[[#This Row],[Age Calculation
]]&lt;26,"18-25",IF(HRDataset_v14[[#This Row],[Age Calculation
]]&lt;36,"26-35",IF(HRDataset_v14[[#This Row],[Age Calculation
]]&lt;46,"36-45",IF(HRDataset_v14[[#This Row],[Age Calculation
]]&lt;56,"46-55","55+"))))</f>
        <v>46-55</v>
      </c>
      <c r="AR35" t="str">
        <f>IF(HRDataset_v14[[#This Row],[Salary]]&lt;40000,"Entry (&lt;40K)",IF(HRDataset_v14[[#This Row],[Salary]]&lt;70000,"Mid (40-70K)",IF(HRDataset_v14[[#This Row],[Salary]]&lt;100000,"Senior (70-100K)","Executive (100K+)")))</f>
        <v>Mid (40-70K)</v>
      </c>
      <c r="AS35">
        <f>IF(HRDataset_v14[[#This Row],[EmploymentStatus]]="Active",1,0)</f>
        <v>1</v>
      </c>
      <c r="AT35">
        <f>YEAR(HRDataset_v14[[#This Row],[DateofHire]])</f>
        <v>2012</v>
      </c>
      <c r="AU35">
        <f>MONTH(HRDataset_v14[[#This Row],[DateofHire]])</f>
        <v>3</v>
      </c>
      <c r="AV35" t="str">
        <f>"Q"&amp;ROUNDUP(MONTH(HRDataset_v14[[#This Row],[DateofHire]])/3,0)</f>
        <v>Q1</v>
      </c>
      <c r="AW35" t="str">
        <f>TEXT(HRDataset_v14[[#This Row],[DateofHire]],"MMM")</f>
        <v>Mar</v>
      </c>
      <c r="AX35" t="str">
        <f>TEXT(HRDataset_v14[[#This Row],[DateofHire]],"YYYY-MM")</f>
        <v>2012-03</v>
      </c>
      <c r="AY35" t="str">
        <f>IF(ISBLANK(HRDataset_v14[[#This Row],[DateofTermination]]),"N/A",YEAR(HRDataset_v14[[#This Row],[DateofTermination]]))</f>
        <v>N/A</v>
      </c>
      <c r="AZ35" t="str" cm="1">
        <f t="array" ref="AZ35">INDEX(_xlfn.UNIQUE(Z35:Z345),MATCH(MAX(COUNTIF(Z35:Z345,_xlfn.UNIQUE(Z35:Z345))),COUNTIF(Z35:Z345,_xlfn.UNIQUE(Z35:Z345)),0))</f>
        <v xml:space="preserve">Production       </v>
      </c>
      <c r="BA35">
        <f t="shared" si="6"/>
        <v>68.421052631578945</v>
      </c>
      <c r="BB35">
        <f t="shared" si="7"/>
        <v>0</v>
      </c>
      <c r="BC35" t="str">
        <f t="shared" si="4"/>
        <v>Medium</v>
      </c>
      <c r="BD35">
        <f t="shared" si="9"/>
        <v>4.51</v>
      </c>
      <c r="BE35" t="str">
        <f t="shared" si="8"/>
        <v/>
      </c>
      <c r="BF35">
        <f ca="1">COUNTIFS(AM:AM,"&gt;=26",AM:AM,"&lt;=35")</f>
        <v>11</v>
      </c>
      <c r="BG35">
        <f>COUNTIFS(Z:Z,"*Admin*",K:K,1)/COUNTIF(Z:Z,"*Admin*")*100</f>
        <v>22.222222222222221</v>
      </c>
      <c r="BI35">
        <f>COUNTIF(AT:AT,2012)</f>
        <v>45</v>
      </c>
      <c r="BT35">
        <f t="shared" si="5"/>
        <v>4.51</v>
      </c>
      <c r="BV35">
        <v>3.58</v>
      </c>
      <c r="BW35">
        <v>4.5</v>
      </c>
    </row>
    <row r="36" spans="1:75" x14ac:dyDescent="0.3">
      <c r="A36" t="s">
        <v>177</v>
      </c>
      <c r="B36">
        <v>10181</v>
      </c>
      <c r="C36">
        <v>1</v>
      </c>
      <c r="D36">
        <v>1</v>
      </c>
      <c r="E36">
        <v>1</v>
      </c>
      <c r="F36">
        <v>1</v>
      </c>
      <c r="G36">
        <v>5</v>
      </c>
      <c r="H36">
        <v>3</v>
      </c>
      <c r="I36">
        <v>0</v>
      </c>
      <c r="J36">
        <v>62162</v>
      </c>
      <c r="K36">
        <v>0</v>
      </c>
      <c r="L36">
        <v>20</v>
      </c>
      <c r="M36" t="s">
        <v>63</v>
      </c>
      <c r="N36" t="s">
        <v>38</v>
      </c>
      <c r="O36">
        <v>1890</v>
      </c>
      <c r="P36">
        <v>28356</v>
      </c>
      <c r="Q36" t="s">
        <v>39</v>
      </c>
      <c r="R36" t="s">
        <v>53</v>
      </c>
      <c r="S36" t="s">
        <v>41</v>
      </c>
      <c r="T36" t="s">
        <v>42</v>
      </c>
      <c r="U36" t="s">
        <v>43</v>
      </c>
      <c r="V36">
        <v>40637</v>
      </c>
      <c r="X36" t="s">
        <v>44</v>
      </c>
      <c r="Y36" t="s">
        <v>45</v>
      </c>
      <c r="Z36" t="s">
        <v>46</v>
      </c>
      <c r="AA36" t="s">
        <v>87</v>
      </c>
      <c r="AB36">
        <v>19</v>
      </c>
      <c r="AC36" t="s">
        <v>59</v>
      </c>
      <c r="AD36" t="s">
        <v>60</v>
      </c>
      <c r="AE36">
        <v>3.25</v>
      </c>
      <c r="AF36">
        <v>5</v>
      </c>
      <c r="AG36">
        <v>0</v>
      </c>
      <c r="AH36" t="s">
        <v>124</v>
      </c>
      <c r="AI36">
        <v>0</v>
      </c>
      <c r="AJ36">
        <v>15</v>
      </c>
      <c r="AK36" t="str">
        <f t="shared" si="0"/>
        <v>Normal</v>
      </c>
      <c r="AL36" t="str">
        <f t="shared" si="1"/>
        <v>low Outlier</v>
      </c>
      <c r="AM36">
        <f ca="1">INT((TODAY()-HRDataset_v14[[#This Row],[DOB]])/365.25)</f>
        <v>48</v>
      </c>
      <c r="AN36">
        <f ca="1">DATEDIF(HRDataset_v14[[#This Row],[DateofHire]],TODAY(),"Y")</f>
        <v>14</v>
      </c>
      <c r="AO36">
        <f ca="1">IF(ISBLANK(HRDataset_v14[[#This Row],[DateofTermination]]),DATEDIF(HRDataset_v14[[#This Row],[DateofHire]],TODAY(),"Y"),DATEDIF(HRDataset_v14[[#This Row],[DateofHire]],HRDataset_v14[[#This Row],[DateofTermination]],"Y"))</f>
        <v>14</v>
      </c>
      <c r="AP36" t="str">
        <f ca="1">IF(HRDataset_v14[[#This Row],[Tenure in Years
]]&lt;1,"0-1 Year",IF(HRDataset_v14[[#This Row],[Tenure in Years
]]&lt;3,"1-3 Years",IF(HRDataset_v14[[#This Row],[Tenure in Years
]]&lt;5,"3-5 Years",IF(HRDataset_v14[[#This Row],[Tenure in Years
]]&lt;10,"5-10 Years","10+ Years"))))</f>
        <v>10+ Years</v>
      </c>
      <c r="AQ36" t="str">
        <f ca="1">IF(HRDataset_v14[[#This Row],[Age Calculation
]]&lt;26,"18-25",IF(HRDataset_v14[[#This Row],[Age Calculation
]]&lt;36,"26-35",IF(HRDataset_v14[[#This Row],[Age Calculation
]]&lt;46,"36-45",IF(HRDataset_v14[[#This Row],[Age Calculation
]]&lt;56,"46-55","55+"))))</f>
        <v>46-55</v>
      </c>
      <c r="AR36" t="str">
        <f>IF(HRDataset_v14[[#This Row],[Salary]]&lt;40000,"Entry (&lt;40K)",IF(HRDataset_v14[[#This Row],[Salary]]&lt;70000,"Mid (40-70K)",IF(HRDataset_v14[[#This Row],[Salary]]&lt;100000,"Senior (70-100K)","Executive (100K+)")))</f>
        <v>Mid (40-70K)</v>
      </c>
      <c r="AS36">
        <f>IF(HRDataset_v14[[#This Row],[EmploymentStatus]]="Active",1,0)</f>
        <v>1</v>
      </c>
      <c r="AT36">
        <f>YEAR(HRDataset_v14[[#This Row],[DateofHire]])</f>
        <v>2011</v>
      </c>
      <c r="AU36">
        <f>MONTH(HRDataset_v14[[#This Row],[DateofHire]])</f>
        <v>4</v>
      </c>
      <c r="AV36" t="str">
        <f>"Q"&amp;ROUNDUP(MONTH(HRDataset_v14[[#This Row],[DateofHire]])/3,0)</f>
        <v>Q2</v>
      </c>
      <c r="AW36" t="str">
        <f>TEXT(HRDataset_v14[[#This Row],[DateofHire]],"MMM")</f>
        <v>Apr</v>
      </c>
      <c r="AX36" t="str">
        <f>TEXT(HRDataset_v14[[#This Row],[DateofHire]],"YYYY-MM")</f>
        <v>2011-04</v>
      </c>
      <c r="AY36" t="str">
        <f>IF(ISBLANK(HRDataset_v14[[#This Row],[DateofTermination]]),"N/A",YEAR(HRDataset_v14[[#This Row],[DateofTermination]]))</f>
        <v>N/A</v>
      </c>
      <c r="AZ36" t="str" cm="1">
        <f t="array" ref="AZ36">INDEX(_xlfn.UNIQUE(Z36:Z346),MATCH(MAX(COUNTIF(Z36:Z346,_xlfn.UNIQUE(Z36:Z346))),COUNTIF(Z36:Z346,_xlfn.UNIQUE(Z36:Z346)),0))</f>
        <v xml:space="preserve">Production       </v>
      </c>
      <c r="BA36">
        <f t="shared" si="6"/>
        <v>26.315789473684209</v>
      </c>
      <c r="BB36">
        <f t="shared" si="7"/>
        <v>0</v>
      </c>
      <c r="BC36" t="str">
        <f t="shared" si="4"/>
        <v>Medium</v>
      </c>
      <c r="BD36">
        <f t="shared" si="9"/>
        <v>3.25</v>
      </c>
      <c r="BE36" t="str">
        <f t="shared" si="8"/>
        <v/>
      </c>
      <c r="BF36">
        <f ca="1">COUNTIFS(AM:AM,"&gt;=36",AM:AM,"&lt;=45")</f>
        <v>151</v>
      </c>
      <c r="BG36">
        <f>COUNTIFS(Z:Z,"*Production*",K:K,1)/COUNTIF(Z:Z,"*Production*")*100</f>
        <v>39.71291866028708</v>
      </c>
      <c r="BH36" t="s">
        <v>757</v>
      </c>
      <c r="BI36">
        <f>COUNTIF(AT:AT,2013)</f>
        <v>44</v>
      </c>
      <c r="BT36">
        <f t="shared" si="5"/>
        <v>3.25</v>
      </c>
      <c r="BV36">
        <v>4.7</v>
      </c>
      <c r="BW36">
        <v>4.6399999999999997</v>
      </c>
    </row>
    <row r="37" spans="1:75" x14ac:dyDescent="0.3">
      <c r="A37" t="s">
        <v>178</v>
      </c>
      <c r="B37">
        <v>10150</v>
      </c>
      <c r="C37">
        <v>0</v>
      </c>
      <c r="D37">
        <v>0</v>
      </c>
      <c r="E37">
        <v>1</v>
      </c>
      <c r="F37">
        <v>1</v>
      </c>
      <c r="G37">
        <v>4</v>
      </c>
      <c r="H37">
        <v>3</v>
      </c>
      <c r="I37">
        <v>0</v>
      </c>
      <c r="J37">
        <v>77692</v>
      </c>
      <c r="K37">
        <v>0</v>
      </c>
      <c r="L37">
        <v>25</v>
      </c>
      <c r="M37" t="s">
        <v>179</v>
      </c>
      <c r="N37" t="s">
        <v>38</v>
      </c>
      <c r="O37">
        <v>2184</v>
      </c>
      <c r="P37">
        <v>24433</v>
      </c>
      <c r="Q37" t="s">
        <v>39</v>
      </c>
      <c r="R37" t="s">
        <v>40</v>
      </c>
      <c r="S37" t="s">
        <v>41</v>
      </c>
      <c r="T37" t="s">
        <v>42</v>
      </c>
      <c r="U37" t="s">
        <v>43</v>
      </c>
      <c r="V37">
        <v>40770</v>
      </c>
      <c r="X37" t="s">
        <v>44</v>
      </c>
      <c r="Y37" t="s">
        <v>45</v>
      </c>
      <c r="Z37" t="s">
        <v>82</v>
      </c>
      <c r="AA37" t="s">
        <v>180</v>
      </c>
      <c r="AB37">
        <v>5</v>
      </c>
      <c r="AC37" t="s">
        <v>75</v>
      </c>
      <c r="AD37" t="s">
        <v>60</v>
      </c>
      <c r="AE37">
        <v>3.84</v>
      </c>
      <c r="AF37">
        <v>3</v>
      </c>
      <c r="AG37">
        <v>5</v>
      </c>
      <c r="AH37" t="s">
        <v>167</v>
      </c>
      <c r="AI37">
        <v>0</v>
      </c>
      <c r="AJ37">
        <v>4</v>
      </c>
      <c r="AK37" t="str">
        <f t="shared" si="0"/>
        <v>Normal</v>
      </c>
      <c r="AL37" t="str">
        <f t="shared" si="1"/>
        <v>low Outlier</v>
      </c>
      <c r="AM37">
        <f ca="1">INT((TODAY()-HRDataset_v14[[#This Row],[DOB]])/365.25)</f>
        <v>59</v>
      </c>
      <c r="AN37">
        <f ca="1">DATEDIF(HRDataset_v14[[#This Row],[DateofHire]],TODAY(),"Y")</f>
        <v>14</v>
      </c>
      <c r="AO37">
        <f ca="1">IF(ISBLANK(HRDataset_v14[[#This Row],[DateofTermination]]),DATEDIF(HRDataset_v14[[#This Row],[DateofHire]],TODAY(),"Y"),DATEDIF(HRDataset_v14[[#This Row],[DateofHire]],HRDataset_v14[[#This Row],[DateofTermination]],"Y"))</f>
        <v>14</v>
      </c>
      <c r="AP37" t="str">
        <f ca="1">IF(HRDataset_v14[[#This Row],[Tenure in Years
]]&lt;1,"0-1 Year",IF(HRDataset_v14[[#This Row],[Tenure in Years
]]&lt;3,"1-3 Years",IF(HRDataset_v14[[#This Row],[Tenure in Years
]]&lt;5,"3-5 Years",IF(HRDataset_v14[[#This Row],[Tenure in Years
]]&lt;10,"5-10 Years","10+ Years"))))</f>
        <v>10+ Years</v>
      </c>
      <c r="AQ37" t="str">
        <f ca="1">IF(HRDataset_v14[[#This Row],[Age Calculation
]]&lt;26,"18-25",IF(HRDataset_v14[[#This Row],[Age Calculation
]]&lt;36,"26-35",IF(HRDataset_v14[[#This Row],[Age Calculation
]]&lt;46,"36-45",IF(HRDataset_v14[[#This Row],[Age Calculation
]]&lt;56,"46-55","55+"))))</f>
        <v>55+</v>
      </c>
      <c r="AR37" t="str">
        <f>IF(HRDataset_v14[[#This Row],[Salary]]&lt;40000,"Entry (&lt;40K)",IF(HRDataset_v14[[#This Row],[Salary]]&lt;70000,"Mid (40-70K)",IF(HRDataset_v14[[#This Row],[Salary]]&lt;100000,"Senior (70-100K)","Executive (100K+)")))</f>
        <v>Senior (70-100K)</v>
      </c>
      <c r="AS37">
        <f>IF(HRDataset_v14[[#This Row],[EmploymentStatus]]="Active",1,0)</f>
        <v>1</v>
      </c>
      <c r="AT37">
        <f>YEAR(HRDataset_v14[[#This Row],[DateofHire]])</f>
        <v>2011</v>
      </c>
      <c r="AU37">
        <f>MONTH(HRDataset_v14[[#This Row],[DateofHire]])</f>
        <v>8</v>
      </c>
      <c r="AV37" t="str">
        <f>"Q"&amp;ROUNDUP(MONTH(HRDataset_v14[[#This Row],[DateofHire]])/3,0)</f>
        <v>Q3</v>
      </c>
      <c r="AW37" t="str">
        <f>TEXT(HRDataset_v14[[#This Row],[DateofHire]],"MMM")</f>
        <v>Aug</v>
      </c>
      <c r="AX37" t="str">
        <f>TEXT(HRDataset_v14[[#This Row],[DateofHire]],"YYYY-MM")</f>
        <v>2011-08</v>
      </c>
      <c r="AY37" t="str">
        <f>IF(ISBLANK(HRDataset_v14[[#This Row],[DateofTermination]]),"N/A",YEAR(HRDataset_v14[[#This Row],[DateofTermination]]))</f>
        <v>N/A</v>
      </c>
      <c r="AZ37" t="str" cm="1">
        <f t="array" ref="AZ37">INDEX(_xlfn.UNIQUE(Z37:Z347),MATCH(MAX(COUNTIF(Z37:Z347,_xlfn.UNIQUE(Z37:Z347))),COUNTIF(Z37:Z347,_xlfn.UNIQUE(Z37:Z347)),0))</f>
        <v xml:space="preserve">Production       </v>
      </c>
      <c r="BA37">
        <f t="shared" si="6"/>
        <v>14.285714285714285</v>
      </c>
      <c r="BB37">
        <f t="shared" si="7"/>
        <v>0</v>
      </c>
      <c r="BC37" t="str">
        <f t="shared" si="4"/>
        <v>Medium</v>
      </c>
      <c r="BD37">
        <f t="shared" si="9"/>
        <v>3.84</v>
      </c>
      <c r="BE37" t="str">
        <f t="shared" si="8"/>
        <v/>
      </c>
      <c r="BF37">
        <f ca="1">COUNTIFS(AM:AM,"&gt;=46",AM:AM,"&lt;=55")</f>
        <v>97</v>
      </c>
      <c r="BG37">
        <f>COUNTIFS(Z:Z,"*Executive Office*",K:K,1)/COUNTIF(Z:Z,"*Executive Office*")*100</f>
        <v>0</v>
      </c>
      <c r="BH37">
        <f>AVERAGE(J2:J312)</f>
        <v>69020.684887459807</v>
      </c>
      <c r="BI37">
        <f>COUNTIF(AT:AT,2014)</f>
        <v>60</v>
      </c>
      <c r="BT37">
        <f t="shared" si="5"/>
        <v>3.84</v>
      </c>
      <c r="BV37">
        <v>4.0999999999999996</v>
      </c>
      <c r="BW37">
        <v>5</v>
      </c>
    </row>
    <row r="38" spans="1:75" x14ac:dyDescent="0.3">
      <c r="A38" t="s">
        <v>181</v>
      </c>
      <c r="B38">
        <v>10001</v>
      </c>
      <c r="C38">
        <v>0</v>
      </c>
      <c r="D38">
        <v>0</v>
      </c>
      <c r="E38">
        <v>1</v>
      </c>
      <c r="F38">
        <v>1</v>
      </c>
      <c r="G38">
        <v>5</v>
      </c>
      <c r="H38">
        <v>4</v>
      </c>
      <c r="I38">
        <v>0</v>
      </c>
      <c r="J38">
        <v>72640</v>
      </c>
      <c r="K38">
        <v>0</v>
      </c>
      <c r="L38">
        <v>18</v>
      </c>
      <c r="M38" t="s">
        <v>154</v>
      </c>
      <c r="N38" t="s">
        <v>38</v>
      </c>
      <c r="O38">
        <v>2169</v>
      </c>
      <c r="P38">
        <v>30537</v>
      </c>
      <c r="Q38" t="s">
        <v>39</v>
      </c>
      <c r="R38" t="s">
        <v>40</v>
      </c>
      <c r="S38" t="s">
        <v>41</v>
      </c>
      <c r="T38" t="s">
        <v>42</v>
      </c>
      <c r="U38" t="s">
        <v>43</v>
      </c>
      <c r="V38">
        <v>42397</v>
      </c>
      <c r="X38" t="s">
        <v>44</v>
      </c>
      <c r="Y38" t="s">
        <v>45</v>
      </c>
      <c r="Z38" t="s">
        <v>46</v>
      </c>
      <c r="AA38" t="s">
        <v>156</v>
      </c>
      <c r="AB38">
        <v>2</v>
      </c>
      <c r="AC38" t="s">
        <v>59</v>
      </c>
      <c r="AD38" t="s">
        <v>49</v>
      </c>
      <c r="AE38">
        <v>5</v>
      </c>
      <c r="AF38">
        <v>3</v>
      </c>
      <c r="AG38">
        <v>0</v>
      </c>
      <c r="AH38" t="s">
        <v>182</v>
      </c>
      <c r="AI38">
        <v>0</v>
      </c>
      <c r="AJ38">
        <v>14</v>
      </c>
      <c r="AK38" t="str">
        <f t="shared" si="0"/>
        <v>Normal</v>
      </c>
      <c r="AL38" t="str">
        <f t="shared" si="1"/>
        <v>low Outlier</v>
      </c>
      <c r="AM38">
        <f ca="1">INT((TODAY()-HRDataset_v14[[#This Row],[DOB]])/365.25)</f>
        <v>42</v>
      </c>
      <c r="AN38">
        <f ca="1">DATEDIF(HRDataset_v14[[#This Row],[DateofHire]],TODAY(),"Y")</f>
        <v>10</v>
      </c>
      <c r="AO38">
        <f ca="1">IF(ISBLANK(HRDataset_v14[[#This Row],[DateofTermination]]),DATEDIF(HRDataset_v14[[#This Row],[DateofHire]],TODAY(),"Y"),DATEDIF(HRDataset_v14[[#This Row],[DateofHire]],HRDataset_v14[[#This Row],[DateofTermination]],"Y"))</f>
        <v>10</v>
      </c>
      <c r="AP38" t="str">
        <f ca="1">IF(HRDataset_v14[[#This Row],[Tenure in Years
]]&lt;1,"0-1 Year",IF(HRDataset_v14[[#This Row],[Tenure in Years
]]&lt;3,"1-3 Years",IF(HRDataset_v14[[#This Row],[Tenure in Years
]]&lt;5,"3-5 Years",IF(HRDataset_v14[[#This Row],[Tenure in Years
]]&lt;10,"5-10 Years","10+ Years"))))</f>
        <v>10+ Years</v>
      </c>
      <c r="AQ38" t="str">
        <f ca="1">IF(HRDataset_v14[[#This Row],[Age Calculation
]]&lt;26,"18-25",IF(HRDataset_v14[[#This Row],[Age Calculation
]]&lt;36,"26-35",IF(HRDataset_v14[[#This Row],[Age Calculation
]]&lt;46,"36-45",IF(HRDataset_v14[[#This Row],[Age Calculation
]]&lt;56,"46-55","55+"))))</f>
        <v>36-45</v>
      </c>
      <c r="AR38" t="str">
        <f>IF(HRDataset_v14[[#This Row],[Salary]]&lt;40000,"Entry (&lt;40K)",IF(HRDataset_v14[[#This Row],[Salary]]&lt;70000,"Mid (40-70K)",IF(HRDataset_v14[[#This Row],[Salary]]&lt;100000,"Senior (70-100K)","Executive (100K+)")))</f>
        <v>Senior (70-100K)</v>
      </c>
      <c r="AS38">
        <f>IF(HRDataset_v14[[#This Row],[EmploymentStatus]]="Active",1,0)</f>
        <v>1</v>
      </c>
      <c r="AT38">
        <f>YEAR(HRDataset_v14[[#This Row],[DateofHire]])</f>
        <v>2016</v>
      </c>
      <c r="AU38">
        <f>MONTH(HRDataset_v14[[#This Row],[DateofHire]])</f>
        <v>1</v>
      </c>
      <c r="AV38" t="str">
        <f>"Q"&amp;ROUNDUP(MONTH(HRDataset_v14[[#This Row],[DateofHire]])/3,0)</f>
        <v>Q1</v>
      </c>
      <c r="AW38" t="str">
        <f>TEXT(HRDataset_v14[[#This Row],[DateofHire]],"MMM")</f>
        <v>Jan</v>
      </c>
      <c r="AX38" t="str">
        <f>TEXT(HRDataset_v14[[#This Row],[DateofHire]],"YYYY-MM")</f>
        <v>2016-01</v>
      </c>
      <c r="AY38" t="str">
        <f>IF(ISBLANK(HRDataset_v14[[#This Row],[DateofTermination]]),"N/A",YEAR(HRDataset_v14[[#This Row],[DateofTermination]]))</f>
        <v>N/A</v>
      </c>
      <c r="AZ38" t="str" cm="1">
        <f t="array" ref="AZ38">INDEX(_xlfn.UNIQUE(Z38:Z348),MATCH(MAX(COUNTIF(Z38:Z348,_xlfn.UNIQUE(Z38:Z348))),COUNTIF(Z38:Z348,_xlfn.UNIQUE(Z38:Z348)),0))</f>
        <v xml:space="preserve">Production       </v>
      </c>
      <c r="BA38">
        <f t="shared" si="6"/>
        <v>27.777777777777779</v>
      </c>
      <c r="BB38">
        <f t="shared" si="7"/>
        <v>0</v>
      </c>
      <c r="BC38" t="str">
        <f t="shared" si="4"/>
        <v>Low</v>
      </c>
      <c r="BD38">
        <f t="shared" si="9"/>
        <v>5</v>
      </c>
      <c r="BE38" t="str">
        <f t="shared" si="8"/>
        <v/>
      </c>
      <c r="BF38">
        <f ca="1">COUNTIFS(AM:AM,"&gt;55")</f>
        <v>52</v>
      </c>
      <c r="BG38">
        <f>COUNTIFS(Z:Z,"*Software*",K:K,1)/COUNTIF(Z:Z,"*Software*")*100</f>
        <v>36.363636363636367</v>
      </c>
      <c r="BI38">
        <f>COUNTIF(AT:AT,2015)</f>
        <v>36</v>
      </c>
      <c r="BT38">
        <f t="shared" si="5"/>
        <v>5</v>
      </c>
      <c r="BV38">
        <v>4.4000000000000004</v>
      </c>
      <c r="BW38">
        <v>3.03</v>
      </c>
    </row>
    <row r="39" spans="1:75" x14ac:dyDescent="0.3">
      <c r="A39" t="s">
        <v>183</v>
      </c>
      <c r="B39">
        <v>10085</v>
      </c>
      <c r="C39">
        <v>0</v>
      </c>
      <c r="D39">
        <v>0</v>
      </c>
      <c r="E39">
        <v>0</v>
      </c>
      <c r="F39">
        <v>1</v>
      </c>
      <c r="G39">
        <v>4</v>
      </c>
      <c r="H39">
        <v>3</v>
      </c>
      <c r="I39">
        <v>0</v>
      </c>
      <c r="J39">
        <v>93396</v>
      </c>
      <c r="K39">
        <v>0</v>
      </c>
      <c r="L39">
        <v>24</v>
      </c>
      <c r="M39" t="s">
        <v>81</v>
      </c>
      <c r="N39" t="s">
        <v>38</v>
      </c>
      <c r="O39">
        <v>2132</v>
      </c>
      <c r="P39">
        <v>31872</v>
      </c>
      <c r="Q39" t="s">
        <v>64</v>
      </c>
      <c r="R39" t="s">
        <v>40</v>
      </c>
      <c r="S39" t="s">
        <v>41</v>
      </c>
      <c r="T39" t="s">
        <v>42</v>
      </c>
      <c r="U39" t="s">
        <v>43</v>
      </c>
      <c r="V39">
        <v>41589</v>
      </c>
      <c r="X39" t="s">
        <v>44</v>
      </c>
      <c r="Y39" t="s">
        <v>45</v>
      </c>
      <c r="Z39" t="s">
        <v>82</v>
      </c>
      <c r="AA39" t="s">
        <v>83</v>
      </c>
      <c r="AB39">
        <v>10</v>
      </c>
      <c r="AC39" t="s">
        <v>59</v>
      </c>
      <c r="AD39" t="s">
        <v>60</v>
      </c>
      <c r="AE39">
        <v>4.96</v>
      </c>
      <c r="AF39">
        <v>4</v>
      </c>
      <c r="AG39">
        <v>6</v>
      </c>
      <c r="AH39" t="s">
        <v>184</v>
      </c>
      <c r="AI39">
        <v>0</v>
      </c>
      <c r="AJ39">
        <v>3</v>
      </c>
      <c r="AK39" t="str">
        <f t="shared" si="0"/>
        <v>Normal</v>
      </c>
      <c r="AL39" t="str">
        <f t="shared" si="1"/>
        <v>low Outlier</v>
      </c>
      <c r="AM39">
        <f ca="1">INT((TODAY()-HRDataset_v14[[#This Row],[DOB]])/365.25)</f>
        <v>38</v>
      </c>
      <c r="AN39">
        <f ca="1">DATEDIF(HRDataset_v14[[#This Row],[DateofHire]],TODAY(),"Y")</f>
        <v>12</v>
      </c>
      <c r="AO39">
        <f ca="1">IF(ISBLANK(HRDataset_v14[[#This Row],[DateofTermination]]),DATEDIF(HRDataset_v14[[#This Row],[DateofHire]],TODAY(),"Y"),DATEDIF(HRDataset_v14[[#This Row],[DateofHire]],HRDataset_v14[[#This Row],[DateofTermination]],"Y"))</f>
        <v>12</v>
      </c>
      <c r="AP39" t="str">
        <f ca="1">IF(HRDataset_v14[[#This Row],[Tenure in Years
]]&lt;1,"0-1 Year",IF(HRDataset_v14[[#This Row],[Tenure in Years
]]&lt;3,"1-3 Years",IF(HRDataset_v14[[#This Row],[Tenure in Years
]]&lt;5,"3-5 Years",IF(HRDataset_v14[[#This Row],[Tenure in Years
]]&lt;10,"5-10 Years","10+ Years"))))</f>
        <v>10+ Years</v>
      </c>
      <c r="AQ39" t="str">
        <f ca="1">IF(HRDataset_v14[[#This Row],[Age Calculation
]]&lt;26,"18-25",IF(HRDataset_v14[[#This Row],[Age Calculation
]]&lt;36,"26-35",IF(HRDataset_v14[[#This Row],[Age Calculation
]]&lt;46,"36-45",IF(HRDataset_v14[[#This Row],[Age Calculation
]]&lt;56,"46-55","55+"))))</f>
        <v>36-45</v>
      </c>
      <c r="AR39" t="str">
        <f>IF(HRDataset_v14[[#This Row],[Salary]]&lt;40000,"Entry (&lt;40K)",IF(HRDataset_v14[[#This Row],[Salary]]&lt;70000,"Mid (40-70K)",IF(HRDataset_v14[[#This Row],[Salary]]&lt;100000,"Senior (70-100K)","Executive (100K+)")))</f>
        <v>Senior (70-100K)</v>
      </c>
      <c r="AS39">
        <f>IF(HRDataset_v14[[#This Row],[EmploymentStatus]]="Active",1,0)</f>
        <v>1</v>
      </c>
      <c r="AT39">
        <f>YEAR(HRDataset_v14[[#This Row],[DateofHire]])</f>
        <v>2013</v>
      </c>
      <c r="AU39">
        <f>MONTH(HRDataset_v14[[#This Row],[DateofHire]])</f>
        <v>11</v>
      </c>
      <c r="AV39" t="str">
        <f>"Q"&amp;ROUNDUP(MONTH(HRDataset_v14[[#This Row],[DateofHire]])/3,0)</f>
        <v>Q4</v>
      </c>
      <c r="AW39" t="str">
        <f>TEXT(HRDataset_v14[[#This Row],[DateofHire]],"MMM")</f>
        <v>Nov</v>
      </c>
      <c r="AX39" t="str">
        <f>TEXT(HRDataset_v14[[#This Row],[DateofHire]],"YYYY-MM")</f>
        <v>2013-11</v>
      </c>
      <c r="AY39" t="str">
        <f>IF(ISBLANK(HRDataset_v14[[#This Row],[DateofTermination]]),"N/A",YEAR(HRDataset_v14[[#This Row],[DateofTermination]]))</f>
        <v>N/A</v>
      </c>
      <c r="AZ39" t="str" cm="1">
        <f t="array" ref="AZ39">INDEX(_xlfn.UNIQUE(Z39:Z349),MATCH(MAX(COUNTIF(Z39:Z349,_xlfn.UNIQUE(Z39:Z349))),COUNTIF(Z39:Z349,_xlfn.UNIQUE(Z39:Z349)),0))</f>
        <v xml:space="preserve">Production       </v>
      </c>
      <c r="BA39">
        <f t="shared" si="6"/>
        <v>37.5</v>
      </c>
      <c r="BB39">
        <f t="shared" si="7"/>
        <v>0</v>
      </c>
      <c r="BC39" t="str">
        <f t="shared" si="4"/>
        <v>Medium</v>
      </c>
      <c r="BD39">
        <f t="shared" si="9"/>
        <v>4.96</v>
      </c>
      <c r="BE39" t="str">
        <f t="shared" si="8"/>
        <v/>
      </c>
      <c r="BH39" t="s">
        <v>758</v>
      </c>
      <c r="BI39">
        <f>COUNTIF(AT:AT,2016)</f>
        <v>14</v>
      </c>
      <c r="BT39">
        <f t="shared" si="5"/>
        <v>4.96</v>
      </c>
      <c r="BV39">
        <v>4.13</v>
      </c>
      <c r="BW39">
        <v>3.24</v>
      </c>
    </row>
    <row r="40" spans="1:75" x14ac:dyDescent="0.3">
      <c r="A40" t="s">
        <v>185</v>
      </c>
      <c r="B40">
        <v>10115</v>
      </c>
      <c r="C40">
        <v>0</v>
      </c>
      <c r="D40">
        <v>0</v>
      </c>
      <c r="E40">
        <v>1</v>
      </c>
      <c r="F40">
        <v>1</v>
      </c>
      <c r="G40">
        <v>5</v>
      </c>
      <c r="H40">
        <v>3</v>
      </c>
      <c r="I40">
        <v>0</v>
      </c>
      <c r="J40">
        <v>52846</v>
      </c>
      <c r="K40">
        <v>0</v>
      </c>
      <c r="L40">
        <v>19</v>
      </c>
      <c r="M40" t="s">
        <v>37</v>
      </c>
      <c r="N40" t="s">
        <v>38</v>
      </c>
      <c r="O40">
        <v>1701</v>
      </c>
      <c r="P40">
        <v>30349</v>
      </c>
      <c r="Q40" t="s">
        <v>39</v>
      </c>
      <c r="R40" t="s">
        <v>40</v>
      </c>
      <c r="S40" t="s">
        <v>41</v>
      </c>
      <c r="T40" t="s">
        <v>42</v>
      </c>
      <c r="U40" t="s">
        <v>91</v>
      </c>
      <c r="V40">
        <v>41729</v>
      </c>
      <c r="X40" t="s">
        <v>44</v>
      </c>
      <c r="Y40" t="s">
        <v>45</v>
      </c>
      <c r="Z40" t="s">
        <v>46</v>
      </c>
      <c r="AA40" t="s">
        <v>113</v>
      </c>
      <c r="AB40">
        <v>18</v>
      </c>
      <c r="AC40" t="s">
        <v>48</v>
      </c>
      <c r="AD40" t="s">
        <v>60</v>
      </c>
      <c r="AE40">
        <v>4.43</v>
      </c>
      <c r="AF40">
        <v>3</v>
      </c>
      <c r="AG40">
        <v>0</v>
      </c>
      <c r="AH40" t="s">
        <v>164</v>
      </c>
      <c r="AI40">
        <v>0</v>
      </c>
      <c r="AJ40">
        <v>14</v>
      </c>
      <c r="AK40" t="str">
        <f t="shared" si="0"/>
        <v>Normal</v>
      </c>
      <c r="AL40" t="str">
        <f t="shared" si="1"/>
        <v>low Outlier</v>
      </c>
      <c r="AM40">
        <f ca="1">INT((TODAY()-HRDataset_v14[[#This Row],[DOB]])/365.25)</f>
        <v>43</v>
      </c>
      <c r="AN40">
        <f ca="1">DATEDIF(HRDataset_v14[[#This Row],[DateofHire]],TODAY(),"Y")</f>
        <v>12</v>
      </c>
      <c r="AO40">
        <f ca="1">IF(ISBLANK(HRDataset_v14[[#This Row],[DateofTermination]]),DATEDIF(HRDataset_v14[[#This Row],[DateofHire]],TODAY(),"Y"),DATEDIF(HRDataset_v14[[#This Row],[DateofHire]],HRDataset_v14[[#This Row],[DateofTermination]],"Y"))</f>
        <v>12</v>
      </c>
      <c r="AP40" t="str">
        <f ca="1">IF(HRDataset_v14[[#This Row],[Tenure in Years
]]&lt;1,"0-1 Year",IF(HRDataset_v14[[#This Row],[Tenure in Years
]]&lt;3,"1-3 Years",IF(HRDataset_v14[[#This Row],[Tenure in Years
]]&lt;5,"3-5 Years",IF(HRDataset_v14[[#This Row],[Tenure in Years
]]&lt;10,"5-10 Years","10+ Years"))))</f>
        <v>10+ Years</v>
      </c>
      <c r="AQ40" t="str">
        <f ca="1">IF(HRDataset_v14[[#This Row],[Age Calculation
]]&lt;26,"18-25",IF(HRDataset_v14[[#This Row],[Age Calculation
]]&lt;36,"26-35",IF(HRDataset_v14[[#This Row],[Age Calculation
]]&lt;46,"36-45",IF(HRDataset_v14[[#This Row],[Age Calculation
]]&lt;56,"46-55","55+"))))</f>
        <v>36-45</v>
      </c>
      <c r="AR40" t="str">
        <f>IF(HRDataset_v14[[#This Row],[Salary]]&lt;40000,"Entry (&lt;40K)",IF(HRDataset_v14[[#This Row],[Salary]]&lt;70000,"Mid (40-70K)",IF(HRDataset_v14[[#This Row],[Salary]]&lt;100000,"Senior (70-100K)","Executive (100K+)")))</f>
        <v>Mid (40-70K)</v>
      </c>
      <c r="AS40">
        <f>IF(HRDataset_v14[[#This Row],[EmploymentStatus]]="Active",1,0)</f>
        <v>1</v>
      </c>
      <c r="AT40">
        <f>YEAR(HRDataset_v14[[#This Row],[DateofHire]])</f>
        <v>2014</v>
      </c>
      <c r="AU40">
        <f>MONTH(HRDataset_v14[[#This Row],[DateofHire]])</f>
        <v>3</v>
      </c>
      <c r="AV40" t="str">
        <f>"Q"&amp;ROUNDUP(MONTH(HRDataset_v14[[#This Row],[DateofHire]])/3,0)</f>
        <v>Q1</v>
      </c>
      <c r="AW40" t="str">
        <f>TEXT(HRDataset_v14[[#This Row],[DateofHire]],"MMM")</f>
        <v>Mar</v>
      </c>
      <c r="AX40" t="str">
        <f>TEXT(HRDataset_v14[[#This Row],[DateofHire]],"YYYY-MM")</f>
        <v>2014-03</v>
      </c>
      <c r="AY40" t="str">
        <f>IF(ISBLANK(HRDataset_v14[[#This Row],[DateofTermination]]),"N/A",YEAR(HRDataset_v14[[#This Row],[DateofTermination]]))</f>
        <v>N/A</v>
      </c>
      <c r="AZ40" t="str" cm="1">
        <f t="array" ref="AZ40">INDEX(_xlfn.UNIQUE(Z40:Z350),MATCH(MAX(COUNTIF(Z40:Z350,_xlfn.UNIQUE(Z40:Z350))),COUNTIF(Z40:Z350,_xlfn.UNIQUE(Z40:Z350)),0))</f>
        <v xml:space="preserve">Production       </v>
      </c>
      <c r="BA40">
        <f t="shared" si="6"/>
        <v>26.315789473684209</v>
      </c>
      <c r="BB40">
        <f t="shared" si="7"/>
        <v>0</v>
      </c>
      <c r="BC40" t="str">
        <f t="shared" si="4"/>
        <v>Medium</v>
      </c>
      <c r="BD40">
        <f t="shared" si="9"/>
        <v>4.43</v>
      </c>
      <c r="BE40" t="str">
        <f t="shared" si="8"/>
        <v/>
      </c>
      <c r="BF40" t="s">
        <v>666</v>
      </c>
      <c r="BH40">
        <f>AVERAGEIF(Z2:Z312,"IT/IS",J2:J312)</f>
        <v>97064.639999999999</v>
      </c>
      <c r="BI40">
        <f>COUNTIF(AT:AT,2017)</f>
        <v>6</v>
      </c>
      <c r="BT40">
        <f t="shared" si="5"/>
        <v>4.43</v>
      </c>
      <c r="BV40">
        <v>3.7</v>
      </c>
      <c r="BW40">
        <v>3.72</v>
      </c>
    </row>
    <row r="41" spans="1:75" x14ac:dyDescent="0.3">
      <c r="A41" t="s">
        <v>186</v>
      </c>
      <c r="B41">
        <v>10082</v>
      </c>
      <c r="C41">
        <v>0</v>
      </c>
      <c r="D41">
        <v>0</v>
      </c>
      <c r="E41">
        <v>0</v>
      </c>
      <c r="F41">
        <v>2</v>
      </c>
      <c r="G41">
        <v>3</v>
      </c>
      <c r="H41">
        <v>3</v>
      </c>
      <c r="I41">
        <v>0</v>
      </c>
      <c r="J41">
        <v>100031</v>
      </c>
      <c r="K41">
        <v>0</v>
      </c>
      <c r="L41">
        <v>27</v>
      </c>
      <c r="M41" t="s">
        <v>52</v>
      </c>
      <c r="N41" t="s">
        <v>38</v>
      </c>
      <c r="O41">
        <v>1886</v>
      </c>
      <c r="P41">
        <v>31569</v>
      </c>
      <c r="Q41" t="s">
        <v>64</v>
      </c>
      <c r="R41" t="s">
        <v>40</v>
      </c>
      <c r="S41" t="s">
        <v>41</v>
      </c>
      <c r="T41" t="s">
        <v>42</v>
      </c>
      <c r="U41" t="s">
        <v>91</v>
      </c>
      <c r="V41">
        <v>42551</v>
      </c>
      <c r="X41" t="s">
        <v>44</v>
      </c>
      <c r="Y41" t="s">
        <v>45</v>
      </c>
      <c r="Z41" t="s">
        <v>57</v>
      </c>
      <c r="AA41" t="s">
        <v>58</v>
      </c>
      <c r="AB41">
        <v>4</v>
      </c>
      <c r="AC41" t="s">
        <v>48</v>
      </c>
      <c r="AD41" t="s">
        <v>60</v>
      </c>
      <c r="AE41">
        <v>5</v>
      </c>
      <c r="AF41">
        <v>5</v>
      </c>
      <c r="AG41">
        <v>6</v>
      </c>
      <c r="AH41" t="s">
        <v>98</v>
      </c>
      <c r="AI41">
        <v>0</v>
      </c>
      <c r="AJ41">
        <v>7</v>
      </c>
      <c r="AK41" t="str">
        <f t="shared" si="0"/>
        <v>Normal</v>
      </c>
      <c r="AL41" t="str">
        <f t="shared" si="1"/>
        <v>low Outlier</v>
      </c>
      <c r="AM41">
        <f ca="1">INT((TODAY()-HRDataset_v14[[#This Row],[DOB]])/365.25)</f>
        <v>39</v>
      </c>
      <c r="AN41">
        <f ca="1">DATEDIF(HRDataset_v14[[#This Row],[DateofHire]],TODAY(),"Y")</f>
        <v>9</v>
      </c>
      <c r="AO41">
        <f ca="1">IF(ISBLANK(HRDataset_v14[[#This Row],[DateofTermination]]),DATEDIF(HRDataset_v14[[#This Row],[DateofHire]],TODAY(),"Y"),DATEDIF(HRDataset_v14[[#This Row],[DateofHire]],HRDataset_v14[[#This Row],[DateofTermination]],"Y"))</f>
        <v>9</v>
      </c>
      <c r="AP41" t="str">
        <f ca="1">IF(HRDataset_v14[[#This Row],[Tenure in Years
]]&lt;1,"0-1 Year",IF(HRDataset_v14[[#This Row],[Tenure in Years
]]&lt;3,"1-3 Years",IF(HRDataset_v14[[#This Row],[Tenure in Years
]]&lt;5,"3-5 Years",IF(HRDataset_v14[[#This Row],[Tenure in Years
]]&lt;10,"5-10 Years","10+ Years"))))</f>
        <v>5-10 Years</v>
      </c>
      <c r="AQ41" t="str">
        <f ca="1">IF(HRDataset_v14[[#This Row],[Age Calculation
]]&lt;26,"18-25",IF(HRDataset_v14[[#This Row],[Age Calculation
]]&lt;36,"26-35",IF(HRDataset_v14[[#This Row],[Age Calculation
]]&lt;46,"36-45",IF(HRDataset_v14[[#This Row],[Age Calculation
]]&lt;56,"46-55","55+"))))</f>
        <v>36-45</v>
      </c>
      <c r="AR41" t="str">
        <f>IF(HRDataset_v14[[#This Row],[Salary]]&lt;40000,"Entry (&lt;40K)",IF(HRDataset_v14[[#This Row],[Salary]]&lt;70000,"Mid (40-70K)",IF(HRDataset_v14[[#This Row],[Salary]]&lt;100000,"Senior (70-100K)","Executive (100K+)")))</f>
        <v>Executive (100K+)</v>
      </c>
      <c r="AS41">
        <f>IF(HRDataset_v14[[#This Row],[EmploymentStatus]]="Active",1,0)</f>
        <v>1</v>
      </c>
      <c r="AT41">
        <f>YEAR(HRDataset_v14[[#This Row],[DateofHire]])</f>
        <v>2016</v>
      </c>
      <c r="AU41">
        <f>MONTH(HRDataset_v14[[#This Row],[DateofHire]])</f>
        <v>6</v>
      </c>
      <c r="AV41" t="str">
        <f>"Q"&amp;ROUNDUP(MONTH(HRDataset_v14[[#This Row],[DateofHire]])/3,0)</f>
        <v>Q2</v>
      </c>
      <c r="AW41" t="str">
        <f>TEXT(HRDataset_v14[[#This Row],[DateofHire]],"MMM")</f>
        <v>Jun</v>
      </c>
      <c r="AX41" t="str">
        <f>TEXT(HRDataset_v14[[#This Row],[DateofHire]],"YYYY-MM")</f>
        <v>2016-06</v>
      </c>
      <c r="AY41" t="str">
        <f>IF(ISBLANK(HRDataset_v14[[#This Row],[DateofTermination]]),"N/A",YEAR(HRDataset_v14[[#This Row],[DateofTermination]]))</f>
        <v>N/A</v>
      </c>
      <c r="AZ41" t="str" cm="1">
        <f t="array" ref="AZ41">INDEX(_xlfn.UNIQUE(Z41:Z351),MATCH(MAX(COUNTIF(Z41:Z351,_xlfn.UNIQUE(Z41:Z351))),COUNTIF(Z41:Z351,_xlfn.UNIQUE(Z41:Z351)),0))</f>
        <v xml:space="preserve">Production       </v>
      </c>
      <c r="BA41">
        <f t="shared" si="6"/>
        <v>38.461538461538467</v>
      </c>
      <c r="BB41">
        <f t="shared" si="7"/>
        <v>0</v>
      </c>
      <c r="BC41" t="str">
        <f t="shared" si="4"/>
        <v>Medium</v>
      </c>
      <c r="BD41">
        <f t="shared" si="9"/>
        <v>5</v>
      </c>
      <c r="BE41" t="str">
        <f t="shared" si="8"/>
        <v/>
      </c>
      <c r="BF41">
        <f ca="1">AVERAGEIF(Z:Z,"*IT*",AM:AM)</f>
        <v>45.78</v>
      </c>
      <c r="BG41" t="s">
        <v>738</v>
      </c>
      <c r="BI41">
        <f>COUNTIF(AT:AT,2010)</f>
        <v>9</v>
      </c>
      <c r="BT41">
        <f t="shared" si="5"/>
        <v>5</v>
      </c>
      <c r="BV41">
        <v>4.7300000000000004</v>
      </c>
      <c r="BW41">
        <v>2.34</v>
      </c>
    </row>
    <row r="42" spans="1:75" x14ac:dyDescent="0.3">
      <c r="A42" t="s">
        <v>187</v>
      </c>
      <c r="B42">
        <v>10040</v>
      </c>
      <c r="C42">
        <v>0</v>
      </c>
      <c r="D42">
        <v>0</v>
      </c>
      <c r="E42">
        <v>0</v>
      </c>
      <c r="F42">
        <v>1</v>
      </c>
      <c r="G42">
        <v>6</v>
      </c>
      <c r="H42">
        <v>3</v>
      </c>
      <c r="I42">
        <v>0</v>
      </c>
      <c r="J42">
        <v>71860</v>
      </c>
      <c r="K42">
        <v>0</v>
      </c>
      <c r="L42">
        <v>3</v>
      </c>
      <c r="M42" t="s">
        <v>169</v>
      </c>
      <c r="N42" t="s">
        <v>188</v>
      </c>
      <c r="O42">
        <v>5664</v>
      </c>
      <c r="P42">
        <v>23146</v>
      </c>
      <c r="Q42" t="s">
        <v>64</v>
      </c>
      <c r="R42" t="s">
        <v>40</v>
      </c>
      <c r="S42" t="s">
        <v>41</v>
      </c>
      <c r="T42" t="s">
        <v>42</v>
      </c>
      <c r="U42" t="s">
        <v>43</v>
      </c>
      <c r="V42">
        <v>41869</v>
      </c>
      <c r="X42" t="s">
        <v>44</v>
      </c>
      <c r="Y42" t="s">
        <v>45</v>
      </c>
      <c r="Z42" t="s">
        <v>171</v>
      </c>
      <c r="AA42" t="s">
        <v>172</v>
      </c>
      <c r="AB42">
        <v>17</v>
      </c>
      <c r="AC42" t="s">
        <v>59</v>
      </c>
      <c r="AD42" t="s">
        <v>60</v>
      </c>
      <c r="AE42">
        <v>5</v>
      </c>
      <c r="AF42">
        <v>5</v>
      </c>
      <c r="AG42">
        <v>0</v>
      </c>
      <c r="AH42" t="s">
        <v>167</v>
      </c>
      <c r="AI42">
        <v>0</v>
      </c>
      <c r="AJ42">
        <v>7</v>
      </c>
      <c r="AK42" t="str">
        <f t="shared" si="0"/>
        <v>Normal</v>
      </c>
      <c r="AL42" t="str">
        <f t="shared" si="1"/>
        <v>low Outlier</v>
      </c>
      <c r="AM42">
        <f ca="1">INT((TODAY()-HRDataset_v14[[#This Row],[DOB]])/365.25)</f>
        <v>62</v>
      </c>
      <c r="AN42">
        <f ca="1">DATEDIF(HRDataset_v14[[#This Row],[DateofHire]],TODAY(),"Y")</f>
        <v>11</v>
      </c>
      <c r="AO42">
        <f ca="1">IF(ISBLANK(HRDataset_v14[[#This Row],[DateofTermination]]),DATEDIF(HRDataset_v14[[#This Row],[DateofHire]],TODAY(),"Y"),DATEDIF(HRDataset_v14[[#This Row],[DateofHire]],HRDataset_v14[[#This Row],[DateofTermination]],"Y"))</f>
        <v>11</v>
      </c>
      <c r="AP42" t="str">
        <f ca="1">IF(HRDataset_v14[[#This Row],[Tenure in Years
]]&lt;1,"0-1 Year",IF(HRDataset_v14[[#This Row],[Tenure in Years
]]&lt;3,"1-3 Years",IF(HRDataset_v14[[#This Row],[Tenure in Years
]]&lt;5,"3-5 Years",IF(HRDataset_v14[[#This Row],[Tenure in Years
]]&lt;10,"5-10 Years","10+ Years"))))</f>
        <v>10+ Years</v>
      </c>
      <c r="AQ42" t="str">
        <f ca="1">IF(HRDataset_v14[[#This Row],[Age Calculation
]]&lt;26,"18-25",IF(HRDataset_v14[[#This Row],[Age Calculation
]]&lt;36,"26-35",IF(HRDataset_v14[[#This Row],[Age Calculation
]]&lt;46,"36-45",IF(HRDataset_v14[[#This Row],[Age Calculation
]]&lt;56,"46-55","55+"))))</f>
        <v>55+</v>
      </c>
      <c r="AR42" t="str">
        <f>IF(HRDataset_v14[[#This Row],[Salary]]&lt;40000,"Entry (&lt;40K)",IF(HRDataset_v14[[#This Row],[Salary]]&lt;70000,"Mid (40-70K)",IF(HRDataset_v14[[#This Row],[Salary]]&lt;100000,"Senior (70-100K)","Executive (100K+)")))</f>
        <v>Senior (70-100K)</v>
      </c>
      <c r="AS42">
        <f>IF(HRDataset_v14[[#This Row],[EmploymentStatus]]="Active",1,0)</f>
        <v>1</v>
      </c>
      <c r="AT42">
        <f>YEAR(HRDataset_v14[[#This Row],[DateofHire]])</f>
        <v>2014</v>
      </c>
      <c r="AU42">
        <f>MONTH(HRDataset_v14[[#This Row],[DateofHire]])</f>
        <v>8</v>
      </c>
      <c r="AV42" t="str">
        <f>"Q"&amp;ROUNDUP(MONTH(HRDataset_v14[[#This Row],[DateofHire]])/3,0)</f>
        <v>Q3</v>
      </c>
      <c r="AW42" t="str">
        <f>TEXT(HRDataset_v14[[#This Row],[DateofHire]],"MMM")</f>
        <v>Aug</v>
      </c>
      <c r="AX42" t="str">
        <f>TEXT(HRDataset_v14[[#This Row],[DateofHire]],"YYYY-MM")</f>
        <v>2014-08</v>
      </c>
      <c r="AY42" t="str">
        <f>IF(ISBLANK(HRDataset_v14[[#This Row],[DateofTermination]]),"N/A",YEAR(HRDataset_v14[[#This Row],[DateofTermination]]))</f>
        <v>N/A</v>
      </c>
      <c r="AZ42" t="str" cm="1">
        <f t="array" ref="AZ42">INDEX(_xlfn.UNIQUE(Z42:Z352),MATCH(MAX(COUNTIF(Z42:Z352,_xlfn.UNIQUE(Z42:Z352))),COUNTIF(Z42:Z352,_xlfn.UNIQUE(Z42:Z352)),0))</f>
        <v xml:space="preserve">Production       </v>
      </c>
      <c r="BA42">
        <f t="shared" si="6"/>
        <v>15.384615384615385</v>
      </c>
      <c r="BB42">
        <f t="shared" si="7"/>
        <v>0</v>
      </c>
      <c r="BC42" t="str">
        <f t="shared" si="4"/>
        <v>Medium</v>
      </c>
      <c r="BD42">
        <f t="shared" si="9"/>
        <v>5</v>
      </c>
      <c r="BE42" t="str">
        <f t="shared" si="8"/>
        <v/>
      </c>
      <c r="BF42" t="s">
        <v>667</v>
      </c>
      <c r="BG42">
        <f>COUNTIFS(Q:Q,"*M*",K:K,1)/COUNTIF(Q:Q,"*M*")*100</f>
        <v>32.592592592592595</v>
      </c>
      <c r="BH42" t="s">
        <v>759</v>
      </c>
      <c r="BI42" t="s">
        <v>711</v>
      </c>
      <c r="BT42">
        <f t="shared" si="5"/>
        <v>5</v>
      </c>
      <c r="BV42">
        <v>3.04</v>
      </c>
      <c r="BW42">
        <v>4.7</v>
      </c>
    </row>
    <row r="43" spans="1:75" x14ac:dyDescent="0.3">
      <c r="A43" t="s">
        <v>189</v>
      </c>
      <c r="B43">
        <v>10067</v>
      </c>
      <c r="C43">
        <v>0</v>
      </c>
      <c r="D43">
        <v>0</v>
      </c>
      <c r="E43">
        <v>0</v>
      </c>
      <c r="F43">
        <v>1</v>
      </c>
      <c r="G43">
        <v>5</v>
      </c>
      <c r="H43">
        <v>3</v>
      </c>
      <c r="I43">
        <v>0</v>
      </c>
      <c r="J43">
        <v>61656</v>
      </c>
      <c r="K43">
        <v>0</v>
      </c>
      <c r="L43">
        <v>19</v>
      </c>
      <c r="M43" t="s">
        <v>37</v>
      </c>
      <c r="N43" t="s">
        <v>38</v>
      </c>
      <c r="O43">
        <v>2763</v>
      </c>
      <c r="P43">
        <v>18630</v>
      </c>
      <c r="Q43" t="s">
        <v>64</v>
      </c>
      <c r="R43" t="s">
        <v>40</v>
      </c>
      <c r="S43" t="s">
        <v>41</v>
      </c>
      <c r="T43" t="s">
        <v>42</v>
      </c>
      <c r="U43" t="s">
        <v>43</v>
      </c>
      <c r="V43">
        <v>41911</v>
      </c>
      <c r="X43" t="s">
        <v>44</v>
      </c>
      <c r="Y43" t="s">
        <v>45</v>
      </c>
      <c r="Z43" t="s">
        <v>46</v>
      </c>
      <c r="AA43" t="s">
        <v>47</v>
      </c>
      <c r="AB43">
        <v>22</v>
      </c>
      <c r="AC43" t="s">
        <v>75</v>
      </c>
      <c r="AD43" t="s">
        <v>60</v>
      </c>
      <c r="AE43">
        <v>5</v>
      </c>
      <c r="AF43">
        <v>4</v>
      </c>
      <c r="AG43">
        <v>0</v>
      </c>
      <c r="AH43" t="s">
        <v>190</v>
      </c>
      <c r="AI43">
        <v>0</v>
      </c>
      <c r="AJ43">
        <v>11</v>
      </c>
      <c r="AK43" t="str">
        <f t="shared" si="0"/>
        <v>Normal</v>
      </c>
      <c r="AL43" t="str">
        <f t="shared" si="1"/>
        <v>low Outlier</v>
      </c>
      <c r="AM43">
        <f ca="1">INT((TODAY()-HRDataset_v14[[#This Row],[DOB]])/365.25)</f>
        <v>75</v>
      </c>
      <c r="AN43">
        <f ca="1">DATEDIF(HRDataset_v14[[#This Row],[DateofHire]],TODAY(),"Y")</f>
        <v>11</v>
      </c>
      <c r="AO43">
        <f ca="1">IF(ISBLANK(HRDataset_v14[[#This Row],[DateofTermination]]),DATEDIF(HRDataset_v14[[#This Row],[DateofHire]],TODAY(),"Y"),DATEDIF(HRDataset_v14[[#This Row],[DateofHire]],HRDataset_v14[[#This Row],[DateofTermination]],"Y"))</f>
        <v>11</v>
      </c>
      <c r="AP43" t="str">
        <f ca="1">IF(HRDataset_v14[[#This Row],[Tenure in Years
]]&lt;1,"0-1 Year",IF(HRDataset_v14[[#This Row],[Tenure in Years
]]&lt;3,"1-3 Years",IF(HRDataset_v14[[#This Row],[Tenure in Years
]]&lt;5,"3-5 Years",IF(HRDataset_v14[[#This Row],[Tenure in Years
]]&lt;10,"5-10 Years","10+ Years"))))</f>
        <v>10+ Years</v>
      </c>
      <c r="AQ43" t="str">
        <f ca="1">IF(HRDataset_v14[[#This Row],[Age Calculation
]]&lt;26,"18-25",IF(HRDataset_v14[[#This Row],[Age Calculation
]]&lt;36,"26-35",IF(HRDataset_v14[[#This Row],[Age Calculation
]]&lt;46,"36-45",IF(HRDataset_v14[[#This Row],[Age Calculation
]]&lt;56,"46-55","55+"))))</f>
        <v>55+</v>
      </c>
      <c r="AR43" t="str">
        <f>IF(HRDataset_v14[[#This Row],[Salary]]&lt;40000,"Entry (&lt;40K)",IF(HRDataset_v14[[#This Row],[Salary]]&lt;70000,"Mid (40-70K)",IF(HRDataset_v14[[#This Row],[Salary]]&lt;100000,"Senior (70-100K)","Executive (100K+)")))</f>
        <v>Mid (40-70K)</v>
      </c>
      <c r="AS43">
        <f>IF(HRDataset_v14[[#This Row],[EmploymentStatus]]="Active",1,0)</f>
        <v>1</v>
      </c>
      <c r="AT43">
        <f>YEAR(HRDataset_v14[[#This Row],[DateofHire]])</f>
        <v>2014</v>
      </c>
      <c r="AU43">
        <f>MONTH(HRDataset_v14[[#This Row],[DateofHire]])</f>
        <v>9</v>
      </c>
      <c r="AV43" t="str">
        <f>"Q"&amp;ROUNDUP(MONTH(HRDataset_v14[[#This Row],[DateofHire]])/3,0)</f>
        <v>Q3</v>
      </c>
      <c r="AW43" t="str">
        <f>TEXT(HRDataset_v14[[#This Row],[DateofHire]],"MMM")</f>
        <v>Sep</v>
      </c>
      <c r="AX43" t="str">
        <f>TEXT(HRDataset_v14[[#This Row],[DateofHire]],"YYYY-MM")</f>
        <v>2014-09</v>
      </c>
      <c r="AY43" t="str">
        <f>IF(ISBLANK(HRDataset_v14[[#This Row],[DateofTermination]]),"N/A",YEAR(HRDataset_v14[[#This Row],[DateofTermination]]))</f>
        <v>N/A</v>
      </c>
      <c r="AZ43" t="str" cm="1">
        <f t="array" ref="AZ43">INDEX(_xlfn.UNIQUE(Z43:Z353),MATCH(MAX(COUNTIF(Z43:Z353,_xlfn.UNIQUE(Z43:Z353))),COUNTIF(Z43:Z353,_xlfn.UNIQUE(Z43:Z353)),0))</f>
        <v xml:space="preserve">Production       </v>
      </c>
      <c r="BA43">
        <f t="shared" si="6"/>
        <v>42.105263157894733</v>
      </c>
      <c r="BB43">
        <f t="shared" si="7"/>
        <v>0</v>
      </c>
      <c r="BC43" t="str">
        <f t="shared" si="4"/>
        <v>Medium</v>
      </c>
      <c r="BD43">
        <f t="shared" si="9"/>
        <v>5</v>
      </c>
      <c r="BE43" t="str">
        <f t="shared" si="8"/>
        <v/>
      </c>
      <c r="BF43">
        <f ca="1">AVERAGEIF(Z:Z,"*Sales*",AM:AM)</f>
        <v>46.774193548387096</v>
      </c>
      <c r="BG43">
        <f>COUNTIFS(Q:Q,"*F*",K:K,1)/COUNTIF(Q:Q,"*F*")*100</f>
        <v>34.090909090909086</v>
      </c>
      <c r="BH43" t="s">
        <v>760</v>
      </c>
      <c r="BI43" cm="1">
        <f t="array" ref="BI43">SUMPRODUCT((MONTH(V2:V300)=1)*1)</f>
        <v>50</v>
      </c>
      <c r="BT43">
        <f t="shared" si="5"/>
        <v>5</v>
      </c>
      <c r="BV43">
        <v>4.12</v>
      </c>
      <c r="BW43">
        <v>4</v>
      </c>
    </row>
    <row r="44" spans="1:75" x14ac:dyDescent="0.3">
      <c r="A44" t="s">
        <v>191</v>
      </c>
      <c r="B44">
        <v>10108</v>
      </c>
      <c r="C44">
        <v>1</v>
      </c>
      <c r="D44">
        <v>1</v>
      </c>
      <c r="E44">
        <v>1</v>
      </c>
      <c r="F44">
        <v>1</v>
      </c>
      <c r="G44">
        <v>3</v>
      </c>
      <c r="H44">
        <v>3</v>
      </c>
      <c r="I44">
        <v>0</v>
      </c>
      <c r="J44">
        <v>110929</v>
      </c>
      <c r="K44">
        <v>0</v>
      </c>
      <c r="L44">
        <v>5</v>
      </c>
      <c r="M44" t="s">
        <v>192</v>
      </c>
      <c r="N44" t="s">
        <v>38</v>
      </c>
      <c r="O44">
        <v>2045</v>
      </c>
      <c r="P44">
        <v>26338</v>
      </c>
      <c r="Q44" t="s">
        <v>39</v>
      </c>
      <c r="R44" t="s">
        <v>53</v>
      </c>
      <c r="S44" t="s">
        <v>41</v>
      </c>
      <c r="T44" t="s">
        <v>42</v>
      </c>
      <c r="U44" t="s">
        <v>43</v>
      </c>
      <c r="V44">
        <v>42619</v>
      </c>
      <c r="X44" t="s">
        <v>44</v>
      </c>
      <c r="Y44" t="s">
        <v>45</v>
      </c>
      <c r="Z44" t="s">
        <v>57</v>
      </c>
      <c r="AA44" t="s">
        <v>180</v>
      </c>
      <c r="AB44">
        <v>5</v>
      </c>
      <c r="AC44" t="s">
        <v>59</v>
      </c>
      <c r="AD44" t="s">
        <v>60</v>
      </c>
      <c r="AE44">
        <v>4.5</v>
      </c>
      <c r="AF44">
        <v>5</v>
      </c>
      <c r="AG44">
        <v>7</v>
      </c>
      <c r="AH44" t="s">
        <v>162</v>
      </c>
      <c r="AI44">
        <v>0</v>
      </c>
      <c r="AJ44">
        <v>8</v>
      </c>
      <c r="AK44" t="str">
        <f t="shared" si="0"/>
        <v>Normal</v>
      </c>
      <c r="AL44" t="str">
        <f t="shared" si="1"/>
        <v>low Outlier</v>
      </c>
      <c r="AM44">
        <f ca="1">INT((TODAY()-HRDataset_v14[[#This Row],[DOB]])/365.25)</f>
        <v>54</v>
      </c>
      <c r="AN44">
        <f ca="1">DATEDIF(HRDataset_v14[[#This Row],[DateofHire]],TODAY(),"Y")</f>
        <v>9</v>
      </c>
      <c r="AO44">
        <f ca="1">IF(ISBLANK(HRDataset_v14[[#This Row],[DateofTermination]]),DATEDIF(HRDataset_v14[[#This Row],[DateofHire]],TODAY(),"Y"),DATEDIF(HRDataset_v14[[#This Row],[DateofHire]],HRDataset_v14[[#This Row],[DateofTermination]],"Y"))</f>
        <v>9</v>
      </c>
      <c r="AP44" t="str">
        <f ca="1">IF(HRDataset_v14[[#This Row],[Tenure in Years
]]&lt;1,"0-1 Year",IF(HRDataset_v14[[#This Row],[Tenure in Years
]]&lt;3,"1-3 Years",IF(HRDataset_v14[[#This Row],[Tenure in Years
]]&lt;5,"3-5 Years",IF(HRDataset_v14[[#This Row],[Tenure in Years
]]&lt;10,"5-10 Years","10+ Years"))))</f>
        <v>5-10 Years</v>
      </c>
      <c r="AQ44" t="str">
        <f ca="1">IF(HRDataset_v14[[#This Row],[Age Calculation
]]&lt;26,"18-25",IF(HRDataset_v14[[#This Row],[Age Calculation
]]&lt;36,"26-35",IF(HRDataset_v14[[#This Row],[Age Calculation
]]&lt;46,"36-45",IF(HRDataset_v14[[#This Row],[Age Calculation
]]&lt;56,"46-55","55+"))))</f>
        <v>46-55</v>
      </c>
      <c r="AR44" t="str">
        <f>IF(HRDataset_v14[[#This Row],[Salary]]&lt;40000,"Entry (&lt;40K)",IF(HRDataset_v14[[#This Row],[Salary]]&lt;70000,"Mid (40-70K)",IF(HRDataset_v14[[#This Row],[Salary]]&lt;100000,"Senior (70-100K)","Executive (100K+)")))</f>
        <v>Executive (100K+)</v>
      </c>
      <c r="AS44">
        <f>IF(HRDataset_v14[[#This Row],[EmploymentStatus]]="Active",1,0)</f>
        <v>1</v>
      </c>
      <c r="AT44">
        <f>YEAR(HRDataset_v14[[#This Row],[DateofHire]])</f>
        <v>2016</v>
      </c>
      <c r="AU44">
        <f>MONTH(HRDataset_v14[[#This Row],[DateofHire]])</f>
        <v>9</v>
      </c>
      <c r="AV44" t="str">
        <f>"Q"&amp;ROUNDUP(MONTH(HRDataset_v14[[#This Row],[DateofHire]])/3,0)</f>
        <v>Q3</v>
      </c>
      <c r="AW44" t="str">
        <f>TEXT(HRDataset_v14[[#This Row],[DateofHire]],"MMM")</f>
        <v>Sep</v>
      </c>
      <c r="AX44" t="str">
        <f>TEXT(HRDataset_v14[[#This Row],[DateofHire]],"YYYY-MM")</f>
        <v>2016-09</v>
      </c>
      <c r="AY44" t="str">
        <f>IF(ISBLANK(HRDataset_v14[[#This Row],[DateofTermination]]),"N/A",YEAR(HRDataset_v14[[#This Row],[DateofTermination]]))</f>
        <v>N/A</v>
      </c>
      <c r="AZ44" t="str" cm="1">
        <f t="array" ref="AZ44">INDEX(_xlfn.UNIQUE(Z44:Z354),MATCH(MAX(COUNTIF(Z44:Z354,_xlfn.UNIQUE(Z44:Z354))),COUNTIF(Z44:Z354,_xlfn.UNIQUE(Z44:Z354)),0))</f>
        <v xml:space="preserve">Production       </v>
      </c>
      <c r="BA44">
        <f t="shared" si="6"/>
        <v>16.666666666666664</v>
      </c>
      <c r="BB44">
        <f t="shared" si="7"/>
        <v>0</v>
      </c>
      <c r="BC44" t="str">
        <f t="shared" si="4"/>
        <v>Medium</v>
      </c>
      <c r="BD44">
        <f t="shared" si="9"/>
        <v>4.5</v>
      </c>
      <c r="BE44" t="str">
        <f t="shared" si="8"/>
        <v/>
      </c>
      <c r="BF44" t="s">
        <v>668</v>
      </c>
      <c r="BH44">
        <f>AVERAGEIF(Q2:Q312,"*M*",J2:J312)</f>
        <v>70629.399999999994</v>
      </c>
      <c r="BI44" cm="1">
        <f t="array" ref="BI44">SUMPRODUCT((MONTH(V2:V300)=2)*1)</f>
        <v>31</v>
      </c>
      <c r="BT44">
        <f t="shared" si="5"/>
        <v>4.5</v>
      </c>
      <c r="BV44">
        <v>5</v>
      </c>
      <c r="BW44">
        <v>4.5</v>
      </c>
    </row>
    <row r="45" spans="1:75" x14ac:dyDescent="0.3">
      <c r="A45" t="s">
        <v>193</v>
      </c>
      <c r="B45">
        <v>10210</v>
      </c>
      <c r="C45">
        <v>0</v>
      </c>
      <c r="D45">
        <v>0</v>
      </c>
      <c r="E45">
        <v>0</v>
      </c>
      <c r="F45">
        <v>1</v>
      </c>
      <c r="G45">
        <v>5</v>
      </c>
      <c r="H45">
        <v>3</v>
      </c>
      <c r="I45">
        <v>0</v>
      </c>
      <c r="J45">
        <v>54237</v>
      </c>
      <c r="K45">
        <v>0</v>
      </c>
      <c r="L45">
        <v>19</v>
      </c>
      <c r="M45" t="s">
        <v>37</v>
      </c>
      <c r="N45" t="s">
        <v>38</v>
      </c>
      <c r="O45">
        <v>2170</v>
      </c>
      <c r="P45">
        <v>28898</v>
      </c>
      <c r="Q45" t="s">
        <v>64</v>
      </c>
      <c r="R45" t="s">
        <v>40</v>
      </c>
      <c r="S45" t="s">
        <v>41</v>
      </c>
      <c r="T45" t="s">
        <v>42</v>
      </c>
      <c r="U45" t="s">
        <v>43</v>
      </c>
      <c r="V45">
        <v>41771</v>
      </c>
      <c r="X45" t="s">
        <v>44</v>
      </c>
      <c r="Y45" t="s">
        <v>45</v>
      </c>
      <c r="Z45" t="s">
        <v>46</v>
      </c>
      <c r="AA45" t="s">
        <v>69</v>
      </c>
      <c r="AB45">
        <v>16</v>
      </c>
      <c r="AC45" t="s">
        <v>59</v>
      </c>
      <c r="AD45" t="s">
        <v>60</v>
      </c>
      <c r="AE45">
        <v>3.3</v>
      </c>
      <c r="AF45">
        <v>4</v>
      </c>
      <c r="AG45">
        <v>0</v>
      </c>
      <c r="AH45" t="s">
        <v>194</v>
      </c>
      <c r="AI45">
        <v>0</v>
      </c>
      <c r="AJ45">
        <v>11</v>
      </c>
      <c r="AK45" t="str">
        <f t="shared" si="0"/>
        <v>Normal</v>
      </c>
      <c r="AL45" t="str">
        <f t="shared" si="1"/>
        <v>low Outlier</v>
      </c>
      <c r="AM45">
        <f ca="1">INT((TODAY()-HRDataset_v14[[#This Row],[DOB]])/365.25)</f>
        <v>47</v>
      </c>
      <c r="AN45">
        <f ca="1">DATEDIF(HRDataset_v14[[#This Row],[DateofHire]],TODAY(),"Y")</f>
        <v>11</v>
      </c>
      <c r="AO45">
        <f ca="1">IF(ISBLANK(HRDataset_v14[[#This Row],[DateofTermination]]),DATEDIF(HRDataset_v14[[#This Row],[DateofHire]],TODAY(),"Y"),DATEDIF(HRDataset_v14[[#This Row],[DateofHire]],HRDataset_v14[[#This Row],[DateofTermination]],"Y"))</f>
        <v>11</v>
      </c>
      <c r="AP45" t="str">
        <f ca="1">IF(HRDataset_v14[[#This Row],[Tenure in Years
]]&lt;1,"0-1 Year",IF(HRDataset_v14[[#This Row],[Tenure in Years
]]&lt;3,"1-3 Years",IF(HRDataset_v14[[#This Row],[Tenure in Years
]]&lt;5,"3-5 Years",IF(HRDataset_v14[[#This Row],[Tenure in Years
]]&lt;10,"5-10 Years","10+ Years"))))</f>
        <v>10+ Years</v>
      </c>
      <c r="AQ45" t="str">
        <f ca="1">IF(HRDataset_v14[[#This Row],[Age Calculation
]]&lt;26,"18-25",IF(HRDataset_v14[[#This Row],[Age Calculation
]]&lt;36,"26-35",IF(HRDataset_v14[[#This Row],[Age Calculation
]]&lt;46,"36-45",IF(HRDataset_v14[[#This Row],[Age Calculation
]]&lt;56,"46-55","55+"))))</f>
        <v>46-55</v>
      </c>
      <c r="AR45" t="str">
        <f>IF(HRDataset_v14[[#This Row],[Salary]]&lt;40000,"Entry (&lt;40K)",IF(HRDataset_v14[[#This Row],[Salary]]&lt;70000,"Mid (40-70K)",IF(HRDataset_v14[[#This Row],[Salary]]&lt;100000,"Senior (70-100K)","Executive (100K+)")))</f>
        <v>Mid (40-70K)</v>
      </c>
      <c r="AS45">
        <f>IF(HRDataset_v14[[#This Row],[EmploymentStatus]]="Active",1,0)</f>
        <v>1</v>
      </c>
      <c r="AT45">
        <f>YEAR(HRDataset_v14[[#This Row],[DateofHire]])</f>
        <v>2014</v>
      </c>
      <c r="AU45">
        <f>MONTH(HRDataset_v14[[#This Row],[DateofHire]])</f>
        <v>5</v>
      </c>
      <c r="AV45" t="str">
        <f>"Q"&amp;ROUNDUP(MONTH(HRDataset_v14[[#This Row],[DateofHire]])/3,0)</f>
        <v>Q2</v>
      </c>
      <c r="AW45" t="str">
        <f>TEXT(HRDataset_v14[[#This Row],[DateofHire]],"MMM")</f>
        <v>May</v>
      </c>
      <c r="AX45" t="str">
        <f>TEXT(HRDataset_v14[[#This Row],[DateofHire]],"YYYY-MM")</f>
        <v>2014-05</v>
      </c>
      <c r="AY45" t="str">
        <f>IF(ISBLANK(HRDataset_v14[[#This Row],[DateofTermination]]),"N/A",YEAR(HRDataset_v14[[#This Row],[DateofTermination]]))</f>
        <v>N/A</v>
      </c>
      <c r="AZ45" t="str" cm="1">
        <f t="array" ref="AZ45">INDEX(_xlfn.UNIQUE(Z45:Z355),MATCH(MAX(COUNTIF(Z45:Z355,_xlfn.UNIQUE(Z45:Z355))),COUNTIF(Z45:Z355,_xlfn.UNIQUE(Z45:Z355)),0))</f>
        <v xml:space="preserve">Production       </v>
      </c>
      <c r="BA45">
        <f t="shared" si="6"/>
        <v>36.84210526315789</v>
      </c>
      <c r="BB45">
        <f t="shared" si="7"/>
        <v>0</v>
      </c>
      <c r="BC45" t="str">
        <f t="shared" si="4"/>
        <v>Medium</v>
      </c>
      <c r="BD45">
        <f t="shared" si="9"/>
        <v>3.3</v>
      </c>
      <c r="BE45" t="str">
        <f t="shared" si="8"/>
        <v/>
      </c>
      <c r="BF45">
        <f ca="1">AVERAGEIF(Z:Z,"*Production*",AM:AM)</f>
        <v>47.138755980861241</v>
      </c>
      <c r="BG45" t="s">
        <v>739</v>
      </c>
      <c r="BI45" cm="1">
        <f t="array" ref="BI45">SUMPRODUCT((MONTH(V2:V300)=3)*1)</f>
        <v>17</v>
      </c>
      <c r="BT45">
        <f t="shared" si="5"/>
        <v>3.3</v>
      </c>
      <c r="BV45">
        <v>4.62</v>
      </c>
      <c r="BW45">
        <v>3.6</v>
      </c>
    </row>
    <row r="46" spans="1:75" x14ac:dyDescent="0.3">
      <c r="A46" t="s">
        <v>195</v>
      </c>
      <c r="B46">
        <v>10154</v>
      </c>
      <c r="C46">
        <v>0</v>
      </c>
      <c r="D46">
        <v>0</v>
      </c>
      <c r="E46">
        <v>1</v>
      </c>
      <c r="F46">
        <v>1</v>
      </c>
      <c r="G46">
        <v>5</v>
      </c>
      <c r="H46">
        <v>3</v>
      </c>
      <c r="I46">
        <v>0</v>
      </c>
      <c r="J46">
        <v>60380</v>
      </c>
      <c r="K46">
        <v>0</v>
      </c>
      <c r="L46">
        <v>19</v>
      </c>
      <c r="M46" t="s">
        <v>37</v>
      </c>
      <c r="N46" t="s">
        <v>38</v>
      </c>
      <c r="O46">
        <v>1845</v>
      </c>
      <c r="P46">
        <v>30552</v>
      </c>
      <c r="Q46" t="s">
        <v>39</v>
      </c>
      <c r="R46" t="s">
        <v>40</v>
      </c>
      <c r="S46" t="s">
        <v>41</v>
      </c>
      <c r="T46" t="s">
        <v>42</v>
      </c>
      <c r="U46" t="s">
        <v>43</v>
      </c>
      <c r="V46">
        <v>41463</v>
      </c>
      <c r="X46" t="s">
        <v>44</v>
      </c>
      <c r="Y46" t="s">
        <v>45</v>
      </c>
      <c r="Z46" t="s">
        <v>46</v>
      </c>
      <c r="AA46" t="s">
        <v>74</v>
      </c>
      <c r="AC46" t="s">
        <v>48</v>
      </c>
      <c r="AD46" t="s">
        <v>60</v>
      </c>
      <c r="AE46">
        <v>3.8</v>
      </c>
      <c r="AF46">
        <v>5</v>
      </c>
      <c r="AG46">
        <v>0</v>
      </c>
      <c r="AH46" t="s">
        <v>124</v>
      </c>
      <c r="AI46">
        <v>0</v>
      </c>
      <c r="AJ46">
        <v>4</v>
      </c>
      <c r="AK46" t="str">
        <f t="shared" si="0"/>
        <v>Normal</v>
      </c>
      <c r="AL46" t="str">
        <f t="shared" si="1"/>
        <v>low Outlier</v>
      </c>
      <c r="AM46">
        <f ca="1">INT((TODAY()-HRDataset_v14[[#This Row],[DOB]])/365.25)</f>
        <v>42</v>
      </c>
      <c r="AN46">
        <f ca="1">DATEDIF(HRDataset_v14[[#This Row],[DateofHire]],TODAY(),"Y")</f>
        <v>12</v>
      </c>
      <c r="AO46">
        <f ca="1">IF(ISBLANK(HRDataset_v14[[#This Row],[DateofTermination]]),DATEDIF(HRDataset_v14[[#This Row],[DateofHire]],TODAY(),"Y"),DATEDIF(HRDataset_v14[[#This Row],[DateofHire]],HRDataset_v14[[#This Row],[DateofTermination]],"Y"))</f>
        <v>12</v>
      </c>
      <c r="AP46" t="str">
        <f ca="1">IF(HRDataset_v14[[#This Row],[Tenure in Years
]]&lt;1,"0-1 Year",IF(HRDataset_v14[[#This Row],[Tenure in Years
]]&lt;3,"1-3 Years",IF(HRDataset_v14[[#This Row],[Tenure in Years
]]&lt;5,"3-5 Years",IF(HRDataset_v14[[#This Row],[Tenure in Years
]]&lt;10,"5-10 Years","10+ Years"))))</f>
        <v>10+ Years</v>
      </c>
      <c r="AQ46" t="str">
        <f ca="1">IF(HRDataset_v14[[#This Row],[Age Calculation
]]&lt;26,"18-25",IF(HRDataset_v14[[#This Row],[Age Calculation
]]&lt;36,"26-35",IF(HRDataset_v14[[#This Row],[Age Calculation
]]&lt;46,"36-45",IF(HRDataset_v14[[#This Row],[Age Calculation
]]&lt;56,"46-55","55+"))))</f>
        <v>36-45</v>
      </c>
      <c r="AR46" t="str">
        <f>IF(HRDataset_v14[[#This Row],[Salary]]&lt;40000,"Entry (&lt;40K)",IF(HRDataset_v14[[#This Row],[Salary]]&lt;70000,"Mid (40-70K)",IF(HRDataset_v14[[#This Row],[Salary]]&lt;100000,"Senior (70-100K)","Executive (100K+)")))</f>
        <v>Mid (40-70K)</v>
      </c>
      <c r="AS46">
        <f>IF(HRDataset_v14[[#This Row],[EmploymentStatus]]="Active",1,0)</f>
        <v>1</v>
      </c>
      <c r="AT46">
        <f>YEAR(HRDataset_v14[[#This Row],[DateofHire]])</f>
        <v>2013</v>
      </c>
      <c r="AU46">
        <f>MONTH(HRDataset_v14[[#This Row],[DateofHire]])</f>
        <v>7</v>
      </c>
      <c r="AV46" t="str">
        <f>"Q"&amp;ROUNDUP(MONTH(HRDataset_v14[[#This Row],[DateofHire]])/3,0)</f>
        <v>Q3</v>
      </c>
      <c r="AW46" t="str">
        <f>TEXT(HRDataset_v14[[#This Row],[DateofHire]],"MMM")</f>
        <v>Jul</v>
      </c>
      <c r="AX46" t="str">
        <f>TEXT(HRDataset_v14[[#This Row],[DateofHire]],"YYYY-MM")</f>
        <v>2013-07</v>
      </c>
      <c r="AY46" t="str">
        <f>IF(ISBLANK(HRDataset_v14[[#This Row],[DateofTermination]]),"N/A",YEAR(HRDataset_v14[[#This Row],[DateofTermination]]))</f>
        <v>N/A</v>
      </c>
      <c r="AZ46" t="str" cm="1">
        <f t="array" ref="AZ46">INDEX(_xlfn.UNIQUE(Z46:Z356),MATCH(MAX(COUNTIF(Z46:Z356,_xlfn.UNIQUE(Z46:Z356))),COUNTIF(Z46:Z356,_xlfn.UNIQUE(Z46:Z356)),0))</f>
        <v xml:space="preserve">Production       </v>
      </c>
      <c r="BA46">
        <f t="shared" si="6"/>
        <v>66.666666666666657</v>
      </c>
      <c r="BB46">
        <f t="shared" si="7"/>
        <v>0</v>
      </c>
      <c r="BC46" t="str">
        <f t="shared" si="4"/>
        <v>Medium</v>
      </c>
      <c r="BD46">
        <f t="shared" si="9"/>
        <v>3.8</v>
      </c>
      <c r="BE46" t="str">
        <f t="shared" si="8"/>
        <v/>
      </c>
      <c r="BF46" t="s">
        <v>669</v>
      </c>
      <c r="BG46">
        <f ca="1">COUNTIFS(AQ:AQ,"26-35",K:K,1)/COUNTIF(AQ:AQ,"26-35")*100</f>
        <v>18.181818181818183</v>
      </c>
      <c r="BH46" t="s">
        <v>761</v>
      </c>
      <c r="BI46" cm="1">
        <f t="array" ref="BI46">SUMPRODUCT((MONTH(V2:V300)=4)*1)</f>
        <v>26</v>
      </c>
      <c r="BT46">
        <f t="shared" si="5"/>
        <v>3.8</v>
      </c>
      <c r="BV46">
        <v>3.1</v>
      </c>
      <c r="BW46">
        <v>3.49</v>
      </c>
    </row>
    <row r="47" spans="1:75" x14ac:dyDescent="0.3">
      <c r="A47" t="s">
        <v>196</v>
      </c>
      <c r="B47">
        <v>10200</v>
      </c>
      <c r="C47">
        <v>0</v>
      </c>
      <c r="D47">
        <v>0</v>
      </c>
      <c r="E47">
        <v>1</v>
      </c>
      <c r="F47">
        <v>1</v>
      </c>
      <c r="G47">
        <v>6</v>
      </c>
      <c r="H47">
        <v>3</v>
      </c>
      <c r="I47">
        <v>0</v>
      </c>
      <c r="J47">
        <v>66808</v>
      </c>
      <c r="K47">
        <v>0</v>
      </c>
      <c r="L47">
        <v>3</v>
      </c>
      <c r="M47" t="s">
        <v>169</v>
      </c>
      <c r="N47" t="s">
        <v>109</v>
      </c>
      <c r="O47">
        <v>78207</v>
      </c>
      <c r="P47">
        <v>25730</v>
      </c>
      <c r="Q47" t="s">
        <v>39</v>
      </c>
      <c r="R47" t="s">
        <v>40</v>
      </c>
      <c r="S47" t="s">
        <v>126</v>
      </c>
      <c r="T47" t="s">
        <v>42</v>
      </c>
      <c r="U47" t="s">
        <v>91</v>
      </c>
      <c r="V47">
        <v>41043</v>
      </c>
      <c r="X47" t="s">
        <v>44</v>
      </c>
      <c r="Y47" t="s">
        <v>45</v>
      </c>
      <c r="Z47" t="s">
        <v>171</v>
      </c>
      <c r="AA47" t="s">
        <v>197</v>
      </c>
      <c r="AB47">
        <v>21</v>
      </c>
      <c r="AC47" t="s">
        <v>88</v>
      </c>
      <c r="AD47" t="s">
        <v>60</v>
      </c>
      <c r="AE47">
        <v>3</v>
      </c>
      <c r="AF47">
        <v>5</v>
      </c>
      <c r="AG47">
        <v>0</v>
      </c>
      <c r="AH47" t="s">
        <v>198</v>
      </c>
      <c r="AI47">
        <v>0</v>
      </c>
      <c r="AJ47">
        <v>17</v>
      </c>
      <c r="AK47" t="str">
        <f t="shared" si="0"/>
        <v>Normal</v>
      </c>
      <c r="AL47" t="str">
        <f t="shared" si="1"/>
        <v>low Outlier</v>
      </c>
      <c r="AM47">
        <f ca="1">INT((TODAY()-HRDataset_v14[[#This Row],[DOB]])/365.25)</f>
        <v>55</v>
      </c>
      <c r="AN47">
        <f ca="1">DATEDIF(HRDataset_v14[[#This Row],[DateofHire]],TODAY(),"Y")</f>
        <v>13</v>
      </c>
      <c r="AO47">
        <f ca="1">IF(ISBLANK(HRDataset_v14[[#This Row],[DateofTermination]]),DATEDIF(HRDataset_v14[[#This Row],[DateofHire]],TODAY(),"Y"),DATEDIF(HRDataset_v14[[#This Row],[DateofHire]],HRDataset_v14[[#This Row],[DateofTermination]],"Y"))</f>
        <v>13</v>
      </c>
      <c r="AP47" t="str">
        <f ca="1">IF(HRDataset_v14[[#This Row],[Tenure in Years
]]&lt;1,"0-1 Year",IF(HRDataset_v14[[#This Row],[Tenure in Years
]]&lt;3,"1-3 Years",IF(HRDataset_v14[[#This Row],[Tenure in Years
]]&lt;5,"3-5 Years",IF(HRDataset_v14[[#This Row],[Tenure in Years
]]&lt;10,"5-10 Years","10+ Years"))))</f>
        <v>10+ Years</v>
      </c>
      <c r="AQ47" t="str">
        <f ca="1">IF(HRDataset_v14[[#This Row],[Age Calculation
]]&lt;26,"18-25",IF(HRDataset_v14[[#This Row],[Age Calculation
]]&lt;36,"26-35",IF(HRDataset_v14[[#This Row],[Age Calculation
]]&lt;46,"36-45",IF(HRDataset_v14[[#This Row],[Age Calculation
]]&lt;56,"46-55","55+"))))</f>
        <v>46-55</v>
      </c>
      <c r="AR47" t="str">
        <f>IF(HRDataset_v14[[#This Row],[Salary]]&lt;40000,"Entry (&lt;40K)",IF(HRDataset_v14[[#This Row],[Salary]]&lt;70000,"Mid (40-70K)",IF(HRDataset_v14[[#This Row],[Salary]]&lt;100000,"Senior (70-100K)","Executive (100K+)")))</f>
        <v>Mid (40-70K)</v>
      </c>
      <c r="AS47">
        <f>IF(HRDataset_v14[[#This Row],[EmploymentStatus]]="Active",1,0)</f>
        <v>1</v>
      </c>
      <c r="AT47">
        <f>YEAR(HRDataset_v14[[#This Row],[DateofHire]])</f>
        <v>2012</v>
      </c>
      <c r="AU47">
        <f>MONTH(HRDataset_v14[[#This Row],[DateofHire]])</f>
        <v>5</v>
      </c>
      <c r="AV47" t="str">
        <f>"Q"&amp;ROUNDUP(MONTH(HRDataset_v14[[#This Row],[DateofHire]])/3,0)</f>
        <v>Q2</v>
      </c>
      <c r="AW47" t="str">
        <f>TEXT(HRDataset_v14[[#This Row],[DateofHire]],"MMM")</f>
        <v>May</v>
      </c>
      <c r="AX47" t="str">
        <f>TEXT(HRDataset_v14[[#This Row],[DateofHire]],"YYYY-MM")</f>
        <v>2012-05</v>
      </c>
      <c r="AY47" t="str">
        <f>IF(ISBLANK(HRDataset_v14[[#This Row],[DateofTermination]]),"N/A",YEAR(HRDataset_v14[[#This Row],[DateofTermination]]))</f>
        <v>N/A</v>
      </c>
      <c r="AZ47" t="str" cm="1">
        <f t="array" ref="AZ47">INDEX(_xlfn.UNIQUE(Z47:Z357),MATCH(MAX(COUNTIF(Z47:Z357,_xlfn.UNIQUE(Z47:Z357))),COUNTIF(Z47:Z357,_xlfn.UNIQUE(Z47:Z357)),0))</f>
        <v xml:space="preserve">Production       </v>
      </c>
      <c r="BA47">
        <f t="shared" si="6"/>
        <v>7.6923076923076925</v>
      </c>
      <c r="BB47">
        <f t="shared" si="7"/>
        <v>0</v>
      </c>
      <c r="BC47" t="str">
        <f t="shared" si="4"/>
        <v>Medium</v>
      </c>
      <c r="BD47">
        <f t="shared" si="9"/>
        <v>3</v>
      </c>
      <c r="BE47" t="str">
        <f t="shared" si="8"/>
        <v/>
      </c>
      <c r="BF47">
        <f ca="1">AVERAGEIF(Z:Z,"*Software*",AM:AM)</f>
        <v>43.272727272727273</v>
      </c>
      <c r="BG47">
        <f ca="1">COUNTIFS(AQ:AQ,"36-45",K:K,1)/COUNTIF(AQ:AQ,"36-45")*100</f>
        <v>32.450331125827816</v>
      </c>
      <c r="BH47">
        <f>AVERAGEIF(Q2:Q312,"*F*",J2:J312)</f>
        <v>67786.727272727279</v>
      </c>
      <c r="BI47" cm="1">
        <f t="array" ref="BI47">SUMPRODUCT((MONTH(V2:V300)=5)*1)</f>
        <v>32</v>
      </c>
      <c r="BT47">
        <f t="shared" si="5"/>
        <v>3</v>
      </c>
      <c r="BV47">
        <v>5</v>
      </c>
      <c r="BW47">
        <v>4.78</v>
      </c>
    </row>
    <row r="48" spans="1:75" x14ac:dyDescent="0.3">
      <c r="A48" t="s">
        <v>199</v>
      </c>
      <c r="B48">
        <v>10240</v>
      </c>
      <c r="C48">
        <v>0</v>
      </c>
      <c r="D48">
        <v>0</v>
      </c>
      <c r="E48">
        <v>0</v>
      </c>
      <c r="F48">
        <v>5</v>
      </c>
      <c r="G48">
        <v>5</v>
      </c>
      <c r="H48">
        <v>3</v>
      </c>
      <c r="I48">
        <v>0</v>
      </c>
      <c r="J48">
        <v>64786</v>
      </c>
      <c r="K48">
        <v>1</v>
      </c>
      <c r="L48">
        <v>19</v>
      </c>
      <c r="M48" t="s">
        <v>37</v>
      </c>
      <c r="N48" t="s">
        <v>38</v>
      </c>
      <c r="O48">
        <v>1775</v>
      </c>
      <c r="P48">
        <v>30555</v>
      </c>
      <c r="Q48" t="s">
        <v>64</v>
      </c>
      <c r="R48" t="s">
        <v>40</v>
      </c>
      <c r="S48" t="s">
        <v>41</v>
      </c>
      <c r="T48" t="s">
        <v>42</v>
      </c>
      <c r="U48" t="s">
        <v>43</v>
      </c>
      <c r="V48">
        <v>40721</v>
      </c>
      <c r="W48">
        <v>42323</v>
      </c>
      <c r="X48" t="s">
        <v>200</v>
      </c>
      <c r="Y48" t="s">
        <v>56</v>
      </c>
      <c r="Z48" t="s">
        <v>46</v>
      </c>
      <c r="AA48" t="s">
        <v>78</v>
      </c>
      <c r="AB48">
        <v>11</v>
      </c>
      <c r="AC48" t="s">
        <v>59</v>
      </c>
      <c r="AD48" t="s">
        <v>60</v>
      </c>
      <c r="AE48">
        <v>4.3</v>
      </c>
      <c r="AF48">
        <v>4</v>
      </c>
      <c r="AG48">
        <v>0</v>
      </c>
      <c r="AH48" t="s">
        <v>201</v>
      </c>
      <c r="AI48">
        <v>0</v>
      </c>
      <c r="AJ48">
        <v>3</v>
      </c>
      <c r="AK48" t="str">
        <f t="shared" si="0"/>
        <v>Normal</v>
      </c>
      <c r="AL48" t="str">
        <f t="shared" si="1"/>
        <v>low Outlier</v>
      </c>
      <c r="AM48">
        <f ca="1">INT((TODAY()-HRDataset_v14[[#This Row],[DOB]])/365.25)</f>
        <v>42</v>
      </c>
      <c r="AN48">
        <f ca="1">DATEDIF(HRDataset_v14[[#This Row],[DateofHire]],TODAY(),"Y")</f>
        <v>14</v>
      </c>
      <c r="AO48">
        <f ca="1">IF(ISBLANK(HRDataset_v14[[#This Row],[DateofTermination]]),DATEDIF(HRDataset_v14[[#This Row],[DateofHire]],TODAY(),"Y"),DATEDIF(HRDataset_v14[[#This Row],[DateofHire]],HRDataset_v14[[#This Row],[DateofTermination]],"Y"))</f>
        <v>4</v>
      </c>
      <c r="AP48" t="str">
        <f ca="1">IF(HRDataset_v14[[#This Row],[Tenure in Years
]]&lt;1,"0-1 Year",IF(HRDataset_v14[[#This Row],[Tenure in Years
]]&lt;3,"1-3 Years",IF(HRDataset_v14[[#This Row],[Tenure in Years
]]&lt;5,"3-5 Years",IF(HRDataset_v14[[#This Row],[Tenure in Years
]]&lt;10,"5-10 Years","10+ Years"))))</f>
        <v>10+ Years</v>
      </c>
      <c r="AQ48" t="str">
        <f ca="1">IF(HRDataset_v14[[#This Row],[Age Calculation
]]&lt;26,"18-25",IF(HRDataset_v14[[#This Row],[Age Calculation
]]&lt;36,"26-35",IF(HRDataset_v14[[#This Row],[Age Calculation
]]&lt;46,"36-45",IF(HRDataset_v14[[#This Row],[Age Calculation
]]&lt;56,"46-55","55+"))))</f>
        <v>36-45</v>
      </c>
      <c r="AR48" t="str">
        <f>IF(HRDataset_v14[[#This Row],[Salary]]&lt;40000,"Entry (&lt;40K)",IF(HRDataset_v14[[#This Row],[Salary]]&lt;70000,"Mid (40-70K)",IF(HRDataset_v14[[#This Row],[Salary]]&lt;100000,"Senior (70-100K)","Executive (100K+)")))</f>
        <v>Mid (40-70K)</v>
      </c>
      <c r="AS48">
        <f>IF(HRDataset_v14[[#This Row],[EmploymentStatus]]="Active",1,0)</f>
        <v>0</v>
      </c>
      <c r="AT48">
        <f>YEAR(HRDataset_v14[[#This Row],[DateofHire]])</f>
        <v>2011</v>
      </c>
      <c r="AU48">
        <f>MONTH(HRDataset_v14[[#This Row],[DateofHire]])</f>
        <v>6</v>
      </c>
      <c r="AV48" t="str">
        <f>"Q"&amp;ROUNDUP(MONTH(HRDataset_v14[[#This Row],[DateofHire]])/3,0)</f>
        <v>Q2</v>
      </c>
      <c r="AW48" t="str">
        <f>TEXT(HRDataset_v14[[#This Row],[DateofHire]],"MMM")</f>
        <v>Jun</v>
      </c>
      <c r="AX48" t="str">
        <f>TEXT(HRDataset_v14[[#This Row],[DateofHire]],"YYYY-MM")</f>
        <v>2011-06</v>
      </c>
      <c r="AY48">
        <f>IF(ISBLANK(HRDataset_v14[[#This Row],[DateofTermination]]),"N/A",YEAR(HRDataset_v14[[#This Row],[DateofTermination]]))</f>
        <v>2015</v>
      </c>
      <c r="AZ48" t="str" cm="1">
        <f t="array" ref="AZ48">INDEX(_xlfn.UNIQUE(Z48:Z358),MATCH(MAX(COUNTIF(Z48:Z358,_xlfn.UNIQUE(Z48:Z358))),COUNTIF(Z48:Z358,_xlfn.UNIQUE(Z48:Z358)),0))</f>
        <v xml:space="preserve">Production       </v>
      </c>
      <c r="BA48">
        <f t="shared" si="6"/>
        <v>72.222222222222214</v>
      </c>
      <c r="BB48">
        <f t="shared" si="7"/>
        <v>5</v>
      </c>
      <c r="BC48" t="str">
        <f t="shared" si="4"/>
        <v>Medium</v>
      </c>
      <c r="BD48" t="str">
        <f t="shared" si="9"/>
        <v/>
      </c>
      <c r="BE48">
        <f t="shared" si="8"/>
        <v>4.3</v>
      </c>
      <c r="BF48" t="s">
        <v>670</v>
      </c>
      <c r="BG48">
        <f ca="1">COUNTIFS(AQ:AQ,"46-55",K:K,1)/COUNTIF(AQ:AQ,"46-55")*100</f>
        <v>35.051546391752574</v>
      </c>
      <c r="BH48" t="s">
        <v>762</v>
      </c>
      <c r="BI48" cm="1">
        <f t="array" ref="BI48">SUMPRODUCT((MONTH(V2:V300)=6)*1)</f>
        <v>8</v>
      </c>
      <c r="BT48" t="str">
        <f t="shared" si="5"/>
        <v/>
      </c>
      <c r="BV48">
        <v>3.96</v>
      </c>
      <c r="BW48">
        <v>4.5199999999999996</v>
      </c>
    </row>
    <row r="49" spans="1:75" x14ac:dyDescent="0.3">
      <c r="A49" t="s">
        <v>202</v>
      </c>
      <c r="B49">
        <v>10168</v>
      </c>
      <c r="C49">
        <v>0</v>
      </c>
      <c r="D49">
        <v>0</v>
      </c>
      <c r="E49">
        <v>0</v>
      </c>
      <c r="F49">
        <v>1</v>
      </c>
      <c r="G49">
        <v>5</v>
      </c>
      <c r="H49">
        <v>3</v>
      </c>
      <c r="I49">
        <v>0</v>
      </c>
      <c r="J49">
        <v>64816</v>
      </c>
      <c r="K49">
        <v>0</v>
      </c>
      <c r="L49">
        <v>19</v>
      </c>
      <c r="M49" t="s">
        <v>37</v>
      </c>
      <c r="N49" t="s">
        <v>38</v>
      </c>
      <c r="O49">
        <v>2044</v>
      </c>
      <c r="P49">
        <v>32294</v>
      </c>
      <c r="Q49" t="s">
        <v>64</v>
      </c>
      <c r="R49" t="s">
        <v>40</v>
      </c>
      <c r="S49" t="s">
        <v>203</v>
      </c>
      <c r="T49" t="s">
        <v>42</v>
      </c>
      <c r="U49" t="s">
        <v>91</v>
      </c>
      <c r="V49">
        <v>40819</v>
      </c>
      <c r="X49" t="s">
        <v>44</v>
      </c>
      <c r="Y49" t="s">
        <v>45</v>
      </c>
      <c r="Z49" t="s">
        <v>46</v>
      </c>
      <c r="AA49" t="s">
        <v>87</v>
      </c>
      <c r="AB49">
        <v>19</v>
      </c>
      <c r="AC49" t="s">
        <v>59</v>
      </c>
      <c r="AD49" t="s">
        <v>60</v>
      </c>
      <c r="AE49">
        <v>3.58</v>
      </c>
      <c r="AF49">
        <v>5</v>
      </c>
      <c r="AG49">
        <v>0</v>
      </c>
      <c r="AH49" t="s">
        <v>184</v>
      </c>
      <c r="AI49">
        <v>0</v>
      </c>
      <c r="AJ49">
        <v>3</v>
      </c>
      <c r="AK49" t="str">
        <f t="shared" si="0"/>
        <v>Normal</v>
      </c>
      <c r="AL49" t="str">
        <f t="shared" si="1"/>
        <v>low Outlier</v>
      </c>
      <c r="AM49">
        <f ca="1">INT((TODAY()-HRDataset_v14[[#This Row],[DOB]])/365.25)</f>
        <v>37</v>
      </c>
      <c r="AN49">
        <f ca="1">DATEDIF(HRDataset_v14[[#This Row],[DateofHire]],TODAY(),"Y")</f>
        <v>14</v>
      </c>
      <c r="AO49">
        <f ca="1">IF(ISBLANK(HRDataset_v14[[#This Row],[DateofTermination]]),DATEDIF(HRDataset_v14[[#This Row],[DateofHire]],TODAY(),"Y"),DATEDIF(HRDataset_v14[[#This Row],[DateofHire]],HRDataset_v14[[#This Row],[DateofTermination]],"Y"))</f>
        <v>14</v>
      </c>
      <c r="AP49" t="str">
        <f ca="1">IF(HRDataset_v14[[#This Row],[Tenure in Years
]]&lt;1,"0-1 Year",IF(HRDataset_v14[[#This Row],[Tenure in Years
]]&lt;3,"1-3 Years",IF(HRDataset_v14[[#This Row],[Tenure in Years
]]&lt;5,"3-5 Years",IF(HRDataset_v14[[#This Row],[Tenure in Years
]]&lt;10,"5-10 Years","10+ Years"))))</f>
        <v>10+ Years</v>
      </c>
      <c r="AQ49" t="str">
        <f ca="1">IF(HRDataset_v14[[#This Row],[Age Calculation
]]&lt;26,"18-25",IF(HRDataset_v14[[#This Row],[Age Calculation
]]&lt;36,"26-35",IF(HRDataset_v14[[#This Row],[Age Calculation
]]&lt;46,"36-45",IF(HRDataset_v14[[#This Row],[Age Calculation
]]&lt;56,"46-55","55+"))))</f>
        <v>36-45</v>
      </c>
      <c r="AR49" t="str">
        <f>IF(HRDataset_v14[[#This Row],[Salary]]&lt;40000,"Entry (&lt;40K)",IF(HRDataset_v14[[#This Row],[Salary]]&lt;70000,"Mid (40-70K)",IF(HRDataset_v14[[#This Row],[Salary]]&lt;100000,"Senior (70-100K)","Executive (100K+)")))</f>
        <v>Mid (40-70K)</v>
      </c>
      <c r="AS49">
        <f>IF(HRDataset_v14[[#This Row],[EmploymentStatus]]="Active",1,0)</f>
        <v>1</v>
      </c>
      <c r="AT49">
        <f>YEAR(HRDataset_v14[[#This Row],[DateofHire]])</f>
        <v>2011</v>
      </c>
      <c r="AU49">
        <f>MONTH(HRDataset_v14[[#This Row],[DateofHire]])</f>
        <v>10</v>
      </c>
      <c r="AV49" t="str">
        <f>"Q"&amp;ROUNDUP(MONTH(HRDataset_v14[[#This Row],[DateofHire]])/3,0)</f>
        <v>Q4</v>
      </c>
      <c r="AW49" t="str">
        <f>TEXT(HRDataset_v14[[#This Row],[DateofHire]],"MMM")</f>
        <v>Oct</v>
      </c>
      <c r="AX49" t="str">
        <f>TEXT(HRDataset_v14[[#This Row],[DateofHire]],"YYYY-MM")</f>
        <v>2011-10</v>
      </c>
      <c r="AY49" t="str">
        <f>IF(ISBLANK(HRDataset_v14[[#This Row],[DateofTermination]]),"N/A",YEAR(HRDataset_v14[[#This Row],[DateofTermination]]))</f>
        <v>N/A</v>
      </c>
      <c r="AZ49" t="str" cm="1">
        <f t="array" ref="AZ49">INDEX(_xlfn.UNIQUE(Z49:Z359),MATCH(MAX(COUNTIF(Z49:Z359,_xlfn.UNIQUE(Z49:Z359))),COUNTIF(Z49:Z359,_xlfn.UNIQUE(Z49:Z359)),0))</f>
        <v xml:space="preserve">Production       </v>
      </c>
      <c r="BA49">
        <f t="shared" si="6"/>
        <v>27.777777777777779</v>
      </c>
      <c r="BB49">
        <f t="shared" si="7"/>
        <v>0</v>
      </c>
      <c r="BC49" t="str">
        <f t="shared" si="4"/>
        <v>Medium</v>
      </c>
      <c r="BD49">
        <f t="shared" si="9"/>
        <v>3.58</v>
      </c>
      <c r="BE49" t="str">
        <f t="shared" si="8"/>
        <v/>
      </c>
      <c r="BF49">
        <f ca="1">AVERAGEIF(Z:Z,"*Admin*",AM:AM)</f>
        <v>39.777777777777779</v>
      </c>
      <c r="BG49">
        <f ca="1">COUNTIFS(AQ:AQ,"55+",K:K,1)/COUNTIF(AQ:AQ,"55+")*100</f>
        <v>36.538461538461533</v>
      </c>
      <c r="BH49">
        <f>((BH44-BH47)/BH44)*100</f>
        <v>4.0247725837579189</v>
      </c>
      <c r="BI49" cm="1">
        <f t="array" ref="BI49">SUMPRODUCT((MONTH(V2:V300)=7)*1)</f>
        <v>43</v>
      </c>
      <c r="BT49">
        <f t="shared" si="5"/>
        <v>3.58</v>
      </c>
      <c r="BV49">
        <v>4.3</v>
      </c>
      <c r="BW49">
        <v>4.9000000000000004</v>
      </c>
    </row>
    <row r="50" spans="1:75" x14ac:dyDescent="0.3">
      <c r="A50" t="s">
        <v>204</v>
      </c>
      <c r="B50">
        <v>10220</v>
      </c>
      <c r="C50">
        <v>0</v>
      </c>
      <c r="D50">
        <v>0</v>
      </c>
      <c r="E50">
        <v>1</v>
      </c>
      <c r="F50">
        <v>1</v>
      </c>
      <c r="G50">
        <v>3</v>
      </c>
      <c r="H50">
        <v>3</v>
      </c>
      <c r="I50">
        <v>0</v>
      </c>
      <c r="J50">
        <v>68678</v>
      </c>
      <c r="K50">
        <v>0</v>
      </c>
      <c r="L50">
        <v>14</v>
      </c>
      <c r="M50" t="s">
        <v>96</v>
      </c>
      <c r="N50" t="s">
        <v>38</v>
      </c>
      <c r="O50">
        <v>2170</v>
      </c>
      <c r="P50">
        <v>31295</v>
      </c>
      <c r="Q50" t="s">
        <v>39</v>
      </c>
      <c r="R50" t="s">
        <v>40</v>
      </c>
      <c r="S50" t="s">
        <v>41</v>
      </c>
      <c r="T50" t="s">
        <v>42</v>
      </c>
      <c r="U50" t="s">
        <v>43</v>
      </c>
      <c r="V50">
        <v>41157</v>
      </c>
      <c r="X50" t="s">
        <v>44</v>
      </c>
      <c r="Y50" t="s">
        <v>45</v>
      </c>
      <c r="Z50" t="s">
        <v>57</v>
      </c>
      <c r="AA50" t="s">
        <v>205</v>
      </c>
      <c r="AB50">
        <v>6</v>
      </c>
      <c r="AC50" t="s">
        <v>59</v>
      </c>
      <c r="AD50" t="s">
        <v>60</v>
      </c>
      <c r="AE50">
        <v>4.7</v>
      </c>
      <c r="AF50">
        <v>3</v>
      </c>
      <c r="AG50">
        <v>6</v>
      </c>
      <c r="AH50" t="s">
        <v>138</v>
      </c>
      <c r="AI50">
        <v>0</v>
      </c>
      <c r="AJ50">
        <v>2</v>
      </c>
      <c r="AK50" t="str">
        <f t="shared" si="0"/>
        <v>Normal</v>
      </c>
      <c r="AL50" t="str">
        <f t="shared" si="1"/>
        <v>low Outlier</v>
      </c>
      <c r="AM50">
        <f ca="1">INT((TODAY()-HRDataset_v14[[#This Row],[DOB]])/365.25)</f>
        <v>40</v>
      </c>
      <c r="AN50">
        <f ca="1">DATEDIF(HRDataset_v14[[#This Row],[DateofHire]],TODAY(),"Y")</f>
        <v>13</v>
      </c>
      <c r="AO50">
        <f ca="1">IF(ISBLANK(HRDataset_v14[[#This Row],[DateofTermination]]),DATEDIF(HRDataset_v14[[#This Row],[DateofHire]],TODAY(),"Y"),DATEDIF(HRDataset_v14[[#This Row],[DateofHire]],HRDataset_v14[[#This Row],[DateofTermination]],"Y"))</f>
        <v>13</v>
      </c>
      <c r="AP50" t="str">
        <f ca="1">IF(HRDataset_v14[[#This Row],[Tenure in Years
]]&lt;1,"0-1 Year",IF(HRDataset_v14[[#This Row],[Tenure in Years
]]&lt;3,"1-3 Years",IF(HRDataset_v14[[#This Row],[Tenure in Years
]]&lt;5,"3-5 Years",IF(HRDataset_v14[[#This Row],[Tenure in Years
]]&lt;10,"5-10 Years","10+ Years"))))</f>
        <v>10+ Years</v>
      </c>
      <c r="AQ50" t="str">
        <f ca="1">IF(HRDataset_v14[[#This Row],[Age Calculation
]]&lt;26,"18-25",IF(HRDataset_v14[[#This Row],[Age Calculation
]]&lt;36,"26-35",IF(HRDataset_v14[[#This Row],[Age Calculation
]]&lt;46,"36-45",IF(HRDataset_v14[[#This Row],[Age Calculation
]]&lt;56,"46-55","55+"))))</f>
        <v>36-45</v>
      </c>
      <c r="AR50" t="str">
        <f>IF(HRDataset_v14[[#This Row],[Salary]]&lt;40000,"Entry (&lt;40K)",IF(HRDataset_v14[[#This Row],[Salary]]&lt;70000,"Mid (40-70K)",IF(HRDataset_v14[[#This Row],[Salary]]&lt;100000,"Senior (70-100K)","Executive (100K+)")))</f>
        <v>Mid (40-70K)</v>
      </c>
      <c r="AS50">
        <f>IF(HRDataset_v14[[#This Row],[EmploymentStatus]]="Active",1,0)</f>
        <v>1</v>
      </c>
      <c r="AT50">
        <f>YEAR(HRDataset_v14[[#This Row],[DateofHire]])</f>
        <v>2012</v>
      </c>
      <c r="AU50">
        <f>MONTH(HRDataset_v14[[#This Row],[DateofHire]])</f>
        <v>9</v>
      </c>
      <c r="AV50" t="str">
        <f>"Q"&amp;ROUNDUP(MONTH(HRDataset_v14[[#This Row],[DateofHire]])/3,0)</f>
        <v>Q3</v>
      </c>
      <c r="AW50" t="str">
        <f>TEXT(HRDataset_v14[[#This Row],[DateofHire]],"MMM")</f>
        <v>Sep</v>
      </c>
      <c r="AX50" t="str">
        <f>TEXT(HRDataset_v14[[#This Row],[DateofHire]],"YYYY-MM")</f>
        <v>2012-09</v>
      </c>
      <c r="AY50" t="str">
        <f>IF(ISBLANK(HRDataset_v14[[#This Row],[DateofTermination]]),"N/A",YEAR(HRDataset_v14[[#This Row],[DateofTermination]]))</f>
        <v>N/A</v>
      </c>
      <c r="AZ50" t="str" cm="1">
        <f t="array" ref="AZ50">INDEX(_xlfn.UNIQUE(Z50:Z360),MATCH(MAX(COUNTIF(Z50:Z360,_xlfn.UNIQUE(Z50:Z360))),COUNTIF(Z50:Z360,_xlfn.UNIQUE(Z50:Z360)),0))</f>
        <v xml:space="preserve">Production       </v>
      </c>
      <c r="BA50">
        <f t="shared" si="6"/>
        <v>0</v>
      </c>
      <c r="BB50">
        <f t="shared" si="7"/>
        <v>0</v>
      </c>
      <c r="BC50" t="str">
        <f t="shared" si="4"/>
        <v>Medium</v>
      </c>
      <c r="BD50">
        <f t="shared" si="9"/>
        <v>4.7</v>
      </c>
      <c r="BE50" t="str">
        <f t="shared" si="8"/>
        <v/>
      </c>
      <c r="BF50" t="s">
        <v>671</v>
      </c>
      <c r="BH50" t="s">
        <v>763</v>
      </c>
      <c r="BI50" cm="1">
        <f t="array" ref="BI50">SUMPRODUCT((MONTH(V2:V300)=8)*1)</f>
        <v>20</v>
      </c>
      <c r="BT50">
        <f t="shared" si="5"/>
        <v>4.7</v>
      </c>
      <c r="BV50">
        <v>3.79</v>
      </c>
      <c r="BW50">
        <v>4.88</v>
      </c>
    </row>
    <row r="51" spans="1:75" x14ac:dyDescent="0.3">
      <c r="A51" t="s">
        <v>206</v>
      </c>
      <c r="B51">
        <v>10275</v>
      </c>
      <c r="C51">
        <v>1</v>
      </c>
      <c r="D51">
        <v>1</v>
      </c>
      <c r="E51">
        <v>0</v>
      </c>
      <c r="F51">
        <v>5</v>
      </c>
      <c r="G51">
        <v>5</v>
      </c>
      <c r="H51">
        <v>3</v>
      </c>
      <c r="I51">
        <v>0</v>
      </c>
      <c r="J51">
        <v>64066</v>
      </c>
      <c r="K51">
        <v>1</v>
      </c>
      <c r="L51">
        <v>20</v>
      </c>
      <c r="M51" t="s">
        <v>63</v>
      </c>
      <c r="N51" t="s">
        <v>38</v>
      </c>
      <c r="O51">
        <v>1752</v>
      </c>
      <c r="P51">
        <v>29829</v>
      </c>
      <c r="Q51" t="s">
        <v>64</v>
      </c>
      <c r="R51" t="s">
        <v>53</v>
      </c>
      <c r="S51" t="s">
        <v>41</v>
      </c>
      <c r="T51" t="s">
        <v>42</v>
      </c>
      <c r="U51" t="s">
        <v>43</v>
      </c>
      <c r="V51">
        <v>40679</v>
      </c>
      <c r="W51">
        <v>41281</v>
      </c>
      <c r="X51" t="s">
        <v>105</v>
      </c>
      <c r="Y51" t="s">
        <v>56</v>
      </c>
      <c r="Z51" t="s">
        <v>46</v>
      </c>
      <c r="AA51" t="s">
        <v>92</v>
      </c>
      <c r="AB51">
        <v>12</v>
      </c>
      <c r="AC51" t="s">
        <v>75</v>
      </c>
      <c r="AD51" t="s">
        <v>60</v>
      </c>
      <c r="AE51">
        <v>4.2</v>
      </c>
      <c r="AF51">
        <v>5</v>
      </c>
      <c r="AG51">
        <v>0</v>
      </c>
      <c r="AH51" t="s">
        <v>207</v>
      </c>
      <c r="AI51">
        <v>0</v>
      </c>
      <c r="AJ51">
        <v>9</v>
      </c>
      <c r="AK51" t="str">
        <f t="shared" si="0"/>
        <v>Normal</v>
      </c>
      <c r="AL51" t="str">
        <f t="shared" si="1"/>
        <v>low Outlier</v>
      </c>
      <c r="AM51">
        <f ca="1">INT((TODAY()-HRDataset_v14[[#This Row],[DOB]])/365.25)</f>
        <v>44</v>
      </c>
      <c r="AN51">
        <f ca="1">DATEDIF(HRDataset_v14[[#This Row],[DateofHire]],TODAY(),"Y")</f>
        <v>14</v>
      </c>
      <c r="AO51">
        <f ca="1">IF(ISBLANK(HRDataset_v14[[#This Row],[DateofTermination]]),DATEDIF(HRDataset_v14[[#This Row],[DateofHire]],TODAY(),"Y"),DATEDIF(HRDataset_v14[[#This Row],[DateofHire]],HRDataset_v14[[#This Row],[DateofTermination]],"Y"))</f>
        <v>1</v>
      </c>
      <c r="AP51" t="str">
        <f ca="1">IF(HRDataset_v14[[#This Row],[Tenure in Years
]]&lt;1,"0-1 Year",IF(HRDataset_v14[[#This Row],[Tenure in Years
]]&lt;3,"1-3 Years",IF(HRDataset_v14[[#This Row],[Tenure in Years
]]&lt;5,"3-5 Years",IF(HRDataset_v14[[#This Row],[Tenure in Years
]]&lt;10,"5-10 Years","10+ Years"))))</f>
        <v>10+ Years</v>
      </c>
      <c r="AQ51" t="str">
        <f ca="1">IF(HRDataset_v14[[#This Row],[Age Calculation
]]&lt;26,"18-25",IF(HRDataset_v14[[#This Row],[Age Calculation
]]&lt;36,"26-35",IF(HRDataset_v14[[#This Row],[Age Calculation
]]&lt;46,"36-45",IF(HRDataset_v14[[#This Row],[Age Calculation
]]&lt;56,"46-55","55+"))))</f>
        <v>36-45</v>
      </c>
      <c r="AR51" t="str">
        <f>IF(HRDataset_v14[[#This Row],[Salary]]&lt;40000,"Entry (&lt;40K)",IF(HRDataset_v14[[#This Row],[Salary]]&lt;70000,"Mid (40-70K)",IF(HRDataset_v14[[#This Row],[Salary]]&lt;100000,"Senior (70-100K)","Executive (100K+)")))</f>
        <v>Mid (40-70K)</v>
      </c>
      <c r="AS51">
        <f>IF(HRDataset_v14[[#This Row],[EmploymentStatus]]="Active",1,0)</f>
        <v>0</v>
      </c>
      <c r="AT51">
        <f>YEAR(HRDataset_v14[[#This Row],[DateofHire]])</f>
        <v>2011</v>
      </c>
      <c r="AU51">
        <f>MONTH(HRDataset_v14[[#This Row],[DateofHire]])</f>
        <v>5</v>
      </c>
      <c r="AV51" t="str">
        <f>"Q"&amp;ROUNDUP(MONTH(HRDataset_v14[[#This Row],[DateofHire]])/3,0)</f>
        <v>Q2</v>
      </c>
      <c r="AW51" t="str">
        <f>TEXT(HRDataset_v14[[#This Row],[DateofHire]],"MMM")</f>
        <v>May</v>
      </c>
      <c r="AX51" t="str">
        <f>TEXT(HRDataset_v14[[#This Row],[DateofHire]],"YYYY-MM")</f>
        <v>2011-05</v>
      </c>
      <c r="AY51">
        <f>IF(ISBLANK(HRDataset_v14[[#This Row],[DateofTermination]]),"N/A",YEAR(HRDataset_v14[[#This Row],[DateofTermination]]))</f>
        <v>2013</v>
      </c>
      <c r="AZ51" t="str" cm="1">
        <f t="array" ref="AZ51">INDEX(_xlfn.UNIQUE(Z51:Z361),MATCH(MAX(COUNTIF(Z51:Z361,_xlfn.UNIQUE(Z51:Z361))),COUNTIF(Z51:Z361,_xlfn.UNIQUE(Z51:Z361)),0))</f>
        <v xml:space="preserve">Production       </v>
      </c>
      <c r="BA51">
        <f t="shared" si="6"/>
        <v>30</v>
      </c>
      <c r="BB51">
        <f t="shared" si="7"/>
        <v>13</v>
      </c>
      <c r="BC51" t="str">
        <f t="shared" si="4"/>
        <v>Medium</v>
      </c>
      <c r="BD51" t="str">
        <f t="shared" si="9"/>
        <v/>
      </c>
      <c r="BE51">
        <f t="shared" si="8"/>
        <v>4.2</v>
      </c>
      <c r="BF51">
        <f ca="1">AVERAGEIF(Z:Z,"*Executive*",AM:AM)</f>
        <v>71</v>
      </c>
      <c r="BG51" t="s">
        <v>740</v>
      </c>
      <c r="BH51">
        <f>CORREL(J2:J312,H2:H312)</f>
        <v>0.13090258231751914</v>
      </c>
      <c r="BI51" cm="1">
        <f t="array" ref="BI51">SUMPRODUCT((MONTH(V2:V300)=9)*1)</f>
        <v>36</v>
      </c>
      <c r="BT51" t="str">
        <f t="shared" si="5"/>
        <v/>
      </c>
      <c r="BV51">
        <v>1.93</v>
      </c>
      <c r="BW51">
        <v>3.18</v>
      </c>
    </row>
    <row r="52" spans="1:75" x14ac:dyDescent="0.3">
      <c r="A52" t="s">
        <v>208</v>
      </c>
      <c r="B52">
        <v>10269</v>
      </c>
      <c r="C52">
        <v>1</v>
      </c>
      <c r="D52">
        <v>1</v>
      </c>
      <c r="E52">
        <v>1</v>
      </c>
      <c r="F52">
        <v>5</v>
      </c>
      <c r="G52">
        <v>5</v>
      </c>
      <c r="H52">
        <v>3</v>
      </c>
      <c r="I52">
        <v>0</v>
      </c>
      <c r="J52">
        <v>59369</v>
      </c>
      <c r="K52">
        <v>1</v>
      </c>
      <c r="L52">
        <v>20</v>
      </c>
      <c r="M52" t="s">
        <v>63</v>
      </c>
      <c r="N52" t="s">
        <v>38</v>
      </c>
      <c r="O52">
        <v>2169</v>
      </c>
      <c r="P52">
        <v>28819</v>
      </c>
      <c r="Q52" t="s">
        <v>39</v>
      </c>
      <c r="R52" t="s">
        <v>53</v>
      </c>
      <c r="S52" t="s">
        <v>41</v>
      </c>
      <c r="T52" t="s">
        <v>42</v>
      </c>
      <c r="U52" t="s">
        <v>43</v>
      </c>
      <c r="V52">
        <v>40420</v>
      </c>
      <c r="W52">
        <v>40812</v>
      </c>
      <c r="X52" t="s">
        <v>55</v>
      </c>
      <c r="Y52" t="s">
        <v>56</v>
      </c>
      <c r="Z52" t="s">
        <v>46</v>
      </c>
      <c r="AA52" t="s">
        <v>102</v>
      </c>
      <c r="AB52">
        <v>14</v>
      </c>
      <c r="AC52" t="s">
        <v>59</v>
      </c>
      <c r="AD52" t="s">
        <v>60</v>
      </c>
      <c r="AE52">
        <v>4.2</v>
      </c>
      <c r="AF52">
        <v>4</v>
      </c>
      <c r="AG52">
        <v>0</v>
      </c>
      <c r="AH52" t="s">
        <v>209</v>
      </c>
      <c r="AI52">
        <v>0</v>
      </c>
      <c r="AJ52">
        <v>6</v>
      </c>
      <c r="AK52" t="str">
        <f t="shared" si="0"/>
        <v>Normal</v>
      </c>
      <c r="AL52" t="str">
        <f t="shared" si="1"/>
        <v>low Outlier</v>
      </c>
      <c r="AM52">
        <f ca="1">INT((TODAY()-HRDataset_v14[[#This Row],[DOB]])/365.25)</f>
        <v>47</v>
      </c>
      <c r="AN52">
        <f ca="1">DATEDIF(HRDataset_v14[[#This Row],[DateofHire]],TODAY(),"Y")</f>
        <v>15</v>
      </c>
      <c r="AO52">
        <f ca="1">IF(ISBLANK(HRDataset_v14[[#This Row],[DateofTermination]]),DATEDIF(HRDataset_v14[[#This Row],[DateofHire]],TODAY(),"Y"),DATEDIF(HRDataset_v14[[#This Row],[DateofHire]],HRDataset_v14[[#This Row],[DateofTermination]],"Y"))</f>
        <v>1</v>
      </c>
      <c r="AP52" t="str">
        <f ca="1">IF(HRDataset_v14[[#This Row],[Tenure in Years
]]&lt;1,"0-1 Year",IF(HRDataset_v14[[#This Row],[Tenure in Years
]]&lt;3,"1-3 Years",IF(HRDataset_v14[[#This Row],[Tenure in Years
]]&lt;5,"3-5 Years",IF(HRDataset_v14[[#This Row],[Tenure in Years
]]&lt;10,"5-10 Years","10+ Years"))))</f>
        <v>10+ Years</v>
      </c>
      <c r="AQ52" t="str">
        <f ca="1">IF(HRDataset_v14[[#This Row],[Age Calculation
]]&lt;26,"18-25",IF(HRDataset_v14[[#This Row],[Age Calculation
]]&lt;36,"26-35",IF(HRDataset_v14[[#This Row],[Age Calculation
]]&lt;46,"36-45",IF(HRDataset_v14[[#This Row],[Age Calculation
]]&lt;56,"46-55","55+"))))</f>
        <v>46-55</v>
      </c>
      <c r="AR52" t="str">
        <f>IF(HRDataset_v14[[#This Row],[Salary]]&lt;40000,"Entry (&lt;40K)",IF(HRDataset_v14[[#This Row],[Salary]]&lt;70000,"Mid (40-70K)",IF(HRDataset_v14[[#This Row],[Salary]]&lt;100000,"Senior (70-100K)","Executive (100K+)")))</f>
        <v>Mid (40-70K)</v>
      </c>
      <c r="AS52">
        <f>IF(HRDataset_v14[[#This Row],[EmploymentStatus]]="Active",1,0)</f>
        <v>0</v>
      </c>
      <c r="AT52">
        <f>YEAR(HRDataset_v14[[#This Row],[DateofHire]])</f>
        <v>2010</v>
      </c>
      <c r="AU52">
        <f>MONTH(HRDataset_v14[[#This Row],[DateofHire]])</f>
        <v>8</v>
      </c>
      <c r="AV52" t="str">
        <f>"Q"&amp;ROUNDUP(MONTH(HRDataset_v14[[#This Row],[DateofHire]])/3,0)</f>
        <v>Q3</v>
      </c>
      <c r="AW52" t="str">
        <f>TEXT(HRDataset_v14[[#This Row],[DateofHire]],"MMM")</f>
        <v>Aug</v>
      </c>
      <c r="AX52" t="str">
        <f>TEXT(HRDataset_v14[[#This Row],[DateofHire]],"YYYY-MM")</f>
        <v>2010-08</v>
      </c>
      <c r="AY52">
        <f>IF(ISBLANK(HRDataset_v14[[#This Row],[DateofTermination]]),"N/A",YEAR(HRDataset_v14[[#This Row],[DateofTermination]]))</f>
        <v>2011</v>
      </c>
      <c r="AZ52" t="str" cm="1">
        <f t="array" ref="AZ52">INDEX(_xlfn.UNIQUE(Z52:Z362),MATCH(MAX(COUNTIF(Z52:Z362,_xlfn.UNIQUE(Z52:Z362))),COUNTIF(Z52:Z362,_xlfn.UNIQUE(Z52:Z362)),0))</f>
        <v xml:space="preserve">Production       </v>
      </c>
      <c r="BA52">
        <f t="shared" si="6"/>
        <v>21.052631578947366</v>
      </c>
      <c r="BB52">
        <f t="shared" si="7"/>
        <v>7</v>
      </c>
      <c r="BC52" t="str">
        <f t="shared" si="4"/>
        <v>Medium</v>
      </c>
      <c r="BD52" t="str">
        <f t="shared" si="9"/>
        <v/>
      </c>
      <c r="BE52">
        <f t="shared" si="8"/>
        <v>4.2</v>
      </c>
      <c r="BG52">
        <f ca="1">COUNTIF(AP2:AP312,"5-10 Years")</f>
        <v>19</v>
      </c>
      <c r="BI52" cm="1">
        <f t="array" ref="BI52">SUMPRODUCT((MONTH(V2:V300)=10)*1)</f>
        <v>7</v>
      </c>
      <c r="BT52" t="str">
        <f t="shared" si="5"/>
        <v/>
      </c>
      <c r="BV52">
        <v>1.1200000000000001</v>
      </c>
      <c r="BW52">
        <v>4.6500000000000004</v>
      </c>
    </row>
    <row r="53" spans="1:75" x14ac:dyDescent="0.3">
      <c r="A53" t="s">
        <v>210</v>
      </c>
      <c r="B53">
        <v>10029</v>
      </c>
      <c r="C53">
        <v>1</v>
      </c>
      <c r="D53">
        <v>1</v>
      </c>
      <c r="E53">
        <v>1</v>
      </c>
      <c r="F53">
        <v>2</v>
      </c>
      <c r="G53">
        <v>5</v>
      </c>
      <c r="H53">
        <v>4</v>
      </c>
      <c r="I53">
        <v>0</v>
      </c>
      <c r="J53">
        <v>50373</v>
      </c>
      <c r="K53">
        <v>0</v>
      </c>
      <c r="L53">
        <v>19</v>
      </c>
      <c r="M53" t="s">
        <v>37</v>
      </c>
      <c r="N53" t="s">
        <v>38</v>
      </c>
      <c r="O53">
        <v>2134</v>
      </c>
      <c r="P53">
        <v>29459</v>
      </c>
      <c r="Q53" t="s">
        <v>39</v>
      </c>
      <c r="R53" t="s">
        <v>53</v>
      </c>
      <c r="S53" t="s">
        <v>41</v>
      </c>
      <c r="T53" t="s">
        <v>42</v>
      </c>
      <c r="U53" t="s">
        <v>43</v>
      </c>
      <c r="V53">
        <v>42557</v>
      </c>
      <c r="X53" t="s">
        <v>44</v>
      </c>
      <c r="Y53" t="s">
        <v>45</v>
      </c>
      <c r="Z53" t="s">
        <v>46</v>
      </c>
      <c r="AA53" t="s">
        <v>92</v>
      </c>
      <c r="AB53">
        <v>12</v>
      </c>
      <c r="AC53" t="s">
        <v>88</v>
      </c>
      <c r="AD53" t="s">
        <v>49</v>
      </c>
      <c r="AE53">
        <v>4.0999999999999996</v>
      </c>
      <c r="AF53">
        <v>4</v>
      </c>
      <c r="AG53">
        <v>0</v>
      </c>
      <c r="AH53" t="s">
        <v>211</v>
      </c>
      <c r="AI53">
        <v>0</v>
      </c>
      <c r="AJ53">
        <v>5</v>
      </c>
      <c r="AK53" t="str">
        <f t="shared" si="0"/>
        <v>Normal</v>
      </c>
      <c r="AL53" t="str">
        <f t="shared" si="1"/>
        <v>low Outlier</v>
      </c>
      <c r="AM53">
        <f ca="1">INT((TODAY()-HRDataset_v14[[#This Row],[DOB]])/365.25)</f>
        <v>45</v>
      </c>
      <c r="AN53">
        <f ca="1">DATEDIF(HRDataset_v14[[#This Row],[DateofHire]],TODAY(),"Y")</f>
        <v>9</v>
      </c>
      <c r="AO53">
        <f ca="1">IF(ISBLANK(HRDataset_v14[[#This Row],[DateofTermination]]),DATEDIF(HRDataset_v14[[#This Row],[DateofHire]],TODAY(),"Y"),DATEDIF(HRDataset_v14[[#This Row],[DateofHire]],HRDataset_v14[[#This Row],[DateofTermination]],"Y"))</f>
        <v>9</v>
      </c>
      <c r="AP53" t="str">
        <f ca="1">IF(HRDataset_v14[[#This Row],[Tenure in Years
]]&lt;1,"0-1 Year",IF(HRDataset_v14[[#This Row],[Tenure in Years
]]&lt;3,"1-3 Years",IF(HRDataset_v14[[#This Row],[Tenure in Years
]]&lt;5,"3-5 Years",IF(HRDataset_v14[[#This Row],[Tenure in Years
]]&lt;10,"5-10 Years","10+ Years"))))</f>
        <v>5-10 Years</v>
      </c>
      <c r="AQ53" t="str">
        <f ca="1">IF(HRDataset_v14[[#This Row],[Age Calculation
]]&lt;26,"18-25",IF(HRDataset_v14[[#This Row],[Age Calculation
]]&lt;36,"26-35",IF(HRDataset_v14[[#This Row],[Age Calculation
]]&lt;46,"36-45",IF(HRDataset_v14[[#This Row],[Age Calculation
]]&lt;56,"46-55","55+"))))</f>
        <v>36-45</v>
      </c>
      <c r="AR53" t="str">
        <f>IF(HRDataset_v14[[#This Row],[Salary]]&lt;40000,"Entry (&lt;40K)",IF(HRDataset_v14[[#This Row],[Salary]]&lt;70000,"Mid (40-70K)",IF(HRDataset_v14[[#This Row],[Salary]]&lt;100000,"Senior (70-100K)","Executive (100K+)")))</f>
        <v>Mid (40-70K)</v>
      </c>
      <c r="AS53">
        <f>IF(HRDataset_v14[[#This Row],[EmploymentStatus]]="Active",1,0)</f>
        <v>1</v>
      </c>
      <c r="AT53">
        <f>YEAR(HRDataset_v14[[#This Row],[DateofHire]])</f>
        <v>2016</v>
      </c>
      <c r="AU53">
        <f>MONTH(HRDataset_v14[[#This Row],[DateofHire]])</f>
        <v>7</v>
      </c>
      <c r="AV53" t="str">
        <f>"Q"&amp;ROUNDUP(MONTH(HRDataset_v14[[#This Row],[DateofHire]])/3,0)</f>
        <v>Q3</v>
      </c>
      <c r="AW53" t="str">
        <f>TEXT(HRDataset_v14[[#This Row],[DateofHire]],"MMM")</f>
        <v>Jul</v>
      </c>
      <c r="AX53" t="str">
        <f>TEXT(HRDataset_v14[[#This Row],[DateofHire]],"YYYY-MM")</f>
        <v>2016-07</v>
      </c>
      <c r="AY53" t="str">
        <f>IF(ISBLANK(HRDataset_v14[[#This Row],[DateofTermination]]),"N/A",YEAR(HRDataset_v14[[#This Row],[DateofTermination]]))</f>
        <v>N/A</v>
      </c>
      <c r="AZ53" t="str" cm="1">
        <f t="array" ref="AZ53">INDEX(_xlfn.UNIQUE(Z53:Z363),MATCH(MAX(COUNTIF(Z53:Z363,_xlfn.UNIQUE(Z53:Z363))),COUNTIF(Z53:Z363,_xlfn.UNIQUE(Z53:Z363)),0))</f>
        <v xml:space="preserve">Production       </v>
      </c>
      <c r="BA53">
        <f t="shared" si="6"/>
        <v>26.315789473684209</v>
      </c>
      <c r="BB53">
        <f t="shared" si="7"/>
        <v>0</v>
      </c>
      <c r="BC53" t="str">
        <f t="shared" si="4"/>
        <v>Low</v>
      </c>
      <c r="BD53">
        <f t="shared" si="9"/>
        <v>4.0999999999999996</v>
      </c>
      <c r="BE53" t="str">
        <f t="shared" si="8"/>
        <v/>
      </c>
      <c r="BF53" t="s">
        <v>672</v>
      </c>
      <c r="BG53">
        <f ca="1">COUNTIFS(AP:AP,"5-10 Years",K:K,"1")</f>
        <v>0</v>
      </c>
      <c r="BI53" cm="1">
        <f t="array" ref="BI53">SUMPRODUCT((MONTH(V2:V300)=11)*1)</f>
        <v>28</v>
      </c>
      <c r="BT53">
        <f t="shared" si="5"/>
        <v>4.0999999999999996</v>
      </c>
      <c r="BV53">
        <v>3.01</v>
      </c>
      <c r="BW53">
        <v>5</v>
      </c>
    </row>
    <row r="54" spans="1:75" x14ac:dyDescent="0.3">
      <c r="A54" t="s">
        <v>212</v>
      </c>
      <c r="B54">
        <v>10261</v>
      </c>
      <c r="C54">
        <v>0</v>
      </c>
      <c r="D54">
        <v>0</v>
      </c>
      <c r="E54">
        <v>1</v>
      </c>
      <c r="F54">
        <v>1</v>
      </c>
      <c r="G54">
        <v>5</v>
      </c>
      <c r="H54">
        <v>3</v>
      </c>
      <c r="I54">
        <v>0</v>
      </c>
      <c r="J54">
        <v>63108</v>
      </c>
      <c r="K54">
        <v>0</v>
      </c>
      <c r="L54">
        <v>19</v>
      </c>
      <c r="M54" t="s">
        <v>37</v>
      </c>
      <c r="N54" t="s">
        <v>38</v>
      </c>
      <c r="O54">
        <v>2452</v>
      </c>
      <c r="P54">
        <v>28376</v>
      </c>
      <c r="Q54" t="s">
        <v>39</v>
      </c>
      <c r="R54" t="s">
        <v>40</v>
      </c>
      <c r="S54" t="s">
        <v>41</v>
      </c>
      <c r="T54" t="s">
        <v>42</v>
      </c>
      <c r="U54" t="s">
        <v>43</v>
      </c>
      <c r="V54">
        <v>41463</v>
      </c>
      <c r="X54" t="s">
        <v>44</v>
      </c>
      <c r="Y54" t="s">
        <v>45</v>
      </c>
      <c r="Z54" t="s">
        <v>46</v>
      </c>
      <c r="AA54" t="s">
        <v>102</v>
      </c>
      <c r="AB54">
        <v>14</v>
      </c>
      <c r="AC54" t="s">
        <v>88</v>
      </c>
      <c r="AD54" t="s">
        <v>60</v>
      </c>
      <c r="AE54">
        <v>4.4000000000000004</v>
      </c>
      <c r="AF54">
        <v>5</v>
      </c>
      <c r="AG54">
        <v>0</v>
      </c>
      <c r="AH54" t="s">
        <v>124</v>
      </c>
      <c r="AI54">
        <v>0</v>
      </c>
      <c r="AJ54">
        <v>3</v>
      </c>
      <c r="AK54" t="str">
        <f t="shared" si="0"/>
        <v>Normal</v>
      </c>
      <c r="AL54" t="str">
        <f t="shared" si="1"/>
        <v>low Outlier</v>
      </c>
      <c r="AM54">
        <f ca="1">INT((TODAY()-HRDataset_v14[[#This Row],[DOB]])/365.25)</f>
        <v>48</v>
      </c>
      <c r="AN54">
        <f ca="1">DATEDIF(HRDataset_v14[[#This Row],[DateofHire]],TODAY(),"Y")</f>
        <v>12</v>
      </c>
      <c r="AO54">
        <f ca="1">IF(ISBLANK(HRDataset_v14[[#This Row],[DateofTermination]]),DATEDIF(HRDataset_v14[[#This Row],[DateofHire]],TODAY(),"Y"),DATEDIF(HRDataset_v14[[#This Row],[DateofHire]],HRDataset_v14[[#This Row],[DateofTermination]],"Y"))</f>
        <v>12</v>
      </c>
      <c r="AP54" t="str">
        <f ca="1">IF(HRDataset_v14[[#This Row],[Tenure in Years
]]&lt;1,"0-1 Year",IF(HRDataset_v14[[#This Row],[Tenure in Years
]]&lt;3,"1-3 Years",IF(HRDataset_v14[[#This Row],[Tenure in Years
]]&lt;5,"3-5 Years",IF(HRDataset_v14[[#This Row],[Tenure in Years
]]&lt;10,"5-10 Years","10+ Years"))))</f>
        <v>10+ Years</v>
      </c>
      <c r="AQ54" t="str">
        <f ca="1">IF(HRDataset_v14[[#This Row],[Age Calculation
]]&lt;26,"18-25",IF(HRDataset_v14[[#This Row],[Age Calculation
]]&lt;36,"26-35",IF(HRDataset_v14[[#This Row],[Age Calculation
]]&lt;46,"36-45",IF(HRDataset_v14[[#This Row],[Age Calculation
]]&lt;56,"46-55","55+"))))</f>
        <v>46-55</v>
      </c>
      <c r="AR54" t="str">
        <f>IF(HRDataset_v14[[#This Row],[Salary]]&lt;40000,"Entry (&lt;40K)",IF(HRDataset_v14[[#This Row],[Salary]]&lt;70000,"Mid (40-70K)",IF(HRDataset_v14[[#This Row],[Salary]]&lt;100000,"Senior (70-100K)","Executive (100K+)")))</f>
        <v>Mid (40-70K)</v>
      </c>
      <c r="AS54">
        <f>IF(HRDataset_v14[[#This Row],[EmploymentStatus]]="Active",1,0)</f>
        <v>1</v>
      </c>
      <c r="AT54">
        <f>YEAR(HRDataset_v14[[#This Row],[DateofHire]])</f>
        <v>2013</v>
      </c>
      <c r="AU54">
        <f>MONTH(HRDataset_v14[[#This Row],[DateofHire]])</f>
        <v>7</v>
      </c>
      <c r="AV54" t="str">
        <f>"Q"&amp;ROUNDUP(MONTH(HRDataset_v14[[#This Row],[DateofHire]])/3,0)</f>
        <v>Q3</v>
      </c>
      <c r="AW54" t="str">
        <f>TEXT(HRDataset_v14[[#This Row],[DateofHire]],"MMM")</f>
        <v>Jul</v>
      </c>
      <c r="AX54" t="str">
        <f>TEXT(HRDataset_v14[[#This Row],[DateofHire]],"YYYY-MM")</f>
        <v>2013-07</v>
      </c>
      <c r="AY54" t="str">
        <f>IF(ISBLANK(HRDataset_v14[[#This Row],[DateofTermination]]),"N/A",YEAR(HRDataset_v14[[#This Row],[DateofTermination]]))</f>
        <v>N/A</v>
      </c>
      <c r="AZ54" t="str" cm="1">
        <f t="array" ref="AZ54">INDEX(_xlfn.UNIQUE(Z54:Z364),MATCH(MAX(COUNTIF(Z54:Z364,_xlfn.UNIQUE(Z54:Z364))),COUNTIF(Z54:Z364,_xlfn.UNIQUE(Z54:Z364)),0))</f>
        <v xml:space="preserve">Production       </v>
      </c>
      <c r="BA54">
        <f t="shared" si="6"/>
        <v>16.666666666666664</v>
      </c>
      <c r="BB54">
        <f t="shared" si="7"/>
        <v>0</v>
      </c>
      <c r="BC54" t="str">
        <f t="shared" si="4"/>
        <v>Medium</v>
      </c>
      <c r="BD54">
        <f t="shared" si="9"/>
        <v>4.4000000000000004</v>
      </c>
      <c r="BE54" t="str">
        <f t="shared" si="8"/>
        <v/>
      </c>
      <c r="BF54" t="s">
        <v>673</v>
      </c>
      <c r="BG54">
        <f ca="1">COUNTIF(AP:AP,"5-10 Years")</f>
        <v>19</v>
      </c>
      <c r="BH54" t="s">
        <v>764</v>
      </c>
      <c r="BI54" cm="1">
        <f t="array" ref="BI54">SUMPRODUCT((MONTH(V2:V300)=12)*1)</f>
        <v>1</v>
      </c>
      <c r="BT54">
        <f t="shared" si="5"/>
        <v>4.4000000000000004</v>
      </c>
      <c r="BV54">
        <v>4.3</v>
      </c>
      <c r="BW54">
        <v>3.08</v>
      </c>
    </row>
    <row r="55" spans="1:75" x14ac:dyDescent="0.3">
      <c r="A55" t="s">
        <v>213</v>
      </c>
      <c r="B55">
        <v>10292</v>
      </c>
      <c r="C55">
        <v>0</v>
      </c>
      <c r="D55">
        <v>0</v>
      </c>
      <c r="E55">
        <v>1</v>
      </c>
      <c r="F55">
        <v>4</v>
      </c>
      <c r="G55">
        <v>5</v>
      </c>
      <c r="H55">
        <v>2</v>
      </c>
      <c r="I55">
        <v>0</v>
      </c>
      <c r="J55">
        <v>59144</v>
      </c>
      <c r="K55">
        <v>1</v>
      </c>
      <c r="L55">
        <v>19</v>
      </c>
      <c r="M55" t="s">
        <v>37</v>
      </c>
      <c r="N55" t="s">
        <v>38</v>
      </c>
      <c r="O55">
        <v>1880</v>
      </c>
      <c r="P55">
        <v>29079</v>
      </c>
      <c r="Q55" t="s">
        <v>39</v>
      </c>
      <c r="R55" t="s">
        <v>40</v>
      </c>
      <c r="S55" t="s">
        <v>41</v>
      </c>
      <c r="T55" t="s">
        <v>42</v>
      </c>
      <c r="U55" t="s">
        <v>91</v>
      </c>
      <c r="V55">
        <v>40735</v>
      </c>
      <c r="W55">
        <v>42636</v>
      </c>
      <c r="X55" t="s">
        <v>129</v>
      </c>
      <c r="Y55" t="s">
        <v>121</v>
      </c>
      <c r="Z55" t="s">
        <v>46</v>
      </c>
      <c r="AA55" t="s">
        <v>66</v>
      </c>
      <c r="AB55">
        <v>20</v>
      </c>
      <c r="AC55" t="s">
        <v>48</v>
      </c>
      <c r="AD55" t="s">
        <v>141</v>
      </c>
      <c r="AE55">
        <v>2</v>
      </c>
      <c r="AF55">
        <v>3</v>
      </c>
      <c r="AG55">
        <v>0</v>
      </c>
      <c r="AH55" t="s">
        <v>214</v>
      </c>
      <c r="AI55">
        <v>5</v>
      </c>
      <c r="AJ55">
        <v>16</v>
      </c>
      <c r="AK55" t="str">
        <f t="shared" si="0"/>
        <v>Normal</v>
      </c>
      <c r="AL55" t="str">
        <f t="shared" si="1"/>
        <v>low Outlier</v>
      </c>
      <c r="AM55">
        <f ca="1">INT((TODAY()-HRDataset_v14[[#This Row],[DOB]])/365.25)</f>
        <v>46</v>
      </c>
      <c r="AN55">
        <f ca="1">DATEDIF(HRDataset_v14[[#This Row],[DateofHire]],TODAY(),"Y")</f>
        <v>14</v>
      </c>
      <c r="AO55">
        <f ca="1">IF(ISBLANK(HRDataset_v14[[#This Row],[DateofTermination]]),DATEDIF(HRDataset_v14[[#This Row],[DateofHire]],TODAY(),"Y"),DATEDIF(HRDataset_v14[[#This Row],[DateofHire]],HRDataset_v14[[#This Row],[DateofTermination]],"Y"))</f>
        <v>5</v>
      </c>
      <c r="AP55" t="str">
        <f ca="1">IF(HRDataset_v14[[#This Row],[Tenure in Years
]]&lt;1,"0-1 Year",IF(HRDataset_v14[[#This Row],[Tenure in Years
]]&lt;3,"1-3 Years",IF(HRDataset_v14[[#This Row],[Tenure in Years
]]&lt;5,"3-5 Years",IF(HRDataset_v14[[#This Row],[Tenure in Years
]]&lt;10,"5-10 Years","10+ Years"))))</f>
        <v>10+ Years</v>
      </c>
      <c r="AQ55" t="str">
        <f ca="1">IF(HRDataset_v14[[#This Row],[Age Calculation
]]&lt;26,"18-25",IF(HRDataset_v14[[#This Row],[Age Calculation
]]&lt;36,"26-35",IF(HRDataset_v14[[#This Row],[Age Calculation
]]&lt;46,"36-45",IF(HRDataset_v14[[#This Row],[Age Calculation
]]&lt;56,"46-55","55+"))))</f>
        <v>46-55</v>
      </c>
      <c r="AR55" t="str">
        <f>IF(HRDataset_v14[[#This Row],[Salary]]&lt;40000,"Entry (&lt;40K)",IF(HRDataset_v14[[#This Row],[Salary]]&lt;70000,"Mid (40-70K)",IF(HRDataset_v14[[#This Row],[Salary]]&lt;100000,"Senior (70-100K)","Executive (100K+)")))</f>
        <v>Mid (40-70K)</v>
      </c>
      <c r="AS55">
        <f>IF(HRDataset_v14[[#This Row],[EmploymentStatus]]="Active",1,0)</f>
        <v>0</v>
      </c>
      <c r="AT55">
        <f>YEAR(HRDataset_v14[[#This Row],[DateofHire]])</f>
        <v>2011</v>
      </c>
      <c r="AU55">
        <f>MONTH(HRDataset_v14[[#This Row],[DateofHire]])</f>
        <v>7</v>
      </c>
      <c r="AV55" t="str">
        <f>"Q"&amp;ROUNDUP(MONTH(HRDataset_v14[[#This Row],[DateofHire]])/3,0)</f>
        <v>Q3</v>
      </c>
      <c r="AW55" t="str">
        <f>TEXT(HRDataset_v14[[#This Row],[DateofHire]],"MMM")</f>
        <v>Jul</v>
      </c>
      <c r="AX55" t="str">
        <f>TEXT(HRDataset_v14[[#This Row],[DateofHire]],"YYYY-MM")</f>
        <v>2011-07</v>
      </c>
      <c r="AY55">
        <f>IF(ISBLANK(HRDataset_v14[[#This Row],[DateofTermination]]),"N/A",YEAR(HRDataset_v14[[#This Row],[DateofTermination]]))</f>
        <v>2016</v>
      </c>
      <c r="AZ55" t="str" cm="1">
        <f t="array" ref="AZ55">INDEX(_xlfn.UNIQUE(Z55:Z365),MATCH(MAX(COUNTIF(Z55:Z365,_xlfn.UNIQUE(Z55:Z365))),COUNTIF(Z55:Z365,_xlfn.UNIQUE(Z55:Z365)),0))</f>
        <v xml:space="preserve">Production       </v>
      </c>
      <c r="BA55">
        <f t="shared" si="6"/>
        <v>52.631578947368418</v>
      </c>
      <c r="BB55">
        <f t="shared" si="7"/>
        <v>3</v>
      </c>
      <c r="BC55" t="str">
        <f t="shared" si="4"/>
        <v>High</v>
      </c>
      <c r="BD55" t="str">
        <f t="shared" si="9"/>
        <v/>
      </c>
      <c r="BE55">
        <f t="shared" si="8"/>
        <v>2</v>
      </c>
      <c r="BF55">
        <f ca="1">MIN(AM:AM)</f>
        <v>33</v>
      </c>
      <c r="BG55">
        <f>COUNTIF(K:K,1)</f>
        <v>104</v>
      </c>
      <c r="BH55" t="s">
        <v>765</v>
      </c>
      <c r="BI55" t="s">
        <v>712</v>
      </c>
      <c r="BT55" t="str">
        <f t="shared" si="5"/>
        <v/>
      </c>
      <c r="BV55">
        <v>2.2999999999999998</v>
      </c>
      <c r="BW55">
        <v>5</v>
      </c>
    </row>
    <row r="56" spans="1:75" x14ac:dyDescent="0.3">
      <c r="A56" t="s">
        <v>215</v>
      </c>
      <c r="B56">
        <v>10282</v>
      </c>
      <c r="C56">
        <v>0</v>
      </c>
      <c r="D56">
        <v>2</v>
      </c>
      <c r="E56">
        <v>1</v>
      </c>
      <c r="F56">
        <v>1</v>
      </c>
      <c r="G56">
        <v>5</v>
      </c>
      <c r="H56">
        <v>2</v>
      </c>
      <c r="I56">
        <v>0</v>
      </c>
      <c r="J56">
        <v>68051</v>
      </c>
      <c r="K56">
        <v>0</v>
      </c>
      <c r="L56">
        <v>18</v>
      </c>
      <c r="M56" t="s">
        <v>154</v>
      </c>
      <c r="N56" t="s">
        <v>38</v>
      </c>
      <c r="O56">
        <v>1803</v>
      </c>
      <c r="P56">
        <v>27745</v>
      </c>
      <c r="Q56" t="s">
        <v>39</v>
      </c>
      <c r="R56" t="s">
        <v>72</v>
      </c>
      <c r="S56" t="s">
        <v>41</v>
      </c>
      <c r="T56" t="s">
        <v>42</v>
      </c>
      <c r="U56" t="s">
        <v>43</v>
      </c>
      <c r="V56">
        <v>40379</v>
      </c>
      <c r="X56" t="s">
        <v>44</v>
      </c>
      <c r="Y56" t="s">
        <v>45</v>
      </c>
      <c r="Z56" t="s">
        <v>46</v>
      </c>
      <c r="AA56" t="s">
        <v>156</v>
      </c>
      <c r="AB56">
        <v>2</v>
      </c>
      <c r="AC56" t="s">
        <v>140</v>
      </c>
      <c r="AD56" t="s">
        <v>141</v>
      </c>
      <c r="AE56">
        <v>4.13</v>
      </c>
      <c r="AF56">
        <v>2</v>
      </c>
      <c r="AG56">
        <v>0</v>
      </c>
      <c r="AH56" t="s">
        <v>124</v>
      </c>
      <c r="AI56">
        <v>3</v>
      </c>
      <c r="AJ56">
        <v>3</v>
      </c>
      <c r="AK56" t="str">
        <f t="shared" si="0"/>
        <v>Normal</v>
      </c>
      <c r="AL56" t="str">
        <f t="shared" si="1"/>
        <v>low Outlier</v>
      </c>
      <c r="AM56">
        <f ca="1">INT((TODAY()-HRDataset_v14[[#This Row],[DOB]])/365.25)</f>
        <v>50</v>
      </c>
      <c r="AN56">
        <f ca="1">DATEDIF(HRDataset_v14[[#This Row],[DateofHire]],TODAY(),"Y")</f>
        <v>15</v>
      </c>
      <c r="AO56">
        <f ca="1">IF(ISBLANK(HRDataset_v14[[#This Row],[DateofTermination]]),DATEDIF(HRDataset_v14[[#This Row],[DateofHire]],TODAY(),"Y"),DATEDIF(HRDataset_v14[[#This Row],[DateofHire]],HRDataset_v14[[#This Row],[DateofTermination]],"Y"))</f>
        <v>15</v>
      </c>
      <c r="AP56" t="str">
        <f ca="1">IF(HRDataset_v14[[#This Row],[Tenure in Years
]]&lt;1,"0-1 Year",IF(HRDataset_v14[[#This Row],[Tenure in Years
]]&lt;3,"1-3 Years",IF(HRDataset_v14[[#This Row],[Tenure in Years
]]&lt;5,"3-5 Years",IF(HRDataset_v14[[#This Row],[Tenure in Years
]]&lt;10,"5-10 Years","10+ Years"))))</f>
        <v>10+ Years</v>
      </c>
      <c r="AQ56" t="str">
        <f ca="1">IF(HRDataset_v14[[#This Row],[Age Calculation
]]&lt;26,"18-25",IF(HRDataset_v14[[#This Row],[Age Calculation
]]&lt;36,"26-35",IF(HRDataset_v14[[#This Row],[Age Calculation
]]&lt;46,"36-45",IF(HRDataset_v14[[#This Row],[Age Calculation
]]&lt;56,"46-55","55+"))))</f>
        <v>46-55</v>
      </c>
      <c r="AR56" t="str">
        <f>IF(HRDataset_v14[[#This Row],[Salary]]&lt;40000,"Entry (&lt;40K)",IF(HRDataset_v14[[#This Row],[Salary]]&lt;70000,"Mid (40-70K)",IF(HRDataset_v14[[#This Row],[Salary]]&lt;100000,"Senior (70-100K)","Executive (100K+)")))</f>
        <v>Mid (40-70K)</v>
      </c>
      <c r="AS56">
        <f>IF(HRDataset_v14[[#This Row],[EmploymentStatus]]="Active",1,0)</f>
        <v>1</v>
      </c>
      <c r="AT56">
        <f>YEAR(HRDataset_v14[[#This Row],[DateofHire]])</f>
        <v>2010</v>
      </c>
      <c r="AU56">
        <f>MONTH(HRDataset_v14[[#This Row],[DateofHire]])</f>
        <v>7</v>
      </c>
      <c r="AV56" t="str">
        <f>"Q"&amp;ROUNDUP(MONTH(HRDataset_v14[[#This Row],[DateofHire]])/3,0)</f>
        <v>Q3</v>
      </c>
      <c r="AW56" t="str">
        <f>TEXT(HRDataset_v14[[#This Row],[DateofHire]],"MMM")</f>
        <v>Jul</v>
      </c>
      <c r="AX56" t="str">
        <f>TEXT(HRDataset_v14[[#This Row],[DateofHire]],"YYYY-MM")</f>
        <v>2010-07</v>
      </c>
      <c r="AY56" t="str">
        <f>IF(ISBLANK(HRDataset_v14[[#This Row],[DateofTermination]]),"N/A",YEAR(HRDataset_v14[[#This Row],[DateofTermination]]))</f>
        <v>N/A</v>
      </c>
      <c r="AZ56" t="str" cm="1">
        <f t="array" ref="AZ56">INDEX(_xlfn.UNIQUE(Z56:Z366),MATCH(MAX(COUNTIF(Z56:Z366,_xlfn.UNIQUE(Z56:Z366))),COUNTIF(Z56:Z366,_xlfn.UNIQUE(Z56:Z366)),0))</f>
        <v xml:space="preserve">Production       </v>
      </c>
      <c r="BA56">
        <f t="shared" si="6"/>
        <v>29.411764705882355</v>
      </c>
      <c r="BB56">
        <f t="shared" si="7"/>
        <v>0</v>
      </c>
      <c r="BC56" t="str">
        <f t="shared" si="4"/>
        <v>High</v>
      </c>
      <c r="BD56">
        <f t="shared" si="9"/>
        <v>4.13</v>
      </c>
      <c r="BE56" t="str">
        <f t="shared" si="8"/>
        <v/>
      </c>
      <c r="BF56" t="s">
        <v>674</v>
      </c>
      <c r="BH56">
        <f>AVERAGE(AE2:AE312)</f>
        <v>4.1099999999999985</v>
      </c>
      <c r="BI56" cm="1">
        <f t="array" ref="BI56">SUMPRODUCT((IFERROR(MONTH(V2:V312),0)&gt;=1)*(IFERROR(MONTH(V2:V312),0)&lt;=3))</f>
        <v>104</v>
      </c>
      <c r="BT56">
        <f t="shared" si="5"/>
        <v>4.13</v>
      </c>
      <c r="BV56">
        <v>3.88</v>
      </c>
      <c r="BW56">
        <v>4.18</v>
      </c>
    </row>
    <row r="57" spans="1:75" x14ac:dyDescent="0.3">
      <c r="A57" t="s">
        <v>216</v>
      </c>
      <c r="B57">
        <v>10019</v>
      </c>
      <c r="C57">
        <v>0</v>
      </c>
      <c r="D57">
        <v>0</v>
      </c>
      <c r="E57">
        <v>1</v>
      </c>
      <c r="F57">
        <v>1</v>
      </c>
      <c r="G57">
        <v>5</v>
      </c>
      <c r="H57">
        <v>4</v>
      </c>
      <c r="I57">
        <v>0</v>
      </c>
      <c r="J57">
        <v>170500</v>
      </c>
      <c r="K57">
        <v>0</v>
      </c>
      <c r="L57">
        <v>10</v>
      </c>
      <c r="M57" t="s">
        <v>217</v>
      </c>
      <c r="N57" t="s">
        <v>38</v>
      </c>
      <c r="O57">
        <v>2030</v>
      </c>
      <c r="P57">
        <v>30394</v>
      </c>
      <c r="Q57" t="s">
        <v>39</v>
      </c>
      <c r="R57" t="s">
        <v>40</v>
      </c>
      <c r="S57" t="s">
        <v>41</v>
      </c>
      <c r="T57" t="s">
        <v>42</v>
      </c>
      <c r="U57" t="s">
        <v>91</v>
      </c>
      <c r="V57">
        <v>39818</v>
      </c>
      <c r="X57" t="s">
        <v>44</v>
      </c>
      <c r="Y57" t="s">
        <v>45</v>
      </c>
      <c r="Z57" t="s">
        <v>46</v>
      </c>
      <c r="AA57" t="s">
        <v>156</v>
      </c>
      <c r="AB57">
        <v>2</v>
      </c>
      <c r="AC57" t="s">
        <v>59</v>
      </c>
      <c r="AD57" t="s">
        <v>49</v>
      </c>
      <c r="AE57">
        <v>3.7</v>
      </c>
      <c r="AF57">
        <v>5</v>
      </c>
      <c r="AG57">
        <v>0</v>
      </c>
      <c r="AH57" t="s">
        <v>218</v>
      </c>
      <c r="AI57">
        <v>0</v>
      </c>
      <c r="AJ57">
        <v>15</v>
      </c>
      <c r="AK57" t="str">
        <f t="shared" si="0"/>
        <v xml:space="preserve"> high Outlier</v>
      </c>
      <c r="AL57" t="str">
        <f t="shared" si="1"/>
        <v>low Outlier</v>
      </c>
      <c r="AM57">
        <f ca="1">INT((TODAY()-HRDataset_v14[[#This Row],[DOB]])/365.25)</f>
        <v>43</v>
      </c>
      <c r="AN57">
        <f ca="1">DATEDIF(HRDataset_v14[[#This Row],[DateofHire]],TODAY(),"Y")</f>
        <v>17</v>
      </c>
      <c r="AO57">
        <f ca="1">IF(ISBLANK(HRDataset_v14[[#This Row],[DateofTermination]]),DATEDIF(HRDataset_v14[[#This Row],[DateofHire]],TODAY(),"Y"),DATEDIF(HRDataset_v14[[#This Row],[DateofHire]],HRDataset_v14[[#This Row],[DateofTermination]],"Y"))</f>
        <v>17</v>
      </c>
      <c r="AP57" t="str">
        <f ca="1">IF(HRDataset_v14[[#This Row],[Tenure in Years
]]&lt;1,"0-1 Year",IF(HRDataset_v14[[#This Row],[Tenure in Years
]]&lt;3,"1-3 Years",IF(HRDataset_v14[[#This Row],[Tenure in Years
]]&lt;5,"3-5 Years",IF(HRDataset_v14[[#This Row],[Tenure in Years
]]&lt;10,"5-10 Years","10+ Years"))))</f>
        <v>10+ Years</v>
      </c>
      <c r="AQ57" t="str">
        <f ca="1">IF(HRDataset_v14[[#This Row],[Age Calculation
]]&lt;26,"18-25",IF(HRDataset_v14[[#This Row],[Age Calculation
]]&lt;36,"26-35",IF(HRDataset_v14[[#This Row],[Age Calculation
]]&lt;46,"36-45",IF(HRDataset_v14[[#This Row],[Age Calculation
]]&lt;56,"46-55","55+"))))</f>
        <v>36-45</v>
      </c>
      <c r="AR57" t="str">
        <f>IF(HRDataset_v14[[#This Row],[Salary]]&lt;40000,"Entry (&lt;40K)",IF(HRDataset_v14[[#This Row],[Salary]]&lt;70000,"Mid (40-70K)",IF(HRDataset_v14[[#This Row],[Salary]]&lt;100000,"Senior (70-100K)","Executive (100K+)")))</f>
        <v>Executive (100K+)</v>
      </c>
      <c r="AS57">
        <f>IF(HRDataset_v14[[#This Row],[EmploymentStatus]]="Active",1,0)</f>
        <v>1</v>
      </c>
      <c r="AT57">
        <f>YEAR(HRDataset_v14[[#This Row],[DateofHire]])</f>
        <v>2009</v>
      </c>
      <c r="AU57">
        <f>MONTH(HRDataset_v14[[#This Row],[DateofHire]])</f>
        <v>1</v>
      </c>
      <c r="AV57" t="str">
        <f>"Q"&amp;ROUNDUP(MONTH(HRDataset_v14[[#This Row],[DateofHire]])/3,0)</f>
        <v>Q1</v>
      </c>
      <c r="AW57" t="str">
        <f>TEXT(HRDataset_v14[[#This Row],[DateofHire]],"MMM")</f>
        <v>Jan</v>
      </c>
      <c r="AX57" t="str">
        <f>TEXT(HRDataset_v14[[#This Row],[DateofHire]],"YYYY-MM")</f>
        <v>2009-01</v>
      </c>
      <c r="AY57" t="str">
        <f>IF(ISBLANK(HRDataset_v14[[#This Row],[DateofTermination]]),"N/A",YEAR(HRDataset_v14[[#This Row],[DateofTermination]]))</f>
        <v>N/A</v>
      </c>
      <c r="AZ57" t="str" cm="1">
        <f t="array" ref="AZ57">INDEX(_xlfn.UNIQUE(Z57:Z367),MATCH(MAX(COUNTIF(Z57:Z367,_xlfn.UNIQUE(Z57:Z367))),COUNTIF(Z57:Z367,_xlfn.UNIQUE(Z57:Z367)),0))</f>
        <v xml:space="preserve">Production       </v>
      </c>
      <c r="BA57">
        <f t="shared" si="6"/>
        <v>31.25</v>
      </c>
      <c r="BB57">
        <f t="shared" si="7"/>
        <v>0</v>
      </c>
      <c r="BC57" t="str">
        <f t="shared" si="4"/>
        <v>Medium</v>
      </c>
      <c r="BD57">
        <f t="shared" si="9"/>
        <v>3.7</v>
      </c>
      <c r="BE57" t="str">
        <f t="shared" si="8"/>
        <v/>
      </c>
      <c r="BF57">
        <f ca="1">MAX(AM:AM)</f>
        <v>75</v>
      </c>
      <c r="BG57">
        <f ca="1">COUNTIFS(AP:AP,"*5-10 Years*",K:K,1)</f>
        <v>0</v>
      </c>
      <c r="BH57" t="s">
        <v>766</v>
      </c>
      <c r="BI57" t="s">
        <v>713</v>
      </c>
      <c r="BT57">
        <f t="shared" si="5"/>
        <v>3.7</v>
      </c>
      <c r="BV57">
        <v>3.4</v>
      </c>
      <c r="BW57">
        <v>3</v>
      </c>
    </row>
    <row r="58" spans="1:75" x14ac:dyDescent="0.3">
      <c r="A58" t="s">
        <v>219</v>
      </c>
      <c r="B58">
        <v>10094</v>
      </c>
      <c r="C58">
        <v>1</v>
      </c>
      <c r="D58">
        <v>1</v>
      </c>
      <c r="E58">
        <v>0</v>
      </c>
      <c r="F58">
        <v>1</v>
      </c>
      <c r="G58">
        <v>5</v>
      </c>
      <c r="H58">
        <v>3</v>
      </c>
      <c r="I58">
        <v>0</v>
      </c>
      <c r="J58">
        <v>63381</v>
      </c>
      <c r="K58">
        <v>0</v>
      </c>
      <c r="L58">
        <v>19</v>
      </c>
      <c r="M58" t="s">
        <v>37</v>
      </c>
      <c r="N58" t="s">
        <v>38</v>
      </c>
      <c r="O58">
        <v>2189</v>
      </c>
      <c r="P58">
        <v>28215</v>
      </c>
      <c r="Q58" t="s">
        <v>64</v>
      </c>
      <c r="R58" t="s">
        <v>53</v>
      </c>
      <c r="S58" t="s">
        <v>41</v>
      </c>
      <c r="T58" t="s">
        <v>100</v>
      </c>
      <c r="U58" t="s">
        <v>43</v>
      </c>
      <c r="V58">
        <v>42009</v>
      </c>
      <c r="X58" t="s">
        <v>44</v>
      </c>
      <c r="Y58" t="s">
        <v>45</v>
      </c>
      <c r="Z58" t="s">
        <v>46</v>
      </c>
      <c r="AA58" t="s">
        <v>113</v>
      </c>
      <c r="AB58">
        <v>18</v>
      </c>
      <c r="AC58" t="s">
        <v>59</v>
      </c>
      <c r="AD58" t="s">
        <v>60</v>
      </c>
      <c r="AE58">
        <v>4.7300000000000004</v>
      </c>
      <c r="AF58">
        <v>5</v>
      </c>
      <c r="AG58">
        <v>0</v>
      </c>
      <c r="AH58" t="s">
        <v>114</v>
      </c>
      <c r="AI58">
        <v>0</v>
      </c>
      <c r="AJ58">
        <v>6</v>
      </c>
      <c r="AK58" t="str">
        <f t="shared" si="0"/>
        <v>Normal</v>
      </c>
      <c r="AL58" t="str">
        <f t="shared" si="1"/>
        <v>low Outlier</v>
      </c>
      <c r="AM58">
        <f ca="1">INT((TODAY()-HRDataset_v14[[#This Row],[DOB]])/365.25)</f>
        <v>49</v>
      </c>
      <c r="AN58">
        <f ca="1">DATEDIF(HRDataset_v14[[#This Row],[DateofHire]],TODAY(),"Y")</f>
        <v>11</v>
      </c>
      <c r="AO58">
        <f ca="1">IF(ISBLANK(HRDataset_v14[[#This Row],[DateofTermination]]),DATEDIF(HRDataset_v14[[#This Row],[DateofHire]],TODAY(),"Y"),DATEDIF(HRDataset_v14[[#This Row],[DateofHire]],HRDataset_v14[[#This Row],[DateofTermination]],"Y"))</f>
        <v>11</v>
      </c>
      <c r="AP58" t="str">
        <f ca="1">IF(HRDataset_v14[[#This Row],[Tenure in Years
]]&lt;1,"0-1 Year",IF(HRDataset_v14[[#This Row],[Tenure in Years
]]&lt;3,"1-3 Years",IF(HRDataset_v14[[#This Row],[Tenure in Years
]]&lt;5,"3-5 Years",IF(HRDataset_v14[[#This Row],[Tenure in Years
]]&lt;10,"5-10 Years","10+ Years"))))</f>
        <v>10+ Years</v>
      </c>
      <c r="AQ58" t="str">
        <f ca="1">IF(HRDataset_v14[[#This Row],[Age Calculation
]]&lt;26,"18-25",IF(HRDataset_v14[[#This Row],[Age Calculation
]]&lt;36,"26-35",IF(HRDataset_v14[[#This Row],[Age Calculation
]]&lt;46,"36-45",IF(HRDataset_v14[[#This Row],[Age Calculation
]]&lt;56,"46-55","55+"))))</f>
        <v>46-55</v>
      </c>
      <c r="AR58" t="str">
        <f>IF(HRDataset_v14[[#This Row],[Salary]]&lt;40000,"Entry (&lt;40K)",IF(HRDataset_v14[[#This Row],[Salary]]&lt;70000,"Mid (40-70K)",IF(HRDataset_v14[[#This Row],[Salary]]&lt;100000,"Senior (70-100K)","Executive (100K+)")))</f>
        <v>Mid (40-70K)</v>
      </c>
      <c r="AS58">
        <f>IF(HRDataset_v14[[#This Row],[EmploymentStatus]]="Active",1,0)</f>
        <v>1</v>
      </c>
      <c r="AT58">
        <f>YEAR(HRDataset_v14[[#This Row],[DateofHire]])</f>
        <v>2015</v>
      </c>
      <c r="AU58">
        <f>MONTH(HRDataset_v14[[#This Row],[DateofHire]])</f>
        <v>1</v>
      </c>
      <c r="AV58" t="str">
        <f>"Q"&amp;ROUNDUP(MONTH(HRDataset_v14[[#This Row],[DateofHire]])/3,0)</f>
        <v>Q1</v>
      </c>
      <c r="AW58" t="str">
        <f>TEXT(HRDataset_v14[[#This Row],[DateofHire]],"MMM")</f>
        <v>Jan</v>
      </c>
      <c r="AX58" t="str">
        <f>TEXT(HRDataset_v14[[#This Row],[DateofHire]],"YYYY-MM")</f>
        <v>2015-01</v>
      </c>
      <c r="AY58" t="str">
        <f>IF(ISBLANK(HRDataset_v14[[#This Row],[DateofTermination]]),"N/A",YEAR(HRDataset_v14[[#This Row],[DateofTermination]]))</f>
        <v>N/A</v>
      </c>
      <c r="AZ58" t="str" cm="1">
        <f t="array" ref="AZ58">INDEX(_xlfn.UNIQUE(Z58:Z368),MATCH(MAX(COUNTIF(Z58:Z368,_xlfn.UNIQUE(Z58:Z368))),COUNTIF(Z58:Z368,_xlfn.UNIQUE(Z58:Z368)),0))</f>
        <v xml:space="preserve">Production       </v>
      </c>
      <c r="BA58">
        <f t="shared" si="6"/>
        <v>27.777777777777779</v>
      </c>
      <c r="BB58">
        <f t="shared" si="7"/>
        <v>0</v>
      </c>
      <c r="BC58" t="str">
        <f t="shared" si="4"/>
        <v>Medium</v>
      </c>
      <c r="BD58">
        <f t="shared" si="9"/>
        <v>4.7300000000000004</v>
      </c>
      <c r="BE58" t="str">
        <f t="shared" si="8"/>
        <v/>
      </c>
      <c r="BF58" t="s">
        <v>675</v>
      </c>
      <c r="BG58">
        <f ca="1">COUNTIF(AP:AP,"*5-10 Years*")</f>
        <v>19</v>
      </c>
      <c r="BH58">
        <f>AVERAGE(AF2:AF312)</f>
        <v>3.8906752411575565</v>
      </c>
      <c r="BI58" cm="1">
        <f t="array" ref="BI58">SUMPRODUCT((IFERROR(MONTH(V2:V312),0)&gt;=4)*(IFERROR(MONTH(V2:V312),0)&lt;=6))</f>
        <v>68</v>
      </c>
      <c r="BT58">
        <f t="shared" si="5"/>
        <v>4.7300000000000004</v>
      </c>
      <c r="BV58">
        <v>4.1100000000000003</v>
      </c>
      <c r="BW58">
        <v>4.3</v>
      </c>
    </row>
    <row r="59" spans="1:75" x14ac:dyDescent="0.3">
      <c r="A59" t="s">
        <v>220</v>
      </c>
      <c r="B59">
        <v>10193</v>
      </c>
      <c r="C59">
        <v>1</v>
      </c>
      <c r="D59">
        <v>1</v>
      </c>
      <c r="E59">
        <v>1</v>
      </c>
      <c r="F59">
        <v>1</v>
      </c>
      <c r="G59">
        <v>3</v>
      </c>
      <c r="H59">
        <v>3</v>
      </c>
      <c r="I59">
        <v>0</v>
      </c>
      <c r="J59">
        <v>83552</v>
      </c>
      <c r="K59">
        <v>0</v>
      </c>
      <c r="L59">
        <v>9</v>
      </c>
      <c r="M59" t="s">
        <v>108</v>
      </c>
      <c r="N59" t="s">
        <v>38</v>
      </c>
      <c r="O59">
        <v>1810</v>
      </c>
      <c r="P59">
        <v>31650</v>
      </c>
      <c r="Q59" t="s">
        <v>39</v>
      </c>
      <c r="R59" t="s">
        <v>53</v>
      </c>
      <c r="S59" t="s">
        <v>41</v>
      </c>
      <c r="T59" t="s">
        <v>42</v>
      </c>
      <c r="U59" t="s">
        <v>43</v>
      </c>
      <c r="V59">
        <v>42093</v>
      </c>
      <c r="X59" t="s">
        <v>44</v>
      </c>
      <c r="Y59" t="s">
        <v>45</v>
      </c>
      <c r="Z59" t="s">
        <v>57</v>
      </c>
      <c r="AA59" t="s">
        <v>58</v>
      </c>
      <c r="AB59">
        <v>4</v>
      </c>
      <c r="AC59" t="s">
        <v>59</v>
      </c>
      <c r="AD59" t="s">
        <v>60</v>
      </c>
      <c r="AE59">
        <v>3.04</v>
      </c>
      <c r="AF59">
        <v>3</v>
      </c>
      <c r="AG59">
        <v>6</v>
      </c>
      <c r="AH59" t="s">
        <v>221</v>
      </c>
      <c r="AI59">
        <v>0</v>
      </c>
      <c r="AJ59">
        <v>2</v>
      </c>
      <c r="AK59" t="str">
        <f t="shared" si="0"/>
        <v>Normal</v>
      </c>
      <c r="AL59" t="str">
        <f t="shared" si="1"/>
        <v>low Outlier</v>
      </c>
      <c r="AM59">
        <f ca="1">INT((TODAY()-HRDataset_v14[[#This Row],[DOB]])/365.25)</f>
        <v>39</v>
      </c>
      <c r="AN59">
        <f ca="1">DATEDIF(HRDataset_v14[[#This Row],[DateofHire]],TODAY(),"Y")</f>
        <v>11</v>
      </c>
      <c r="AO59">
        <f ca="1">IF(ISBLANK(HRDataset_v14[[#This Row],[DateofTermination]]),DATEDIF(HRDataset_v14[[#This Row],[DateofHire]],TODAY(),"Y"),DATEDIF(HRDataset_v14[[#This Row],[DateofHire]],HRDataset_v14[[#This Row],[DateofTermination]],"Y"))</f>
        <v>11</v>
      </c>
      <c r="AP59" t="str">
        <f ca="1">IF(HRDataset_v14[[#This Row],[Tenure in Years
]]&lt;1,"0-1 Year",IF(HRDataset_v14[[#This Row],[Tenure in Years
]]&lt;3,"1-3 Years",IF(HRDataset_v14[[#This Row],[Tenure in Years
]]&lt;5,"3-5 Years",IF(HRDataset_v14[[#This Row],[Tenure in Years
]]&lt;10,"5-10 Years","10+ Years"))))</f>
        <v>10+ Years</v>
      </c>
      <c r="AQ59" t="str">
        <f ca="1">IF(HRDataset_v14[[#This Row],[Age Calculation
]]&lt;26,"18-25",IF(HRDataset_v14[[#This Row],[Age Calculation
]]&lt;36,"26-35",IF(HRDataset_v14[[#This Row],[Age Calculation
]]&lt;46,"36-45",IF(HRDataset_v14[[#This Row],[Age Calculation
]]&lt;56,"46-55","55+"))))</f>
        <v>36-45</v>
      </c>
      <c r="AR59" t="str">
        <f>IF(HRDataset_v14[[#This Row],[Salary]]&lt;40000,"Entry (&lt;40K)",IF(HRDataset_v14[[#This Row],[Salary]]&lt;70000,"Mid (40-70K)",IF(HRDataset_v14[[#This Row],[Salary]]&lt;100000,"Senior (70-100K)","Executive (100K+)")))</f>
        <v>Senior (70-100K)</v>
      </c>
      <c r="AS59">
        <f>IF(HRDataset_v14[[#This Row],[EmploymentStatus]]="Active",1,0)</f>
        <v>1</v>
      </c>
      <c r="AT59">
        <f>YEAR(HRDataset_v14[[#This Row],[DateofHire]])</f>
        <v>2015</v>
      </c>
      <c r="AU59">
        <f>MONTH(HRDataset_v14[[#This Row],[DateofHire]])</f>
        <v>3</v>
      </c>
      <c r="AV59" t="str">
        <f>"Q"&amp;ROUNDUP(MONTH(HRDataset_v14[[#This Row],[DateofHire]])/3,0)</f>
        <v>Q1</v>
      </c>
      <c r="AW59" t="str">
        <f>TEXT(HRDataset_v14[[#This Row],[DateofHire]],"MMM")</f>
        <v>Mar</v>
      </c>
      <c r="AX59" t="str">
        <f>TEXT(HRDataset_v14[[#This Row],[DateofHire]],"YYYY-MM")</f>
        <v>2015-03</v>
      </c>
      <c r="AY59" t="str">
        <f>IF(ISBLANK(HRDataset_v14[[#This Row],[DateofTermination]]),"N/A",YEAR(HRDataset_v14[[#This Row],[DateofTermination]]))</f>
        <v>N/A</v>
      </c>
      <c r="AZ59" t="str" cm="1">
        <f t="array" ref="AZ59">INDEX(_xlfn.UNIQUE(Z59:Z369),MATCH(MAX(COUNTIF(Z59:Z369,_xlfn.UNIQUE(Z59:Z369))),COUNTIF(Z59:Z369,_xlfn.UNIQUE(Z59:Z369)),0))</f>
        <v xml:space="preserve">Production       </v>
      </c>
      <c r="BA59">
        <f t="shared" si="6"/>
        <v>41.666666666666671</v>
      </c>
      <c r="BB59">
        <f t="shared" si="7"/>
        <v>0</v>
      </c>
      <c r="BC59" t="str">
        <f t="shared" si="4"/>
        <v>Medium</v>
      </c>
      <c r="BD59">
        <f t="shared" si="9"/>
        <v>3.04</v>
      </c>
      <c r="BE59" t="str">
        <f t="shared" si="8"/>
        <v/>
      </c>
      <c r="BF59" t="str">
        <f ca="1">INDEX(A:A,MATCH(MIN(AM:AM),AM:AM,0))</f>
        <v xml:space="preserve">Gold, Shenice  </v>
      </c>
      <c r="BG59">
        <f>COUNTIF(K:K,1)</f>
        <v>104</v>
      </c>
      <c r="BI59" t="s">
        <v>714</v>
      </c>
      <c r="BT59">
        <f t="shared" si="5"/>
        <v>3.04</v>
      </c>
      <c r="BV59">
        <v>4.3</v>
      </c>
      <c r="BW59">
        <v>3.18</v>
      </c>
    </row>
    <row r="60" spans="1:75" x14ac:dyDescent="0.3">
      <c r="A60" t="s">
        <v>222</v>
      </c>
      <c r="B60">
        <v>10132</v>
      </c>
      <c r="C60">
        <v>0</v>
      </c>
      <c r="D60">
        <v>0</v>
      </c>
      <c r="E60">
        <v>0</v>
      </c>
      <c r="F60">
        <v>2</v>
      </c>
      <c r="G60">
        <v>5</v>
      </c>
      <c r="H60">
        <v>3</v>
      </c>
      <c r="I60">
        <v>0</v>
      </c>
      <c r="J60">
        <v>56149</v>
      </c>
      <c r="K60">
        <v>0</v>
      </c>
      <c r="L60">
        <v>19</v>
      </c>
      <c r="M60" t="s">
        <v>37</v>
      </c>
      <c r="N60" t="s">
        <v>38</v>
      </c>
      <c r="O60">
        <v>1821</v>
      </c>
      <c r="P60">
        <v>31877</v>
      </c>
      <c r="Q60" t="s">
        <v>64</v>
      </c>
      <c r="R60" t="s">
        <v>40</v>
      </c>
      <c r="S60" t="s">
        <v>41</v>
      </c>
      <c r="T60" t="s">
        <v>42</v>
      </c>
      <c r="U60" t="s">
        <v>43</v>
      </c>
      <c r="V60">
        <v>42557</v>
      </c>
      <c r="X60" t="s">
        <v>44</v>
      </c>
      <c r="Y60" t="s">
        <v>45</v>
      </c>
      <c r="Z60" t="s">
        <v>46</v>
      </c>
      <c r="AA60" t="s">
        <v>47</v>
      </c>
      <c r="AB60">
        <v>22</v>
      </c>
      <c r="AC60" t="s">
        <v>48</v>
      </c>
      <c r="AD60" t="s">
        <v>60</v>
      </c>
      <c r="AE60">
        <v>4.12</v>
      </c>
      <c r="AF60">
        <v>5</v>
      </c>
      <c r="AG60">
        <v>0</v>
      </c>
      <c r="AH60" t="s">
        <v>223</v>
      </c>
      <c r="AI60">
        <v>0</v>
      </c>
      <c r="AJ60">
        <v>15</v>
      </c>
      <c r="AK60" t="str">
        <f t="shared" si="0"/>
        <v>Normal</v>
      </c>
      <c r="AL60" t="str">
        <f t="shared" si="1"/>
        <v>low Outlier</v>
      </c>
      <c r="AM60">
        <f ca="1">INT((TODAY()-HRDataset_v14[[#This Row],[DOB]])/365.25)</f>
        <v>38</v>
      </c>
      <c r="AN60">
        <f ca="1">DATEDIF(HRDataset_v14[[#This Row],[DateofHire]],TODAY(),"Y")</f>
        <v>9</v>
      </c>
      <c r="AO60">
        <f ca="1">IF(ISBLANK(HRDataset_v14[[#This Row],[DateofTermination]]),DATEDIF(HRDataset_v14[[#This Row],[DateofHire]],TODAY(),"Y"),DATEDIF(HRDataset_v14[[#This Row],[DateofHire]],HRDataset_v14[[#This Row],[DateofTermination]],"Y"))</f>
        <v>9</v>
      </c>
      <c r="AP60" t="str">
        <f ca="1">IF(HRDataset_v14[[#This Row],[Tenure in Years
]]&lt;1,"0-1 Year",IF(HRDataset_v14[[#This Row],[Tenure in Years
]]&lt;3,"1-3 Years",IF(HRDataset_v14[[#This Row],[Tenure in Years
]]&lt;5,"3-5 Years",IF(HRDataset_v14[[#This Row],[Tenure in Years
]]&lt;10,"5-10 Years","10+ Years"))))</f>
        <v>5-10 Years</v>
      </c>
      <c r="AQ60" t="str">
        <f ca="1">IF(HRDataset_v14[[#This Row],[Age Calculation
]]&lt;26,"18-25",IF(HRDataset_v14[[#This Row],[Age Calculation
]]&lt;36,"26-35",IF(HRDataset_v14[[#This Row],[Age Calculation
]]&lt;46,"36-45",IF(HRDataset_v14[[#This Row],[Age Calculation
]]&lt;56,"46-55","55+"))))</f>
        <v>36-45</v>
      </c>
      <c r="AR60" t="str">
        <f>IF(HRDataset_v14[[#This Row],[Salary]]&lt;40000,"Entry (&lt;40K)",IF(HRDataset_v14[[#This Row],[Salary]]&lt;70000,"Mid (40-70K)",IF(HRDataset_v14[[#This Row],[Salary]]&lt;100000,"Senior (70-100K)","Executive (100K+)")))</f>
        <v>Mid (40-70K)</v>
      </c>
      <c r="AS60">
        <f>IF(HRDataset_v14[[#This Row],[EmploymentStatus]]="Active",1,0)</f>
        <v>1</v>
      </c>
      <c r="AT60">
        <f>YEAR(HRDataset_v14[[#This Row],[DateofHire]])</f>
        <v>2016</v>
      </c>
      <c r="AU60">
        <f>MONTH(HRDataset_v14[[#This Row],[DateofHire]])</f>
        <v>7</v>
      </c>
      <c r="AV60" t="str">
        <f>"Q"&amp;ROUNDUP(MONTH(HRDataset_v14[[#This Row],[DateofHire]])/3,0)</f>
        <v>Q3</v>
      </c>
      <c r="AW60" t="str">
        <f>TEXT(HRDataset_v14[[#This Row],[DateofHire]],"MMM")</f>
        <v>Jul</v>
      </c>
      <c r="AX60" t="str">
        <f>TEXT(HRDataset_v14[[#This Row],[DateofHire]],"YYYY-MM")</f>
        <v>2016-07</v>
      </c>
      <c r="AY60" t="str">
        <f>IF(ISBLANK(HRDataset_v14[[#This Row],[DateofTermination]]),"N/A",YEAR(HRDataset_v14[[#This Row],[DateofTermination]]))</f>
        <v>N/A</v>
      </c>
      <c r="AZ60" t="str" cm="1">
        <f t="array" ref="AZ60">INDEX(_xlfn.UNIQUE(Z60:Z370),MATCH(MAX(COUNTIF(Z60:Z370,_xlfn.UNIQUE(Z60:Z370))),COUNTIF(Z60:Z370,_xlfn.UNIQUE(Z60:Z370)),0))</f>
        <v xml:space="preserve">Production       </v>
      </c>
      <c r="BA60">
        <f t="shared" si="6"/>
        <v>44.444444444444443</v>
      </c>
      <c r="BB60">
        <f t="shared" si="7"/>
        <v>0</v>
      </c>
      <c r="BC60" t="str">
        <f t="shared" si="4"/>
        <v>Medium</v>
      </c>
      <c r="BD60">
        <f t="shared" si="9"/>
        <v>4.12</v>
      </c>
      <c r="BE60" t="str">
        <f t="shared" si="8"/>
        <v/>
      </c>
      <c r="BF60" t="s">
        <v>676</v>
      </c>
      <c r="BG60">
        <f ca="1">COUNTIFS(AP:AP,"5-10 Years",K:K,1)</f>
        <v>0</v>
      </c>
      <c r="BH60" t="s">
        <v>767</v>
      </c>
      <c r="BI60" cm="1">
        <f t="array" ref="BI60">SUMPRODUCT((IFERROR(MONTH(V2:V100),0)&gt;=7)*(IFERROR(MONTH(V2:V100),0)&lt;=9))</f>
        <v>35</v>
      </c>
      <c r="BT60">
        <f t="shared" si="5"/>
        <v>4.12</v>
      </c>
      <c r="BV60">
        <v>4.7699999999999996</v>
      </c>
      <c r="BW60">
        <v>2.33</v>
      </c>
    </row>
    <row r="61" spans="1:75" x14ac:dyDescent="0.3">
      <c r="A61" t="s">
        <v>224</v>
      </c>
      <c r="B61">
        <v>10083</v>
      </c>
      <c r="C61">
        <v>0</v>
      </c>
      <c r="D61">
        <v>0</v>
      </c>
      <c r="E61">
        <v>1</v>
      </c>
      <c r="F61">
        <v>1</v>
      </c>
      <c r="G61">
        <v>3</v>
      </c>
      <c r="H61">
        <v>3</v>
      </c>
      <c r="I61">
        <v>0</v>
      </c>
      <c r="J61">
        <v>92329</v>
      </c>
      <c r="K61">
        <v>0</v>
      </c>
      <c r="L61">
        <v>28</v>
      </c>
      <c r="M61" t="s">
        <v>225</v>
      </c>
      <c r="N61" t="s">
        <v>146</v>
      </c>
      <c r="O61">
        <v>6278</v>
      </c>
      <c r="P61">
        <v>23994</v>
      </c>
      <c r="Q61" t="s">
        <v>39</v>
      </c>
      <c r="R61" t="s">
        <v>40</v>
      </c>
      <c r="S61" t="s">
        <v>41</v>
      </c>
      <c r="T61" t="s">
        <v>42</v>
      </c>
      <c r="U61" t="s">
        <v>43</v>
      </c>
      <c r="V61">
        <v>41953</v>
      </c>
      <c r="X61" t="s">
        <v>44</v>
      </c>
      <c r="Y61" t="s">
        <v>45</v>
      </c>
      <c r="Z61" t="s">
        <v>57</v>
      </c>
      <c r="AA61" t="s">
        <v>97</v>
      </c>
      <c r="AB61">
        <v>7</v>
      </c>
      <c r="AC61" t="s">
        <v>88</v>
      </c>
      <c r="AD61" t="s">
        <v>60</v>
      </c>
      <c r="AE61">
        <v>5</v>
      </c>
      <c r="AF61">
        <v>3</v>
      </c>
      <c r="AG61">
        <v>4</v>
      </c>
      <c r="AH61" t="s">
        <v>84</v>
      </c>
      <c r="AI61">
        <v>0</v>
      </c>
      <c r="AJ61">
        <v>5</v>
      </c>
      <c r="AK61" t="str">
        <f t="shared" si="0"/>
        <v>Normal</v>
      </c>
      <c r="AL61" t="str">
        <f t="shared" si="1"/>
        <v>low Outlier</v>
      </c>
      <c r="AM61">
        <f ca="1">INT((TODAY()-HRDataset_v14[[#This Row],[DOB]])/365.25)</f>
        <v>60</v>
      </c>
      <c r="AN61">
        <f ca="1">DATEDIF(HRDataset_v14[[#This Row],[DateofHire]],TODAY(),"Y")</f>
        <v>11</v>
      </c>
      <c r="AO61">
        <f ca="1">IF(ISBLANK(HRDataset_v14[[#This Row],[DateofTermination]]),DATEDIF(HRDataset_v14[[#This Row],[DateofHire]],TODAY(),"Y"),DATEDIF(HRDataset_v14[[#This Row],[DateofHire]],HRDataset_v14[[#This Row],[DateofTermination]],"Y"))</f>
        <v>11</v>
      </c>
      <c r="AP61" t="str">
        <f ca="1">IF(HRDataset_v14[[#This Row],[Tenure in Years
]]&lt;1,"0-1 Year",IF(HRDataset_v14[[#This Row],[Tenure in Years
]]&lt;3,"1-3 Years",IF(HRDataset_v14[[#This Row],[Tenure in Years
]]&lt;5,"3-5 Years",IF(HRDataset_v14[[#This Row],[Tenure in Years
]]&lt;10,"5-10 Years","10+ Years"))))</f>
        <v>10+ Years</v>
      </c>
      <c r="AQ61" t="str">
        <f ca="1">IF(HRDataset_v14[[#This Row],[Age Calculation
]]&lt;26,"18-25",IF(HRDataset_v14[[#This Row],[Age Calculation
]]&lt;36,"26-35",IF(HRDataset_v14[[#This Row],[Age Calculation
]]&lt;46,"36-45",IF(HRDataset_v14[[#This Row],[Age Calculation
]]&lt;56,"46-55","55+"))))</f>
        <v>55+</v>
      </c>
      <c r="AR61" t="str">
        <f>IF(HRDataset_v14[[#This Row],[Salary]]&lt;40000,"Entry (&lt;40K)",IF(HRDataset_v14[[#This Row],[Salary]]&lt;70000,"Mid (40-70K)",IF(HRDataset_v14[[#This Row],[Salary]]&lt;100000,"Senior (70-100K)","Executive (100K+)")))</f>
        <v>Senior (70-100K)</v>
      </c>
      <c r="AS61">
        <f>IF(HRDataset_v14[[#This Row],[EmploymentStatus]]="Active",1,0)</f>
        <v>1</v>
      </c>
      <c r="AT61">
        <f>YEAR(HRDataset_v14[[#This Row],[DateofHire]])</f>
        <v>2014</v>
      </c>
      <c r="AU61">
        <f>MONTH(HRDataset_v14[[#This Row],[DateofHire]])</f>
        <v>11</v>
      </c>
      <c r="AV61" t="str">
        <f>"Q"&amp;ROUNDUP(MONTH(HRDataset_v14[[#This Row],[DateofHire]])/3,0)</f>
        <v>Q4</v>
      </c>
      <c r="AW61" t="str">
        <f>TEXT(HRDataset_v14[[#This Row],[DateofHire]],"MMM")</f>
        <v>Nov</v>
      </c>
      <c r="AX61" t="str">
        <f>TEXT(HRDataset_v14[[#This Row],[DateofHire]],"YYYY-MM")</f>
        <v>2014-11</v>
      </c>
      <c r="AY61" t="str">
        <f>IF(ISBLANK(HRDataset_v14[[#This Row],[DateofTermination]]),"N/A",YEAR(HRDataset_v14[[#This Row],[DateofTermination]]))</f>
        <v>N/A</v>
      </c>
      <c r="AZ61" t="str" cm="1">
        <f t="array" ref="AZ61">INDEX(_xlfn.UNIQUE(Z61:Z371),MATCH(MAX(COUNTIF(Z61:Z371,_xlfn.UNIQUE(Z61:Z371))),COUNTIF(Z61:Z371,_xlfn.UNIQUE(Z61:Z371)),0))</f>
        <v xml:space="preserve">Production       </v>
      </c>
      <c r="BA61">
        <f t="shared" si="6"/>
        <v>7.6923076923076925</v>
      </c>
      <c r="BB61">
        <f t="shared" si="7"/>
        <v>0</v>
      </c>
      <c r="BC61" t="str">
        <f t="shared" si="4"/>
        <v>Medium</v>
      </c>
      <c r="BD61">
        <f t="shared" si="9"/>
        <v>5</v>
      </c>
      <c r="BE61" t="str">
        <f t="shared" si="8"/>
        <v/>
      </c>
      <c r="BF61" t="str">
        <f ca="1">INDEX(A:A,MATCH(MAX(AM:AM),AM:AM,0))</f>
        <v xml:space="preserve">Chace, Beatrice </v>
      </c>
      <c r="BH61">
        <f>COUNTIF(AF2:AF312,"&lt;3")</f>
        <v>11</v>
      </c>
      <c r="BI61" t="s">
        <v>715</v>
      </c>
      <c r="BT61">
        <f t="shared" si="5"/>
        <v>5</v>
      </c>
      <c r="BV61">
        <v>4.5199999999999996</v>
      </c>
      <c r="BW61">
        <v>5</v>
      </c>
    </row>
    <row r="62" spans="1:75" x14ac:dyDescent="0.3">
      <c r="A62" t="s">
        <v>226</v>
      </c>
      <c r="B62">
        <v>10099</v>
      </c>
      <c r="C62">
        <v>0</v>
      </c>
      <c r="D62">
        <v>0</v>
      </c>
      <c r="E62">
        <v>0</v>
      </c>
      <c r="F62">
        <v>1</v>
      </c>
      <c r="G62">
        <v>6</v>
      </c>
      <c r="H62">
        <v>3</v>
      </c>
      <c r="I62">
        <v>0</v>
      </c>
      <c r="J62">
        <v>65729</v>
      </c>
      <c r="K62">
        <v>0</v>
      </c>
      <c r="L62">
        <v>21</v>
      </c>
      <c r="M62" t="s">
        <v>227</v>
      </c>
      <c r="N62" t="s">
        <v>188</v>
      </c>
      <c r="O62">
        <v>5473</v>
      </c>
      <c r="P62">
        <v>32982</v>
      </c>
      <c r="Q62" t="s">
        <v>64</v>
      </c>
      <c r="R62" t="s">
        <v>40</v>
      </c>
      <c r="S62" t="s">
        <v>41</v>
      </c>
      <c r="T62" t="s">
        <v>42</v>
      </c>
      <c r="U62" t="s">
        <v>43</v>
      </c>
      <c r="V62">
        <v>41764</v>
      </c>
      <c r="X62" t="s">
        <v>44</v>
      </c>
      <c r="Y62" t="s">
        <v>45</v>
      </c>
      <c r="Z62" t="s">
        <v>171</v>
      </c>
      <c r="AA62" t="s">
        <v>228</v>
      </c>
      <c r="AB62">
        <v>15</v>
      </c>
      <c r="AC62" t="s">
        <v>59</v>
      </c>
      <c r="AD62" t="s">
        <v>60</v>
      </c>
      <c r="AE62">
        <v>4.62</v>
      </c>
      <c r="AF62">
        <v>4</v>
      </c>
      <c r="AG62">
        <v>0</v>
      </c>
      <c r="AH62" t="s">
        <v>229</v>
      </c>
      <c r="AI62">
        <v>0</v>
      </c>
      <c r="AJ62">
        <v>8</v>
      </c>
      <c r="AK62" t="str">
        <f t="shared" si="0"/>
        <v>Normal</v>
      </c>
      <c r="AL62" t="str">
        <f t="shared" si="1"/>
        <v>low Outlier</v>
      </c>
      <c r="AM62">
        <f ca="1">INT((TODAY()-HRDataset_v14[[#This Row],[DOB]])/365.25)</f>
        <v>35</v>
      </c>
      <c r="AN62">
        <f ca="1">DATEDIF(HRDataset_v14[[#This Row],[DateofHire]],TODAY(),"Y")</f>
        <v>11</v>
      </c>
      <c r="AO62">
        <f ca="1">IF(ISBLANK(HRDataset_v14[[#This Row],[DateofTermination]]),DATEDIF(HRDataset_v14[[#This Row],[DateofHire]],TODAY(),"Y"),DATEDIF(HRDataset_v14[[#This Row],[DateofHire]],HRDataset_v14[[#This Row],[DateofTermination]],"Y"))</f>
        <v>11</v>
      </c>
      <c r="AP62" t="str">
        <f ca="1">IF(HRDataset_v14[[#This Row],[Tenure in Years
]]&lt;1,"0-1 Year",IF(HRDataset_v14[[#This Row],[Tenure in Years
]]&lt;3,"1-3 Years",IF(HRDataset_v14[[#This Row],[Tenure in Years
]]&lt;5,"3-5 Years",IF(HRDataset_v14[[#This Row],[Tenure in Years
]]&lt;10,"5-10 Years","10+ Years"))))</f>
        <v>10+ Years</v>
      </c>
      <c r="AQ62" t="str">
        <f ca="1">IF(HRDataset_v14[[#This Row],[Age Calculation
]]&lt;26,"18-25",IF(HRDataset_v14[[#This Row],[Age Calculation
]]&lt;36,"26-35",IF(HRDataset_v14[[#This Row],[Age Calculation
]]&lt;46,"36-45",IF(HRDataset_v14[[#This Row],[Age Calculation
]]&lt;56,"46-55","55+"))))</f>
        <v>26-35</v>
      </c>
      <c r="AR62" t="str">
        <f>IF(HRDataset_v14[[#This Row],[Salary]]&lt;40000,"Entry (&lt;40K)",IF(HRDataset_v14[[#This Row],[Salary]]&lt;70000,"Mid (40-70K)",IF(HRDataset_v14[[#This Row],[Salary]]&lt;100000,"Senior (70-100K)","Executive (100K+)")))</f>
        <v>Mid (40-70K)</v>
      </c>
      <c r="AS62">
        <f>IF(HRDataset_v14[[#This Row],[EmploymentStatus]]="Active",1,0)</f>
        <v>1</v>
      </c>
      <c r="AT62">
        <f>YEAR(HRDataset_v14[[#This Row],[DateofHire]])</f>
        <v>2014</v>
      </c>
      <c r="AU62">
        <f>MONTH(HRDataset_v14[[#This Row],[DateofHire]])</f>
        <v>5</v>
      </c>
      <c r="AV62" t="str">
        <f>"Q"&amp;ROUNDUP(MONTH(HRDataset_v14[[#This Row],[DateofHire]])/3,0)</f>
        <v>Q2</v>
      </c>
      <c r="AW62" t="str">
        <f>TEXT(HRDataset_v14[[#This Row],[DateofHire]],"MMM")</f>
        <v>May</v>
      </c>
      <c r="AX62" t="str">
        <f>TEXT(HRDataset_v14[[#This Row],[DateofHire]],"YYYY-MM")</f>
        <v>2014-05</v>
      </c>
      <c r="AY62" t="str">
        <f>IF(ISBLANK(HRDataset_v14[[#This Row],[DateofTermination]]),"N/A",YEAR(HRDataset_v14[[#This Row],[DateofTermination]]))</f>
        <v>N/A</v>
      </c>
      <c r="AZ62" t="str" cm="1">
        <f t="array" ref="AZ62">INDEX(_xlfn.UNIQUE(Z62:Z372),MATCH(MAX(COUNTIF(Z62:Z372,_xlfn.UNIQUE(Z62:Z372))),COUNTIF(Z62:Z372,_xlfn.UNIQUE(Z62:Z372)),0))</f>
        <v xml:space="preserve">Production       </v>
      </c>
      <c r="BA62">
        <f t="shared" si="6"/>
        <v>33.333333333333329</v>
      </c>
      <c r="BB62">
        <f t="shared" si="7"/>
        <v>0</v>
      </c>
      <c r="BC62" t="str">
        <f t="shared" si="4"/>
        <v>Medium</v>
      </c>
      <c r="BD62">
        <f t="shared" si="9"/>
        <v>4.62</v>
      </c>
      <c r="BE62" t="str">
        <f t="shared" si="8"/>
        <v/>
      </c>
      <c r="BG62" cm="1">
        <f t="array" aca="1" ref="BG62" ca="1">SUMPRODUCT((AP2:AP312="5-10 Years")*(K2:K312=1))</f>
        <v>0</v>
      </c>
      <c r="BH62" t="s">
        <v>768</v>
      </c>
      <c r="BI62" cm="1">
        <f t="array" ref="BI62">SUMPRODUCT((IFERROR(MONTH(V2:V100),0)&gt;=10)*(IFERROR(MONTH(V2:V100),0)&lt;=12))</f>
        <v>11</v>
      </c>
      <c r="BT62">
        <f t="shared" si="5"/>
        <v>4.62</v>
      </c>
      <c r="BV62">
        <v>2.9</v>
      </c>
      <c r="BW62">
        <v>3.89</v>
      </c>
    </row>
    <row r="63" spans="1:75" x14ac:dyDescent="0.3">
      <c r="A63" t="s">
        <v>230</v>
      </c>
      <c r="B63">
        <v>10212</v>
      </c>
      <c r="C63">
        <v>1</v>
      </c>
      <c r="D63">
        <v>1</v>
      </c>
      <c r="E63">
        <v>0</v>
      </c>
      <c r="F63">
        <v>3</v>
      </c>
      <c r="G63">
        <v>3</v>
      </c>
      <c r="H63">
        <v>3</v>
      </c>
      <c r="I63">
        <v>0</v>
      </c>
      <c r="J63">
        <v>85028</v>
      </c>
      <c r="K63">
        <v>0</v>
      </c>
      <c r="L63">
        <v>28</v>
      </c>
      <c r="M63" t="s">
        <v>225</v>
      </c>
      <c r="N63" t="s">
        <v>146</v>
      </c>
      <c r="O63">
        <v>6033</v>
      </c>
      <c r="P63">
        <v>19011</v>
      </c>
      <c r="Q63" t="s">
        <v>64</v>
      </c>
      <c r="R63" t="s">
        <v>53</v>
      </c>
      <c r="S63" t="s">
        <v>41</v>
      </c>
      <c r="T63" t="s">
        <v>42</v>
      </c>
      <c r="U63" t="s">
        <v>43</v>
      </c>
      <c r="V63">
        <v>41953</v>
      </c>
      <c r="X63" t="s">
        <v>44</v>
      </c>
      <c r="Y63" t="s">
        <v>45</v>
      </c>
      <c r="Z63" t="s">
        <v>57</v>
      </c>
      <c r="AA63" t="s">
        <v>97</v>
      </c>
      <c r="AB63">
        <v>7</v>
      </c>
      <c r="AC63" t="s">
        <v>48</v>
      </c>
      <c r="AD63" t="s">
        <v>60</v>
      </c>
      <c r="AE63">
        <v>3.1</v>
      </c>
      <c r="AF63">
        <v>5</v>
      </c>
      <c r="AG63">
        <v>8</v>
      </c>
      <c r="AH63" t="s">
        <v>190</v>
      </c>
      <c r="AI63">
        <v>0</v>
      </c>
      <c r="AJ63">
        <v>19</v>
      </c>
      <c r="AK63" t="str">
        <f t="shared" si="0"/>
        <v>Normal</v>
      </c>
      <c r="AL63" t="str">
        <f t="shared" si="1"/>
        <v>low Outlier</v>
      </c>
      <c r="AM63">
        <f ca="1">INT((TODAY()-HRDataset_v14[[#This Row],[DOB]])/365.25)</f>
        <v>74</v>
      </c>
      <c r="AN63">
        <f ca="1">DATEDIF(HRDataset_v14[[#This Row],[DateofHire]],TODAY(),"Y")</f>
        <v>11</v>
      </c>
      <c r="AO63">
        <f ca="1">IF(ISBLANK(HRDataset_v14[[#This Row],[DateofTermination]]),DATEDIF(HRDataset_v14[[#This Row],[DateofHire]],TODAY(),"Y"),DATEDIF(HRDataset_v14[[#This Row],[DateofHire]],HRDataset_v14[[#This Row],[DateofTermination]],"Y"))</f>
        <v>11</v>
      </c>
      <c r="AP63" t="str">
        <f ca="1">IF(HRDataset_v14[[#This Row],[Tenure in Years
]]&lt;1,"0-1 Year",IF(HRDataset_v14[[#This Row],[Tenure in Years
]]&lt;3,"1-3 Years",IF(HRDataset_v14[[#This Row],[Tenure in Years
]]&lt;5,"3-5 Years",IF(HRDataset_v14[[#This Row],[Tenure in Years
]]&lt;10,"5-10 Years","10+ Years"))))</f>
        <v>10+ Years</v>
      </c>
      <c r="AQ63" t="str">
        <f ca="1">IF(HRDataset_v14[[#This Row],[Age Calculation
]]&lt;26,"18-25",IF(HRDataset_v14[[#This Row],[Age Calculation
]]&lt;36,"26-35",IF(HRDataset_v14[[#This Row],[Age Calculation
]]&lt;46,"36-45",IF(HRDataset_v14[[#This Row],[Age Calculation
]]&lt;56,"46-55","55+"))))</f>
        <v>55+</v>
      </c>
      <c r="AR63" t="str">
        <f>IF(HRDataset_v14[[#This Row],[Salary]]&lt;40000,"Entry (&lt;40K)",IF(HRDataset_v14[[#This Row],[Salary]]&lt;70000,"Mid (40-70K)",IF(HRDataset_v14[[#This Row],[Salary]]&lt;100000,"Senior (70-100K)","Executive (100K+)")))</f>
        <v>Senior (70-100K)</v>
      </c>
      <c r="AS63">
        <f>IF(HRDataset_v14[[#This Row],[EmploymentStatus]]="Active",1,0)</f>
        <v>1</v>
      </c>
      <c r="AT63">
        <f>YEAR(HRDataset_v14[[#This Row],[DateofHire]])</f>
        <v>2014</v>
      </c>
      <c r="AU63">
        <f>MONTH(HRDataset_v14[[#This Row],[DateofHire]])</f>
        <v>11</v>
      </c>
      <c r="AV63" t="str">
        <f>"Q"&amp;ROUNDUP(MONTH(HRDataset_v14[[#This Row],[DateofHire]])/3,0)</f>
        <v>Q4</v>
      </c>
      <c r="AW63" t="str">
        <f>TEXT(HRDataset_v14[[#This Row],[DateofHire]],"MMM")</f>
        <v>Nov</v>
      </c>
      <c r="AX63" t="str">
        <f>TEXT(HRDataset_v14[[#This Row],[DateofHire]],"YYYY-MM")</f>
        <v>2014-11</v>
      </c>
      <c r="AY63" t="str">
        <f>IF(ISBLANK(HRDataset_v14[[#This Row],[DateofTermination]]),"N/A",YEAR(HRDataset_v14[[#This Row],[DateofTermination]]))</f>
        <v>N/A</v>
      </c>
      <c r="AZ63" t="str" cm="1">
        <f t="array" ref="AZ63">INDEX(_xlfn.UNIQUE(Z63:Z373),MATCH(MAX(COUNTIF(Z63:Z373,_xlfn.UNIQUE(Z63:Z373))),COUNTIF(Z63:Z373,_xlfn.UNIQUE(Z63:Z373)),0))</f>
        <v xml:space="preserve">Production       </v>
      </c>
      <c r="BA63">
        <f t="shared" si="6"/>
        <v>8.3333333333333321</v>
      </c>
      <c r="BB63">
        <f t="shared" si="7"/>
        <v>0</v>
      </c>
      <c r="BC63" t="str">
        <f t="shared" si="4"/>
        <v>Medium</v>
      </c>
      <c r="BD63">
        <f t="shared" si="9"/>
        <v>3.1</v>
      </c>
      <c r="BE63" t="str">
        <f t="shared" si="8"/>
        <v/>
      </c>
      <c r="BF63" t="s">
        <v>677</v>
      </c>
      <c r="BG63">
        <f ca="1">COUNTIF(AP2:AP312,"5-10 Years")</f>
        <v>19</v>
      </c>
      <c r="BH63">
        <f>CORREL(AE2:AE312,AF2:AF312)</f>
        <v>0.18710517982625027</v>
      </c>
      <c r="BT63">
        <f t="shared" si="5"/>
        <v>3.1</v>
      </c>
      <c r="BV63">
        <v>4.7</v>
      </c>
      <c r="BW63">
        <v>5</v>
      </c>
    </row>
    <row r="64" spans="1:75" x14ac:dyDescent="0.3">
      <c r="A64" t="s">
        <v>231</v>
      </c>
      <c r="B64">
        <v>10056</v>
      </c>
      <c r="C64">
        <v>1</v>
      </c>
      <c r="D64">
        <v>1</v>
      </c>
      <c r="E64">
        <v>0</v>
      </c>
      <c r="F64">
        <v>1</v>
      </c>
      <c r="G64">
        <v>5</v>
      </c>
      <c r="H64">
        <v>3</v>
      </c>
      <c r="I64">
        <v>0</v>
      </c>
      <c r="J64">
        <v>57583</v>
      </c>
      <c r="K64">
        <v>0</v>
      </c>
      <c r="L64">
        <v>19</v>
      </c>
      <c r="M64" t="s">
        <v>37</v>
      </c>
      <c r="N64" t="s">
        <v>38</v>
      </c>
      <c r="O64">
        <v>2110</v>
      </c>
      <c r="P64">
        <v>28799</v>
      </c>
      <c r="Q64" t="s">
        <v>64</v>
      </c>
      <c r="R64" t="s">
        <v>53</v>
      </c>
      <c r="S64" t="s">
        <v>41</v>
      </c>
      <c r="T64" t="s">
        <v>42</v>
      </c>
      <c r="U64" t="s">
        <v>43</v>
      </c>
      <c r="V64">
        <v>41092</v>
      </c>
      <c r="X64" t="s">
        <v>44</v>
      </c>
      <c r="Y64" t="s">
        <v>45</v>
      </c>
      <c r="Z64" t="s">
        <v>46</v>
      </c>
      <c r="AA64" t="s">
        <v>69</v>
      </c>
      <c r="AB64">
        <v>16</v>
      </c>
      <c r="AC64" t="s">
        <v>59</v>
      </c>
      <c r="AD64" t="s">
        <v>60</v>
      </c>
      <c r="AE64">
        <v>5</v>
      </c>
      <c r="AF64">
        <v>3</v>
      </c>
      <c r="AG64">
        <v>0</v>
      </c>
      <c r="AH64" t="s">
        <v>89</v>
      </c>
      <c r="AI64">
        <v>0</v>
      </c>
      <c r="AJ64">
        <v>1</v>
      </c>
      <c r="AK64" t="str">
        <f t="shared" si="0"/>
        <v>Normal</v>
      </c>
      <c r="AL64" t="str">
        <f t="shared" si="1"/>
        <v>low Outlier</v>
      </c>
      <c r="AM64">
        <f ca="1">INT((TODAY()-HRDataset_v14[[#This Row],[DOB]])/365.25)</f>
        <v>47</v>
      </c>
      <c r="AN64">
        <f ca="1">DATEDIF(HRDataset_v14[[#This Row],[DateofHire]],TODAY(),"Y")</f>
        <v>13</v>
      </c>
      <c r="AO64">
        <f ca="1">IF(ISBLANK(HRDataset_v14[[#This Row],[DateofTermination]]),DATEDIF(HRDataset_v14[[#This Row],[DateofHire]],TODAY(),"Y"),DATEDIF(HRDataset_v14[[#This Row],[DateofHire]],HRDataset_v14[[#This Row],[DateofTermination]],"Y"))</f>
        <v>13</v>
      </c>
      <c r="AP64" t="str">
        <f ca="1">IF(HRDataset_v14[[#This Row],[Tenure in Years
]]&lt;1,"0-1 Year",IF(HRDataset_v14[[#This Row],[Tenure in Years
]]&lt;3,"1-3 Years",IF(HRDataset_v14[[#This Row],[Tenure in Years
]]&lt;5,"3-5 Years",IF(HRDataset_v14[[#This Row],[Tenure in Years
]]&lt;10,"5-10 Years","10+ Years"))))</f>
        <v>10+ Years</v>
      </c>
      <c r="AQ64" t="str">
        <f ca="1">IF(HRDataset_v14[[#This Row],[Age Calculation
]]&lt;26,"18-25",IF(HRDataset_v14[[#This Row],[Age Calculation
]]&lt;36,"26-35",IF(HRDataset_v14[[#This Row],[Age Calculation
]]&lt;46,"36-45",IF(HRDataset_v14[[#This Row],[Age Calculation
]]&lt;56,"46-55","55+"))))</f>
        <v>46-55</v>
      </c>
      <c r="AR64" t="str">
        <f>IF(HRDataset_v14[[#This Row],[Salary]]&lt;40000,"Entry (&lt;40K)",IF(HRDataset_v14[[#This Row],[Salary]]&lt;70000,"Mid (40-70K)",IF(HRDataset_v14[[#This Row],[Salary]]&lt;100000,"Senior (70-100K)","Executive (100K+)")))</f>
        <v>Mid (40-70K)</v>
      </c>
      <c r="AS64">
        <f>IF(HRDataset_v14[[#This Row],[EmploymentStatus]]="Active",1,0)</f>
        <v>1</v>
      </c>
      <c r="AT64">
        <f>YEAR(HRDataset_v14[[#This Row],[DateofHire]])</f>
        <v>2012</v>
      </c>
      <c r="AU64">
        <f>MONTH(HRDataset_v14[[#This Row],[DateofHire]])</f>
        <v>7</v>
      </c>
      <c r="AV64" t="str">
        <f>"Q"&amp;ROUNDUP(MONTH(HRDataset_v14[[#This Row],[DateofHire]])/3,0)</f>
        <v>Q3</v>
      </c>
      <c r="AW64" t="str">
        <f>TEXT(HRDataset_v14[[#This Row],[DateofHire]],"MMM")</f>
        <v>Jul</v>
      </c>
      <c r="AX64" t="str">
        <f>TEXT(HRDataset_v14[[#This Row],[DateofHire]],"YYYY-MM")</f>
        <v>2012-07</v>
      </c>
      <c r="AY64" t="str">
        <f>IF(ISBLANK(HRDataset_v14[[#This Row],[DateofTermination]]),"N/A",YEAR(HRDataset_v14[[#This Row],[DateofTermination]]))</f>
        <v>N/A</v>
      </c>
      <c r="AZ64" t="str" cm="1">
        <f t="array" ref="AZ64">INDEX(_xlfn.UNIQUE(Z64:Z374),MATCH(MAX(COUNTIF(Z64:Z374,_xlfn.UNIQUE(Z64:Z374))),COUNTIF(Z64:Z374,_xlfn.UNIQUE(Z64:Z374)),0))</f>
        <v xml:space="preserve">Production       </v>
      </c>
      <c r="BA64">
        <f t="shared" si="6"/>
        <v>38.888888888888893</v>
      </c>
      <c r="BB64">
        <f t="shared" si="7"/>
        <v>0</v>
      </c>
      <c r="BC64" t="str">
        <f t="shared" si="4"/>
        <v>Medium</v>
      </c>
      <c r="BD64">
        <f t="shared" si="9"/>
        <v>5</v>
      </c>
      <c r="BE64" t="str">
        <f t="shared" si="8"/>
        <v/>
      </c>
      <c r="BF64" t="s">
        <v>678</v>
      </c>
      <c r="BG64">
        <f>COUNTIF(K2:K312,1)</f>
        <v>104</v>
      </c>
      <c r="BT64">
        <f t="shared" si="5"/>
        <v>5</v>
      </c>
      <c r="BV64">
        <v>4.2</v>
      </c>
      <c r="BW64">
        <v>4.7</v>
      </c>
    </row>
    <row r="65" spans="1:75" x14ac:dyDescent="0.3">
      <c r="A65" t="s">
        <v>233</v>
      </c>
      <c r="B65">
        <v>10143</v>
      </c>
      <c r="C65">
        <v>0</v>
      </c>
      <c r="D65">
        <v>0</v>
      </c>
      <c r="E65">
        <v>1</v>
      </c>
      <c r="F65">
        <v>1</v>
      </c>
      <c r="G65">
        <v>5</v>
      </c>
      <c r="H65">
        <v>3</v>
      </c>
      <c r="I65">
        <v>0</v>
      </c>
      <c r="J65">
        <v>56294</v>
      </c>
      <c r="K65">
        <v>0</v>
      </c>
      <c r="L65">
        <v>20</v>
      </c>
      <c r="M65" t="s">
        <v>63</v>
      </c>
      <c r="N65" t="s">
        <v>38</v>
      </c>
      <c r="O65">
        <v>2458</v>
      </c>
      <c r="P65">
        <v>29112</v>
      </c>
      <c r="Q65" t="s">
        <v>39</v>
      </c>
      <c r="R65" t="s">
        <v>40</v>
      </c>
      <c r="S65" t="s">
        <v>126</v>
      </c>
      <c r="T65" t="s">
        <v>42</v>
      </c>
      <c r="U65" t="s">
        <v>111</v>
      </c>
      <c r="V65">
        <v>40854</v>
      </c>
      <c r="X65" t="s">
        <v>44</v>
      </c>
      <c r="Y65" t="s">
        <v>45</v>
      </c>
      <c r="Z65" t="s">
        <v>46</v>
      </c>
      <c r="AA65" t="s">
        <v>66</v>
      </c>
      <c r="AB65">
        <v>20</v>
      </c>
      <c r="AC65" t="s">
        <v>48</v>
      </c>
      <c r="AD65" t="s">
        <v>60</v>
      </c>
      <c r="AE65">
        <v>3.96</v>
      </c>
      <c r="AF65">
        <v>4</v>
      </c>
      <c r="AG65">
        <v>0</v>
      </c>
      <c r="AH65" t="s">
        <v>138</v>
      </c>
      <c r="AI65">
        <v>0</v>
      </c>
      <c r="AJ65">
        <v>6</v>
      </c>
      <c r="AK65" t="str">
        <f t="shared" si="0"/>
        <v>Normal</v>
      </c>
      <c r="AL65" t="str">
        <f t="shared" si="1"/>
        <v>low Outlier</v>
      </c>
      <c r="AM65">
        <f ca="1">INT((TODAY()-HRDataset_v14[[#This Row],[DOB]])/365.25)</f>
        <v>46</v>
      </c>
      <c r="AN65">
        <f ca="1">DATEDIF(HRDataset_v14[[#This Row],[DateofHire]],TODAY(),"Y")</f>
        <v>14</v>
      </c>
      <c r="AO65">
        <f ca="1">IF(ISBLANK(HRDataset_v14[[#This Row],[DateofTermination]]),DATEDIF(HRDataset_v14[[#This Row],[DateofHire]],TODAY(),"Y"),DATEDIF(HRDataset_v14[[#This Row],[DateofHire]],HRDataset_v14[[#This Row],[DateofTermination]],"Y"))</f>
        <v>14</v>
      </c>
      <c r="AP65" t="str">
        <f ca="1">IF(HRDataset_v14[[#This Row],[Tenure in Years
]]&lt;1,"0-1 Year",IF(HRDataset_v14[[#This Row],[Tenure in Years
]]&lt;3,"1-3 Years",IF(HRDataset_v14[[#This Row],[Tenure in Years
]]&lt;5,"3-5 Years",IF(HRDataset_v14[[#This Row],[Tenure in Years
]]&lt;10,"5-10 Years","10+ Years"))))</f>
        <v>10+ Years</v>
      </c>
      <c r="AQ65" t="str">
        <f ca="1">IF(HRDataset_v14[[#This Row],[Age Calculation
]]&lt;26,"18-25",IF(HRDataset_v14[[#This Row],[Age Calculation
]]&lt;36,"26-35",IF(HRDataset_v14[[#This Row],[Age Calculation
]]&lt;46,"36-45",IF(HRDataset_v14[[#This Row],[Age Calculation
]]&lt;56,"46-55","55+"))))</f>
        <v>46-55</v>
      </c>
      <c r="AR65" t="str">
        <f>IF(HRDataset_v14[[#This Row],[Salary]]&lt;40000,"Entry (&lt;40K)",IF(HRDataset_v14[[#This Row],[Salary]]&lt;70000,"Mid (40-70K)",IF(HRDataset_v14[[#This Row],[Salary]]&lt;100000,"Senior (70-100K)","Executive (100K+)")))</f>
        <v>Mid (40-70K)</v>
      </c>
      <c r="AS65">
        <f>IF(HRDataset_v14[[#This Row],[EmploymentStatus]]="Active",1,0)</f>
        <v>1</v>
      </c>
      <c r="AT65">
        <f>YEAR(HRDataset_v14[[#This Row],[DateofHire]])</f>
        <v>2011</v>
      </c>
      <c r="AU65">
        <f>MONTH(HRDataset_v14[[#This Row],[DateofHire]])</f>
        <v>11</v>
      </c>
      <c r="AV65" t="str">
        <f>"Q"&amp;ROUNDUP(MONTH(HRDataset_v14[[#This Row],[DateofHire]])/3,0)</f>
        <v>Q4</v>
      </c>
      <c r="AW65" t="str">
        <f>TEXT(HRDataset_v14[[#This Row],[DateofHire]],"MMM")</f>
        <v>Nov</v>
      </c>
      <c r="AX65" t="str">
        <f>TEXT(HRDataset_v14[[#This Row],[DateofHire]],"YYYY-MM")</f>
        <v>2011-11</v>
      </c>
      <c r="AY65" t="str">
        <f>IF(ISBLANK(HRDataset_v14[[#This Row],[DateofTermination]]),"N/A",YEAR(HRDataset_v14[[#This Row],[DateofTermination]]))</f>
        <v>N/A</v>
      </c>
      <c r="AZ65" t="str" cm="1">
        <f t="array" ref="AZ65">INDEX(_xlfn.UNIQUE(Z65:Z375),MATCH(MAX(COUNTIF(Z65:Z375,_xlfn.UNIQUE(Z65:Z375))),COUNTIF(Z65:Z375,_xlfn.UNIQUE(Z65:Z375)),0))</f>
        <v xml:space="preserve">Production       </v>
      </c>
      <c r="BA65">
        <f t="shared" si="6"/>
        <v>50</v>
      </c>
      <c r="BB65">
        <f t="shared" si="7"/>
        <v>0</v>
      </c>
      <c r="BC65" t="str">
        <f t="shared" si="4"/>
        <v>Medium</v>
      </c>
      <c r="BD65">
        <f t="shared" si="9"/>
        <v>3.96</v>
      </c>
      <c r="BE65" t="str">
        <f t="shared" si="8"/>
        <v/>
      </c>
      <c r="BF65">
        <f>COUNTIF(U:U,"White")</f>
        <v>187</v>
      </c>
      <c r="BG65">
        <f ca="1">IFERROR(
COUNTIFS(AP2:AP312,"5-10 Years",K2:K312,1)
/COUNTIF(AP2:AP312,"5-10 Years")*100,
0)</f>
        <v>0</v>
      </c>
      <c r="BH65" t="s">
        <v>769</v>
      </c>
      <c r="BI65" t="s">
        <v>717</v>
      </c>
      <c r="BT65">
        <f t="shared" si="5"/>
        <v>3.96</v>
      </c>
      <c r="BV65">
        <v>3</v>
      </c>
      <c r="BW65">
        <v>3.54</v>
      </c>
    </row>
    <row r="66" spans="1:75" x14ac:dyDescent="0.3">
      <c r="A66" t="s">
        <v>234</v>
      </c>
      <c r="B66">
        <v>10311</v>
      </c>
      <c r="C66">
        <v>1</v>
      </c>
      <c r="D66">
        <v>1</v>
      </c>
      <c r="E66">
        <v>1</v>
      </c>
      <c r="F66">
        <v>1</v>
      </c>
      <c r="G66">
        <v>6</v>
      </c>
      <c r="H66">
        <v>1</v>
      </c>
      <c r="I66">
        <v>0</v>
      </c>
      <c r="J66">
        <v>56991</v>
      </c>
      <c r="K66">
        <v>0</v>
      </c>
      <c r="L66">
        <v>19</v>
      </c>
      <c r="M66" t="s">
        <v>37</v>
      </c>
      <c r="N66" t="s">
        <v>38</v>
      </c>
      <c r="O66">
        <v>2138</v>
      </c>
      <c r="P66">
        <v>32248</v>
      </c>
      <c r="Q66" t="s">
        <v>39</v>
      </c>
      <c r="R66" t="s">
        <v>53</v>
      </c>
      <c r="S66" t="s">
        <v>41</v>
      </c>
      <c r="T66" t="s">
        <v>42</v>
      </c>
      <c r="U66" t="s">
        <v>43</v>
      </c>
      <c r="V66">
        <v>43290</v>
      </c>
      <c r="X66" t="s">
        <v>44</v>
      </c>
      <c r="Y66" t="s">
        <v>45</v>
      </c>
      <c r="Z66" t="s">
        <v>46</v>
      </c>
      <c r="AA66" t="s">
        <v>92</v>
      </c>
      <c r="AB66">
        <v>12</v>
      </c>
      <c r="AC66" t="s">
        <v>59</v>
      </c>
      <c r="AD66" t="s">
        <v>60</v>
      </c>
      <c r="AE66">
        <v>4.3</v>
      </c>
      <c r="AF66">
        <v>4</v>
      </c>
      <c r="AG66">
        <v>3</v>
      </c>
      <c r="AH66" t="s">
        <v>235</v>
      </c>
      <c r="AI66">
        <v>2</v>
      </c>
      <c r="AJ66">
        <v>2</v>
      </c>
      <c r="AK66" t="str">
        <f t="shared" ref="AK66:AK129" si="10">IF(J66&gt;AVERAGE($J$2:$J$100)+3*STDEV($J$2:$J$100)," high Outlier","Normal")</f>
        <v>Normal</v>
      </c>
      <c r="AL66" t="str">
        <f t="shared" ref="AL66:AL129" si="11">IF(J66&gt;AVERAGE($J$2:$J$100)-3*STDEV($J$2:$J$100),"low Outlier","Normal")</f>
        <v>low Outlier</v>
      </c>
      <c r="AM66">
        <f ca="1">INT((TODAY()-HRDataset_v14[[#This Row],[DOB]])/365.25)</f>
        <v>37</v>
      </c>
      <c r="AN66">
        <f ca="1">DATEDIF(HRDataset_v14[[#This Row],[DateofHire]],TODAY(),"Y")</f>
        <v>7</v>
      </c>
      <c r="AO66">
        <f ca="1">IF(ISBLANK(HRDataset_v14[[#This Row],[DateofTermination]]),DATEDIF(HRDataset_v14[[#This Row],[DateofHire]],TODAY(),"Y"),DATEDIF(HRDataset_v14[[#This Row],[DateofHire]],HRDataset_v14[[#This Row],[DateofTermination]],"Y"))</f>
        <v>7</v>
      </c>
      <c r="AP66" t="str">
        <f ca="1">IF(HRDataset_v14[[#This Row],[Tenure in Years
]]&lt;1,"0-1 Year",IF(HRDataset_v14[[#This Row],[Tenure in Years
]]&lt;3,"1-3 Years",IF(HRDataset_v14[[#This Row],[Tenure in Years
]]&lt;5,"3-5 Years",IF(HRDataset_v14[[#This Row],[Tenure in Years
]]&lt;10,"5-10 Years","10+ Years"))))</f>
        <v>5-10 Years</v>
      </c>
      <c r="AQ66" t="str">
        <f ca="1">IF(HRDataset_v14[[#This Row],[Age Calculation
]]&lt;26,"18-25",IF(HRDataset_v14[[#This Row],[Age Calculation
]]&lt;36,"26-35",IF(HRDataset_v14[[#This Row],[Age Calculation
]]&lt;46,"36-45",IF(HRDataset_v14[[#This Row],[Age Calculation
]]&lt;56,"46-55","55+"))))</f>
        <v>36-45</v>
      </c>
      <c r="AR66" t="str">
        <f>IF(HRDataset_v14[[#This Row],[Salary]]&lt;40000,"Entry (&lt;40K)",IF(HRDataset_v14[[#This Row],[Salary]]&lt;70000,"Mid (40-70K)",IF(HRDataset_v14[[#This Row],[Salary]]&lt;100000,"Senior (70-100K)","Executive (100K+)")))</f>
        <v>Mid (40-70K)</v>
      </c>
      <c r="AS66">
        <f>IF(HRDataset_v14[[#This Row],[EmploymentStatus]]="Active",1,0)</f>
        <v>1</v>
      </c>
      <c r="AT66">
        <f>YEAR(HRDataset_v14[[#This Row],[DateofHire]])</f>
        <v>2018</v>
      </c>
      <c r="AU66">
        <f>MONTH(HRDataset_v14[[#This Row],[DateofHire]])</f>
        <v>7</v>
      </c>
      <c r="AV66" t="str">
        <f>"Q"&amp;ROUNDUP(MONTH(HRDataset_v14[[#This Row],[DateofHire]])/3,0)</f>
        <v>Q3</v>
      </c>
      <c r="AW66" t="str">
        <f>TEXT(HRDataset_v14[[#This Row],[DateofHire]],"MMM")</f>
        <v>Jul</v>
      </c>
      <c r="AX66" t="str">
        <f>TEXT(HRDataset_v14[[#This Row],[DateofHire]],"YYYY-MM")</f>
        <v>2018-07</v>
      </c>
      <c r="AY66" t="str">
        <f>IF(ISBLANK(HRDataset_v14[[#This Row],[DateofTermination]]),"N/A",YEAR(HRDataset_v14[[#This Row],[DateofTermination]]))</f>
        <v>N/A</v>
      </c>
      <c r="AZ66" t="str" cm="1">
        <f t="array" ref="AZ66">INDEX(_xlfn.UNIQUE(Z66:Z376),MATCH(MAX(COUNTIF(Z66:Z376,_xlfn.UNIQUE(Z66:Z376))),COUNTIF(Z66:Z376,_xlfn.UNIQUE(Z66:Z376)),0))</f>
        <v xml:space="preserve">Production       </v>
      </c>
      <c r="BA66">
        <f t="shared" si="6"/>
        <v>27.777777777777779</v>
      </c>
      <c r="BB66">
        <f t="shared" si="7"/>
        <v>0</v>
      </c>
      <c r="BC66" t="str">
        <f t="shared" ref="BC66:BC129" si="12">IF(OR(AD66="PIP",AD66="Needs Improvement",AE66&lt;=2),"High",
IF(OR(AD66="Fully Meets",AE66=3),"Medium",
IF(AND(AD66="Exceeds",AE66&gt;=4),"Low","Medium")))</f>
        <v>Medium</v>
      </c>
      <c r="BD66">
        <f t="shared" ref="BD66:BD129" si="13">IF($K66=0,$AE66,"")</f>
        <v>4.3</v>
      </c>
      <c r="BE66" t="str">
        <f t="shared" ref="BE66:BE129" si="14">IF($K66=1,$AE66,"")</f>
        <v/>
      </c>
      <c r="BF66" t="s">
        <v>91</v>
      </c>
      <c r="BG66">
        <f ca="1">IFERROR(
COUNTIFS(AP2:AP312,"5-10 Years",K2:K312,1)
/COUNTIF(AP2:AP312,"5-10 Years"),
0)</f>
        <v>0</v>
      </c>
      <c r="BI66">
        <f>AVERAGEIFS(J:J, Z:Z, "IT/IS", AT:AT, "&gt;=2006", AT:AT, "&lt;=2018")</f>
        <v>97064.639999999999</v>
      </c>
      <c r="BT66">
        <f t="shared" ref="BT66:BT129" si="15">IF($K66=0,$AE66,"")</f>
        <v>4.3</v>
      </c>
      <c r="BV66">
        <v>4.4000000000000004</v>
      </c>
      <c r="BW66">
        <v>2.4</v>
      </c>
    </row>
    <row r="67" spans="1:75" x14ac:dyDescent="0.3">
      <c r="A67" t="s">
        <v>236</v>
      </c>
      <c r="B67">
        <v>10070</v>
      </c>
      <c r="C67">
        <v>1</v>
      </c>
      <c r="D67">
        <v>1</v>
      </c>
      <c r="E67">
        <v>1</v>
      </c>
      <c r="F67">
        <v>5</v>
      </c>
      <c r="G67">
        <v>5</v>
      </c>
      <c r="H67">
        <v>3</v>
      </c>
      <c r="I67">
        <v>0</v>
      </c>
      <c r="J67">
        <v>55722</v>
      </c>
      <c r="K67">
        <v>1</v>
      </c>
      <c r="L67">
        <v>19</v>
      </c>
      <c r="M67" t="s">
        <v>37</v>
      </c>
      <c r="N67" t="s">
        <v>38</v>
      </c>
      <c r="O67">
        <v>1810</v>
      </c>
      <c r="P67">
        <v>28429</v>
      </c>
      <c r="Q67" t="s">
        <v>39</v>
      </c>
      <c r="R67" t="s">
        <v>53</v>
      </c>
      <c r="S67" t="s">
        <v>41</v>
      </c>
      <c r="T67" t="s">
        <v>42</v>
      </c>
      <c r="U67" t="s">
        <v>43</v>
      </c>
      <c r="V67">
        <v>40679</v>
      </c>
      <c r="W67">
        <v>42529</v>
      </c>
      <c r="X67" t="s">
        <v>105</v>
      </c>
      <c r="Y67" t="s">
        <v>56</v>
      </c>
      <c r="Z67" t="s">
        <v>46</v>
      </c>
      <c r="AA67" t="s">
        <v>74</v>
      </c>
      <c r="AB67">
        <v>39</v>
      </c>
      <c r="AC67" t="s">
        <v>59</v>
      </c>
      <c r="AD67" t="s">
        <v>60</v>
      </c>
      <c r="AE67">
        <v>5</v>
      </c>
      <c r="AF67">
        <v>4</v>
      </c>
      <c r="AG67">
        <v>0</v>
      </c>
      <c r="AH67" t="s">
        <v>237</v>
      </c>
      <c r="AI67">
        <v>0</v>
      </c>
      <c r="AJ67">
        <v>14</v>
      </c>
      <c r="AK67" t="str">
        <f t="shared" si="10"/>
        <v>Normal</v>
      </c>
      <c r="AL67" t="str">
        <f t="shared" si="11"/>
        <v>low Outlier</v>
      </c>
      <c r="AM67">
        <f ca="1">INT((TODAY()-HRDataset_v14[[#This Row],[DOB]])/365.25)</f>
        <v>48</v>
      </c>
      <c r="AN67">
        <f ca="1">DATEDIF(HRDataset_v14[[#This Row],[DateofHire]],TODAY(),"Y")</f>
        <v>14</v>
      </c>
      <c r="AO67">
        <f ca="1">IF(ISBLANK(HRDataset_v14[[#This Row],[DateofTermination]]),DATEDIF(HRDataset_v14[[#This Row],[DateofHire]],TODAY(),"Y"),DATEDIF(HRDataset_v14[[#This Row],[DateofHire]],HRDataset_v14[[#This Row],[DateofTermination]],"Y"))</f>
        <v>5</v>
      </c>
      <c r="AP67" t="str">
        <f ca="1">IF(HRDataset_v14[[#This Row],[Tenure in Years
]]&lt;1,"0-1 Year",IF(HRDataset_v14[[#This Row],[Tenure in Years
]]&lt;3,"1-3 Years",IF(HRDataset_v14[[#This Row],[Tenure in Years
]]&lt;5,"3-5 Years",IF(HRDataset_v14[[#This Row],[Tenure in Years
]]&lt;10,"5-10 Years","10+ Years"))))</f>
        <v>10+ Years</v>
      </c>
      <c r="AQ67" t="str">
        <f ca="1">IF(HRDataset_v14[[#This Row],[Age Calculation
]]&lt;26,"18-25",IF(HRDataset_v14[[#This Row],[Age Calculation
]]&lt;36,"26-35",IF(HRDataset_v14[[#This Row],[Age Calculation
]]&lt;46,"36-45",IF(HRDataset_v14[[#This Row],[Age Calculation
]]&lt;56,"46-55","55+"))))</f>
        <v>46-55</v>
      </c>
      <c r="AR67" t="str">
        <f>IF(HRDataset_v14[[#This Row],[Salary]]&lt;40000,"Entry (&lt;40K)",IF(HRDataset_v14[[#This Row],[Salary]]&lt;70000,"Mid (40-70K)",IF(HRDataset_v14[[#This Row],[Salary]]&lt;100000,"Senior (70-100K)","Executive (100K+)")))</f>
        <v>Mid (40-70K)</v>
      </c>
      <c r="AS67">
        <f>IF(HRDataset_v14[[#This Row],[EmploymentStatus]]="Active",1,0)</f>
        <v>0</v>
      </c>
      <c r="AT67">
        <f>YEAR(HRDataset_v14[[#This Row],[DateofHire]])</f>
        <v>2011</v>
      </c>
      <c r="AU67">
        <f>MONTH(HRDataset_v14[[#This Row],[DateofHire]])</f>
        <v>5</v>
      </c>
      <c r="AV67" t="str">
        <f>"Q"&amp;ROUNDUP(MONTH(HRDataset_v14[[#This Row],[DateofHire]])/3,0)</f>
        <v>Q2</v>
      </c>
      <c r="AW67" t="str">
        <f>TEXT(HRDataset_v14[[#This Row],[DateofHire]],"MMM")</f>
        <v>May</v>
      </c>
      <c r="AX67" t="str">
        <f>TEXT(HRDataset_v14[[#This Row],[DateofHire]],"YYYY-MM")</f>
        <v>2011-05</v>
      </c>
      <c r="AY67">
        <f>IF(ISBLANK(HRDataset_v14[[#This Row],[DateofTermination]]),"N/A",YEAR(HRDataset_v14[[#This Row],[DateofTermination]]))</f>
        <v>2016</v>
      </c>
      <c r="AZ67" t="str" cm="1">
        <f t="array" ref="AZ67">INDEX(_xlfn.UNIQUE(Z67:Z377),MATCH(MAX(COUNTIF(Z67:Z377,_xlfn.UNIQUE(Z67:Z377))),COUNTIF(Z67:Z377,_xlfn.UNIQUE(Z67:Z377)),0))</f>
        <v xml:space="preserve">Production       </v>
      </c>
      <c r="BA67">
        <f t="shared" ref="BA67:BA130" si="16">COUNTIFS(AA67:AA377,AA67,K67:K377,1)
/COUNTIF(AA67:AA377,AA67)*100</f>
        <v>70.588235294117652</v>
      </c>
      <c r="BB67">
        <f t="shared" ref="BB67:BB130" si="17">COUNTIFS(X67:X377,X67,K67:K377,1)</f>
        <v>12</v>
      </c>
      <c r="BC67" t="str">
        <f t="shared" si="12"/>
        <v>Medium</v>
      </c>
      <c r="BD67" t="str">
        <f t="shared" si="13"/>
        <v/>
      </c>
      <c r="BE67">
        <f t="shared" si="14"/>
        <v>5</v>
      </c>
      <c r="BF67">
        <f>COUNTIF(U:U,"Black or African American")</f>
        <v>80</v>
      </c>
      <c r="BG67">
        <f ca="1">COUNTIFS(AP2:AP312,"5-10 Years",K2:K312,1)</f>
        <v>0</v>
      </c>
      <c r="BH67">
        <f>AVERAGEIF(K2:K312,0,AE2:AE312)</f>
        <v>4.1198067632850259</v>
      </c>
      <c r="BI67">
        <f>AVERAGEIFS(J:J, Z:Z, "*Production*", AT:AT, "&gt;=2006", AT:AT, "&lt;=2018")</f>
        <v>59953.545454545456</v>
      </c>
      <c r="BT67" t="str">
        <f t="shared" si="15"/>
        <v/>
      </c>
      <c r="BV67">
        <v>4</v>
      </c>
      <c r="BW67">
        <v>3.45</v>
      </c>
    </row>
    <row r="68" spans="1:75" x14ac:dyDescent="0.3">
      <c r="A68" t="s">
        <v>238</v>
      </c>
      <c r="B68">
        <v>10155</v>
      </c>
      <c r="C68">
        <v>0</v>
      </c>
      <c r="D68">
        <v>0</v>
      </c>
      <c r="E68">
        <v>0</v>
      </c>
      <c r="F68">
        <v>1</v>
      </c>
      <c r="G68">
        <v>4</v>
      </c>
      <c r="H68">
        <v>3</v>
      </c>
      <c r="I68">
        <v>0</v>
      </c>
      <c r="J68">
        <v>101199</v>
      </c>
      <c r="K68">
        <v>0</v>
      </c>
      <c r="L68">
        <v>24</v>
      </c>
      <c r="M68" t="s">
        <v>81</v>
      </c>
      <c r="N68" t="s">
        <v>38</v>
      </c>
      <c r="O68">
        <v>2176</v>
      </c>
      <c r="P68">
        <v>29041</v>
      </c>
      <c r="Q68" t="s">
        <v>64</v>
      </c>
      <c r="R68" t="s">
        <v>40</v>
      </c>
      <c r="S68" t="s">
        <v>41</v>
      </c>
      <c r="T68" t="s">
        <v>42</v>
      </c>
      <c r="U68" t="s">
        <v>91</v>
      </c>
      <c r="V68">
        <v>40917</v>
      </c>
      <c r="X68" t="s">
        <v>44</v>
      </c>
      <c r="Y68" t="s">
        <v>45</v>
      </c>
      <c r="Z68" t="s">
        <v>82</v>
      </c>
      <c r="AA68" t="s">
        <v>83</v>
      </c>
      <c r="AB68">
        <v>10</v>
      </c>
      <c r="AC68" t="s">
        <v>140</v>
      </c>
      <c r="AD68" t="s">
        <v>60</v>
      </c>
      <c r="AE68">
        <v>3.79</v>
      </c>
      <c r="AF68">
        <v>5</v>
      </c>
      <c r="AG68">
        <v>5</v>
      </c>
      <c r="AH68" t="s">
        <v>94</v>
      </c>
      <c r="AI68">
        <v>0</v>
      </c>
      <c r="AJ68">
        <v>8</v>
      </c>
      <c r="AK68" t="str">
        <f t="shared" si="10"/>
        <v>Normal</v>
      </c>
      <c r="AL68" t="str">
        <f t="shared" si="11"/>
        <v>low Outlier</v>
      </c>
      <c r="AM68">
        <f ca="1">INT((TODAY()-HRDataset_v14[[#This Row],[DOB]])/365.25)</f>
        <v>46</v>
      </c>
      <c r="AN68">
        <f ca="1">DATEDIF(HRDataset_v14[[#This Row],[DateofHire]],TODAY(),"Y")</f>
        <v>14</v>
      </c>
      <c r="AO68">
        <f ca="1">IF(ISBLANK(HRDataset_v14[[#This Row],[DateofTermination]]),DATEDIF(HRDataset_v14[[#This Row],[DateofHire]],TODAY(),"Y"),DATEDIF(HRDataset_v14[[#This Row],[DateofHire]],HRDataset_v14[[#This Row],[DateofTermination]],"Y"))</f>
        <v>14</v>
      </c>
      <c r="AP68" t="str">
        <f ca="1">IF(HRDataset_v14[[#This Row],[Tenure in Years
]]&lt;1,"0-1 Year",IF(HRDataset_v14[[#This Row],[Tenure in Years
]]&lt;3,"1-3 Years",IF(HRDataset_v14[[#This Row],[Tenure in Years
]]&lt;5,"3-5 Years",IF(HRDataset_v14[[#This Row],[Tenure in Years
]]&lt;10,"5-10 Years","10+ Years"))))</f>
        <v>10+ Years</v>
      </c>
      <c r="AQ68" t="str">
        <f ca="1">IF(HRDataset_v14[[#This Row],[Age Calculation
]]&lt;26,"18-25",IF(HRDataset_v14[[#This Row],[Age Calculation
]]&lt;36,"26-35",IF(HRDataset_v14[[#This Row],[Age Calculation
]]&lt;46,"36-45",IF(HRDataset_v14[[#This Row],[Age Calculation
]]&lt;56,"46-55","55+"))))</f>
        <v>46-55</v>
      </c>
      <c r="AR68" t="str">
        <f>IF(HRDataset_v14[[#This Row],[Salary]]&lt;40000,"Entry (&lt;40K)",IF(HRDataset_v14[[#This Row],[Salary]]&lt;70000,"Mid (40-70K)",IF(HRDataset_v14[[#This Row],[Salary]]&lt;100000,"Senior (70-100K)","Executive (100K+)")))</f>
        <v>Executive (100K+)</v>
      </c>
      <c r="AS68">
        <f>IF(HRDataset_v14[[#This Row],[EmploymentStatus]]="Active",1,0)</f>
        <v>1</v>
      </c>
      <c r="AT68">
        <f>YEAR(HRDataset_v14[[#This Row],[DateofHire]])</f>
        <v>2012</v>
      </c>
      <c r="AU68">
        <f>MONTH(HRDataset_v14[[#This Row],[DateofHire]])</f>
        <v>1</v>
      </c>
      <c r="AV68" t="str">
        <f>"Q"&amp;ROUNDUP(MONTH(HRDataset_v14[[#This Row],[DateofHire]])/3,0)</f>
        <v>Q1</v>
      </c>
      <c r="AW68" t="str">
        <f>TEXT(HRDataset_v14[[#This Row],[DateofHire]],"MMM")</f>
        <v>Jan</v>
      </c>
      <c r="AX68" t="str">
        <f>TEXT(HRDataset_v14[[#This Row],[DateofHire]],"YYYY-MM")</f>
        <v>2012-01</v>
      </c>
      <c r="AY68" t="str">
        <f>IF(ISBLANK(HRDataset_v14[[#This Row],[DateofTermination]]),"N/A",YEAR(HRDataset_v14[[#This Row],[DateofTermination]]))</f>
        <v>N/A</v>
      </c>
      <c r="AZ68" t="str" cm="1">
        <f t="array" ref="AZ68">INDEX(_xlfn.UNIQUE(Z68:Z378),MATCH(MAX(COUNTIF(Z68:Z378,_xlfn.UNIQUE(Z68:Z378))),COUNTIF(Z68:Z378,_xlfn.UNIQUE(Z68:Z378)),0))</f>
        <v xml:space="preserve">Production       </v>
      </c>
      <c r="BA68">
        <f t="shared" si="16"/>
        <v>42.857142857142854</v>
      </c>
      <c r="BB68">
        <f t="shared" si="17"/>
        <v>0</v>
      </c>
      <c r="BC68" t="str">
        <f t="shared" si="12"/>
        <v>Medium</v>
      </c>
      <c r="BD68">
        <f t="shared" si="13"/>
        <v>3.79</v>
      </c>
      <c r="BE68" t="str">
        <f t="shared" si="14"/>
        <v/>
      </c>
      <c r="BF68" t="s">
        <v>679</v>
      </c>
      <c r="BG68" t="s">
        <v>741</v>
      </c>
      <c r="BI68">
        <f>AVERAGEIFS(J:J, Z:Z, "*Sales*", AT:AT, "&gt;=2006", AT:AT, "&lt;=2018")</f>
        <v>69061.258064516136</v>
      </c>
      <c r="BT68">
        <f t="shared" si="15"/>
        <v>3.79</v>
      </c>
      <c r="BV68">
        <v>1.56</v>
      </c>
      <c r="BW68">
        <v>4.2</v>
      </c>
    </row>
    <row r="69" spans="1:75" x14ac:dyDescent="0.3">
      <c r="A69" t="s">
        <v>239</v>
      </c>
      <c r="B69">
        <v>10306</v>
      </c>
      <c r="C69">
        <v>0</v>
      </c>
      <c r="D69">
        <v>0</v>
      </c>
      <c r="E69">
        <v>1</v>
      </c>
      <c r="F69">
        <v>1</v>
      </c>
      <c r="G69">
        <v>6</v>
      </c>
      <c r="H69">
        <v>1</v>
      </c>
      <c r="I69">
        <v>0</v>
      </c>
      <c r="J69">
        <v>61568</v>
      </c>
      <c r="K69">
        <v>0</v>
      </c>
      <c r="L69">
        <v>3</v>
      </c>
      <c r="M69" t="s">
        <v>169</v>
      </c>
      <c r="N69" t="s">
        <v>240</v>
      </c>
      <c r="O69">
        <v>36006</v>
      </c>
      <c r="P69">
        <v>27700</v>
      </c>
      <c r="Q69" t="s">
        <v>39</v>
      </c>
      <c r="R69" t="s">
        <v>40</v>
      </c>
      <c r="S69" t="s">
        <v>41</v>
      </c>
      <c r="T69" t="s">
        <v>42</v>
      </c>
      <c r="U69" t="s">
        <v>111</v>
      </c>
      <c r="V69">
        <v>41911</v>
      </c>
      <c r="X69" t="s">
        <v>44</v>
      </c>
      <c r="Y69" t="s">
        <v>45</v>
      </c>
      <c r="Z69" t="s">
        <v>171</v>
      </c>
      <c r="AA69" t="s">
        <v>172</v>
      </c>
      <c r="AB69">
        <v>17</v>
      </c>
      <c r="AC69" t="s">
        <v>59</v>
      </c>
      <c r="AD69" t="s">
        <v>241</v>
      </c>
      <c r="AE69">
        <v>1.93</v>
      </c>
      <c r="AF69">
        <v>3</v>
      </c>
      <c r="AG69">
        <v>0</v>
      </c>
      <c r="AH69" t="s">
        <v>184</v>
      </c>
      <c r="AI69">
        <v>6</v>
      </c>
      <c r="AJ69">
        <v>5</v>
      </c>
      <c r="AK69" t="str">
        <f t="shared" si="10"/>
        <v>Normal</v>
      </c>
      <c r="AL69" t="str">
        <f t="shared" si="11"/>
        <v>low Outlier</v>
      </c>
      <c r="AM69">
        <f ca="1">INT((TODAY()-HRDataset_v14[[#This Row],[DOB]])/365.25)</f>
        <v>50</v>
      </c>
      <c r="AN69">
        <f ca="1">DATEDIF(HRDataset_v14[[#This Row],[DateofHire]],TODAY(),"Y")</f>
        <v>11</v>
      </c>
      <c r="AO69">
        <f ca="1">IF(ISBLANK(HRDataset_v14[[#This Row],[DateofTermination]]),DATEDIF(HRDataset_v14[[#This Row],[DateofHire]],TODAY(),"Y"),DATEDIF(HRDataset_v14[[#This Row],[DateofHire]],HRDataset_v14[[#This Row],[DateofTermination]],"Y"))</f>
        <v>11</v>
      </c>
      <c r="AP69" t="str">
        <f ca="1">IF(HRDataset_v14[[#This Row],[Tenure in Years
]]&lt;1,"0-1 Year",IF(HRDataset_v14[[#This Row],[Tenure in Years
]]&lt;3,"1-3 Years",IF(HRDataset_v14[[#This Row],[Tenure in Years
]]&lt;5,"3-5 Years",IF(HRDataset_v14[[#This Row],[Tenure in Years
]]&lt;10,"5-10 Years","10+ Years"))))</f>
        <v>10+ Years</v>
      </c>
      <c r="AQ69" t="str">
        <f ca="1">IF(HRDataset_v14[[#This Row],[Age Calculation
]]&lt;26,"18-25",IF(HRDataset_v14[[#This Row],[Age Calculation
]]&lt;36,"26-35",IF(HRDataset_v14[[#This Row],[Age Calculation
]]&lt;46,"36-45",IF(HRDataset_v14[[#This Row],[Age Calculation
]]&lt;56,"46-55","55+"))))</f>
        <v>46-55</v>
      </c>
      <c r="AR69" t="str">
        <f>IF(HRDataset_v14[[#This Row],[Salary]]&lt;40000,"Entry (&lt;40K)",IF(HRDataset_v14[[#This Row],[Salary]]&lt;70000,"Mid (40-70K)",IF(HRDataset_v14[[#This Row],[Salary]]&lt;100000,"Senior (70-100K)","Executive (100K+)")))</f>
        <v>Mid (40-70K)</v>
      </c>
      <c r="AS69">
        <f>IF(HRDataset_v14[[#This Row],[EmploymentStatus]]="Active",1,0)</f>
        <v>1</v>
      </c>
      <c r="AT69">
        <f>YEAR(HRDataset_v14[[#This Row],[DateofHire]])</f>
        <v>2014</v>
      </c>
      <c r="AU69">
        <f>MONTH(HRDataset_v14[[#This Row],[DateofHire]])</f>
        <v>9</v>
      </c>
      <c r="AV69" t="str">
        <f>"Q"&amp;ROUNDUP(MONTH(HRDataset_v14[[#This Row],[DateofHire]])/3,0)</f>
        <v>Q3</v>
      </c>
      <c r="AW69" t="str">
        <f>TEXT(HRDataset_v14[[#This Row],[DateofHire]],"MMM")</f>
        <v>Sep</v>
      </c>
      <c r="AX69" t="str">
        <f>TEXT(HRDataset_v14[[#This Row],[DateofHire]],"YYYY-MM")</f>
        <v>2014-09</v>
      </c>
      <c r="AY69" t="str">
        <f>IF(ISBLANK(HRDataset_v14[[#This Row],[DateofTermination]]),"N/A",YEAR(HRDataset_v14[[#This Row],[DateofTermination]]))</f>
        <v>N/A</v>
      </c>
      <c r="AZ69" t="str" cm="1">
        <f t="array" ref="AZ69">INDEX(_xlfn.UNIQUE(Z69:Z379),MATCH(MAX(COUNTIF(Z69:Z379,_xlfn.UNIQUE(Z69:Z379))),COUNTIF(Z69:Z379,_xlfn.UNIQUE(Z69:Z379)),0))</f>
        <v xml:space="preserve">Production       </v>
      </c>
      <c r="BA69">
        <f t="shared" si="16"/>
        <v>16.666666666666664</v>
      </c>
      <c r="BB69">
        <f t="shared" si="17"/>
        <v>0</v>
      </c>
      <c r="BC69" t="str">
        <f t="shared" si="12"/>
        <v>High</v>
      </c>
      <c r="BD69">
        <f t="shared" si="13"/>
        <v>1.93</v>
      </c>
      <c r="BE69" t="str">
        <f t="shared" si="14"/>
        <v/>
      </c>
      <c r="BF69">
        <f>COUNTIF(U:U,"Asian")</f>
        <v>29</v>
      </c>
      <c r="BG69" t="s">
        <v>743</v>
      </c>
      <c r="BH69">
        <f>AVERAGEIF(K2:K312,1,AE2:AE312)</f>
        <v>4.090480769230771</v>
      </c>
      <c r="BI69">
        <f>AVERAGEIFS(J:J, Z:Z, "*Admin offices*", AT:AT, "&gt;=2006", AT:AT, "&lt;=2018")</f>
        <v>71791.888888888891</v>
      </c>
      <c r="BT69">
        <f t="shared" si="15"/>
        <v>1.93</v>
      </c>
      <c r="BV69">
        <v>1.2</v>
      </c>
      <c r="BW69">
        <v>4.16</v>
      </c>
    </row>
    <row r="70" spans="1:75" x14ac:dyDescent="0.3">
      <c r="A70" t="s">
        <v>242</v>
      </c>
      <c r="B70">
        <v>10100</v>
      </c>
      <c r="C70">
        <v>0</v>
      </c>
      <c r="D70">
        <v>3</v>
      </c>
      <c r="E70">
        <v>0</v>
      </c>
      <c r="F70">
        <v>5</v>
      </c>
      <c r="G70">
        <v>5</v>
      </c>
      <c r="H70">
        <v>3</v>
      </c>
      <c r="I70">
        <v>0</v>
      </c>
      <c r="J70">
        <v>58275</v>
      </c>
      <c r="K70">
        <v>1</v>
      </c>
      <c r="L70">
        <v>20</v>
      </c>
      <c r="M70" t="s">
        <v>63</v>
      </c>
      <c r="N70" t="s">
        <v>38</v>
      </c>
      <c r="O70">
        <v>2343</v>
      </c>
      <c r="P70">
        <v>18684</v>
      </c>
      <c r="Q70" t="s">
        <v>64</v>
      </c>
      <c r="R70" t="s">
        <v>166</v>
      </c>
      <c r="S70" t="s">
        <v>41</v>
      </c>
      <c r="T70" t="s">
        <v>42</v>
      </c>
      <c r="U70" t="s">
        <v>91</v>
      </c>
      <c r="V70">
        <v>40637</v>
      </c>
      <c r="W70">
        <v>42312</v>
      </c>
      <c r="X70" t="s">
        <v>243</v>
      </c>
      <c r="Y70" t="s">
        <v>56</v>
      </c>
      <c r="Z70" t="s">
        <v>46</v>
      </c>
      <c r="AA70" t="s">
        <v>113</v>
      </c>
      <c r="AB70">
        <v>18</v>
      </c>
      <c r="AC70" t="s">
        <v>75</v>
      </c>
      <c r="AD70" t="s">
        <v>60</v>
      </c>
      <c r="AE70">
        <v>4.62</v>
      </c>
      <c r="AF70">
        <v>5</v>
      </c>
      <c r="AG70">
        <v>0</v>
      </c>
      <c r="AH70" t="s">
        <v>244</v>
      </c>
      <c r="AI70">
        <v>0</v>
      </c>
      <c r="AJ70">
        <v>1</v>
      </c>
      <c r="AK70" t="str">
        <f t="shared" si="10"/>
        <v>Normal</v>
      </c>
      <c r="AL70" t="str">
        <f t="shared" si="11"/>
        <v>low Outlier</v>
      </c>
      <c r="AM70">
        <f ca="1">INT((TODAY()-HRDataset_v14[[#This Row],[DOB]])/365.25)</f>
        <v>75</v>
      </c>
      <c r="AN70">
        <f ca="1">DATEDIF(HRDataset_v14[[#This Row],[DateofHire]],TODAY(),"Y")</f>
        <v>14</v>
      </c>
      <c r="AO70">
        <f ca="1">IF(ISBLANK(HRDataset_v14[[#This Row],[DateofTermination]]),DATEDIF(HRDataset_v14[[#This Row],[DateofHire]],TODAY(),"Y"),DATEDIF(HRDataset_v14[[#This Row],[DateofHire]],HRDataset_v14[[#This Row],[DateofTermination]],"Y"))</f>
        <v>4</v>
      </c>
      <c r="AP70" t="str">
        <f ca="1">IF(HRDataset_v14[[#This Row],[Tenure in Years
]]&lt;1,"0-1 Year",IF(HRDataset_v14[[#This Row],[Tenure in Years
]]&lt;3,"1-3 Years",IF(HRDataset_v14[[#This Row],[Tenure in Years
]]&lt;5,"3-5 Years",IF(HRDataset_v14[[#This Row],[Tenure in Years
]]&lt;10,"5-10 Years","10+ Years"))))</f>
        <v>10+ Years</v>
      </c>
      <c r="AQ70" t="str">
        <f ca="1">IF(HRDataset_v14[[#This Row],[Age Calculation
]]&lt;26,"18-25",IF(HRDataset_v14[[#This Row],[Age Calculation
]]&lt;36,"26-35",IF(HRDataset_v14[[#This Row],[Age Calculation
]]&lt;46,"36-45",IF(HRDataset_v14[[#This Row],[Age Calculation
]]&lt;56,"46-55","55+"))))</f>
        <v>55+</v>
      </c>
      <c r="AR70" t="str">
        <f>IF(HRDataset_v14[[#This Row],[Salary]]&lt;40000,"Entry (&lt;40K)",IF(HRDataset_v14[[#This Row],[Salary]]&lt;70000,"Mid (40-70K)",IF(HRDataset_v14[[#This Row],[Salary]]&lt;100000,"Senior (70-100K)","Executive (100K+)")))</f>
        <v>Mid (40-70K)</v>
      </c>
      <c r="AS70">
        <f>IF(HRDataset_v14[[#This Row],[EmploymentStatus]]="Active",1,0)</f>
        <v>0</v>
      </c>
      <c r="AT70">
        <f>YEAR(HRDataset_v14[[#This Row],[DateofHire]])</f>
        <v>2011</v>
      </c>
      <c r="AU70">
        <f>MONTH(HRDataset_v14[[#This Row],[DateofHire]])</f>
        <v>4</v>
      </c>
      <c r="AV70" t="str">
        <f>"Q"&amp;ROUNDUP(MONTH(HRDataset_v14[[#This Row],[DateofHire]])/3,0)</f>
        <v>Q2</v>
      </c>
      <c r="AW70" t="str">
        <f>TEXT(HRDataset_v14[[#This Row],[DateofHire]],"MMM")</f>
        <v>Apr</v>
      </c>
      <c r="AX70" t="str">
        <f>TEXT(HRDataset_v14[[#This Row],[DateofHire]],"YYYY-MM")</f>
        <v>2011-04</v>
      </c>
      <c r="AY70">
        <f>IF(ISBLANK(HRDataset_v14[[#This Row],[DateofTermination]]),"N/A",YEAR(HRDataset_v14[[#This Row],[DateofTermination]]))</f>
        <v>2015</v>
      </c>
      <c r="AZ70" t="str" cm="1">
        <f t="array" ref="AZ70">INDEX(_xlfn.UNIQUE(Z70:Z380),MATCH(MAX(COUNTIF(Z70:Z380,_xlfn.UNIQUE(Z70:Z380))),COUNTIF(Z70:Z380,_xlfn.UNIQUE(Z70:Z380)),0))</f>
        <v xml:space="preserve">Production       </v>
      </c>
      <c r="BA70">
        <f t="shared" si="16"/>
        <v>29.411764705882355</v>
      </c>
      <c r="BB70">
        <f t="shared" si="17"/>
        <v>11</v>
      </c>
      <c r="BC70" t="str">
        <f t="shared" si="12"/>
        <v>Medium</v>
      </c>
      <c r="BD70" t="str">
        <f t="shared" si="13"/>
        <v/>
      </c>
      <c r="BE70">
        <f t="shared" si="14"/>
        <v>4.62</v>
      </c>
      <c r="BF70" t="s">
        <v>680</v>
      </c>
      <c r="BG70" t="str">
        <f>INDEX(AA2:AA312,MATCH(MAX(BA2:BA312),BA2:BA312,0))</f>
        <v>Jennifer Zamora</v>
      </c>
      <c r="BI70">
        <f>AVERAGEIFS(J:J, Z:Z, "*Executive*", AT:AT, "&gt;=2006", AT:AT, "&lt;=2018")</f>
        <v>250000</v>
      </c>
      <c r="BT70" t="str">
        <f t="shared" si="15"/>
        <v/>
      </c>
      <c r="BV70">
        <v>5</v>
      </c>
      <c r="BW70">
        <v>5</v>
      </c>
    </row>
    <row r="71" spans="1:75" x14ac:dyDescent="0.3">
      <c r="A71" t="s">
        <v>245</v>
      </c>
      <c r="B71">
        <v>10310</v>
      </c>
      <c r="C71">
        <v>1</v>
      </c>
      <c r="D71">
        <v>1</v>
      </c>
      <c r="E71">
        <v>1</v>
      </c>
      <c r="F71">
        <v>1</v>
      </c>
      <c r="G71">
        <v>5</v>
      </c>
      <c r="H71">
        <v>1</v>
      </c>
      <c r="I71">
        <v>0</v>
      </c>
      <c r="J71">
        <v>53189</v>
      </c>
      <c r="K71">
        <v>0</v>
      </c>
      <c r="L71">
        <v>19</v>
      </c>
      <c r="M71" t="s">
        <v>37</v>
      </c>
      <c r="N71" t="s">
        <v>38</v>
      </c>
      <c r="O71">
        <v>2061</v>
      </c>
      <c r="P71">
        <v>24581</v>
      </c>
      <c r="Q71" t="s">
        <v>39</v>
      </c>
      <c r="R71" t="s">
        <v>53</v>
      </c>
      <c r="S71" t="s">
        <v>41</v>
      </c>
      <c r="T71" t="s">
        <v>42</v>
      </c>
      <c r="U71" t="s">
        <v>43</v>
      </c>
      <c r="V71">
        <v>41827</v>
      </c>
      <c r="X71" t="s">
        <v>44</v>
      </c>
      <c r="Y71" t="s">
        <v>45</v>
      </c>
      <c r="Z71" t="s">
        <v>46</v>
      </c>
      <c r="AA71" t="s">
        <v>78</v>
      </c>
      <c r="AB71">
        <v>11</v>
      </c>
      <c r="AC71" t="s">
        <v>59</v>
      </c>
      <c r="AD71" t="s">
        <v>241</v>
      </c>
      <c r="AE71">
        <v>1.1200000000000001</v>
      </c>
      <c r="AF71">
        <v>2</v>
      </c>
      <c r="AG71">
        <v>0</v>
      </c>
      <c r="AH71" t="s">
        <v>235</v>
      </c>
      <c r="AI71">
        <v>4</v>
      </c>
      <c r="AJ71">
        <v>9</v>
      </c>
      <c r="AK71" t="str">
        <f t="shared" si="10"/>
        <v>Normal</v>
      </c>
      <c r="AL71" t="str">
        <f t="shared" si="11"/>
        <v>low Outlier</v>
      </c>
      <c r="AM71">
        <f ca="1">INT((TODAY()-HRDataset_v14[[#This Row],[DOB]])/365.25)</f>
        <v>58</v>
      </c>
      <c r="AN71">
        <f ca="1">DATEDIF(HRDataset_v14[[#This Row],[DateofHire]],TODAY(),"Y")</f>
        <v>11</v>
      </c>
      <c r="AO71">
        <f ca="1">IF(ISBLANK(HRDataset_v14[[#This Row],[DateofTermination]]),DATEDIF(HRDataset_v14[[#This Row],[DateofHire]],TODAY(),"Y"),DATEDIF(HRDataset_v14[[#This Row],[DateofHire]],HRDataset_v14[[#This Row],[DateofTermination]],"Y"))</f>
        <v>11</v>
      </c>
      <c r="AP71" t="str">
        <f ca="1">IF(HRDataset_v14[[#This Row],[Tenure in Years
]]&lt;1,"0-1 Year",IF(HRDataset_v14[[#This Row],[Tenure in Years
]]&lt;3,"1-3 Years",IF(HRDataset_v14[[#This Row],[Tenure in Years
]]&lt;5,"3-5 Years",IF(HRDataset_v14[[#This Row],[Tenure in Years
]]&lt;10,"5-10 Years","10+ Years"))))</f>
        <v>10+ Years</v>
      </c>
      <c r="AQ71" t="str">
        <f ca="1">IF(HRDataset_v14[[#This Row],[Age Calculation
]]&lt;26,"18-25",IF(HRDataset_v14[[#This Row],[Age Calculation
]]&lt;36,"26-35",IF(HRDataset_v14[[#This Row],[Age Calculation
]]&lt;46,"36-45",IF(HRDataset_v14[[#This Row],[Age Calculation
]]&lt;56,"46-55","55+"))))</f>
        <v>55+</v>
      </c>
      <c r="AR71" t="str">
        <f>IF(HRDataset_v14[[#This Row],[Salary]]&lt;40000,"Entry (&lt;40K)",IF(HRDataset_v14[[#This Row],[Salary]]&lt;70000,"Mid (40-70K)",IF(HRDataset_v14[[#This Row],[Salary]]&lt;100000,"Senior (70-100K)","Executive (100K+)")))</f>
        <v>Mid (40-70K)</v>
      </c>
      <c r="AS71">
        <f>IF(HRDataset_v14[[#This Row],[EmploymentStatus]]="Active",1,0)</f>
        <v>1</v>
      </c>
      <c r="AT71">
        <f>YEAR(HRDataset_v14[[#This Row],[DateofHire]])</f>
        <v>2014</v>
      </c>
      <c r="AU71">
        <f>MONTH(HRDataset_v14[[#This Row],[DateofHire]])</f>
        <v>7</v>
      </c>
      <c r="AV71" t="str">
        <f>"Q"&amp;ROUNDUP(MONTH(HRDataset_v14[[#This Row],[DateofHire]])/3,0)</f>
        <v>Q3</v>
      </c>
      <c r="AW71" t="str">
        <f>TEXT(HRDataset_v14[[#This Row],[DateofHire]],"MMM")</f>
        <v>Jul</v>
      </c>
      <c r="AX71" t="str">
        <f>TEXT(HRDataset_v14[[#This Row],[DateofHire]],"YYYY-MM")</f>
        <v>2014-07</v>
      </c>
      <c r="AY71" t="str">
        <f>IF(ISBLANK(HRDataset_v14[[#This Row],[DateofTermination]]),"N/A",YEAR(HRDataset_v14[[#This Row],[DateofTermination]]))</f>
        <v>N/A</v>
      </c>
      <c r="AZ71" t="str" cm="1">
        <f t="array" ref="AZ71">INDEX(_xlfn.UNIQUE(Z71:Z381),MATCH(MAX(COUNTIF(Z71:Z381,_xlfn.UNIQUE(Z71:Z381))),COUNTIF(Z71:Z381,_xlfn.UNIQUE(Z71:Z381)),0))</f>
        <v xml:space="preserve">Production       </v>
      </c>
      <c r="BA71">
        <f t="shared" si="16"/>
        <v>70.588235294117652</v>
      </c>
      <c r="BB71">
        <f t="shared" si="17"/>
        <v>0</v>
      </c>
      <c r="BC71" t="str">
        <f t="shared" si="12"/>
        <v>High</v>
      </c>
      <c r="BD71">
        <f t="shared" si="13"/>
        <v>1.1200000000000001</v>
      </c>
      <c r="BE71" t="str">
        <f t="shared" si="14"/>
        <v/>
      </c>
      <c r="BF71">
        <f>COUNTIF(U:U,"*Hispanic*")</f>
        <v>1</v>
      </c>
      <c r="BH71" t="s">
        <v>770</v>
      </c>
      <c r="BI71">
        <f>AVERAGEIFS(J:J, Z:Z, "*Production*", AT:AT, "&gt;=2006", AT:AT, "&lt;=2018")</f>
        <v>59953.545454545456</v>
      </c>
      <c r="BT71">
        <f t="shared" si="15"/>
        <v>1.1200000000000001</v>
      </c>
      <c r="BV71">
        <v>5</v>
      </c>
      <c r="BW71">
        <v>3.17</v>
      </c>
    </row>
    <row r="72" spans="1:75" x14ac:dyDescent="0.3">
      <c r="A72" t="s">
        <v>246</v>
      </c>
      <c r="B72">
        <v>10197</v>
      </c>
      <c r="C72">
        <v>0</v>
      </c>
      <c r="D72">
        <v>0</v>
      </c>
      <c r="E72">
        <v>1</v>
      </c>
      <c r="F72">
        <v>1</v>
      </c>
      <c r="G72">
        <v>3</v>
      </c>
      <c r="H72">
        <v>3</v>
      </c>
      <c r="I72">
        <v>0</v>
      </c>
      <c r="J72">
        <v>96820</v>
      </c>
      <c r="K72">
        <v>0</v>
      </c>
      <c r="L72">
        <v>4</v>
      </c>
      <c r="M72" t="s">
        <v>247</v>
      </c>
      <c r="N72" t="s">
        <v>38</v>
      </c>
      <c r="O72">
        <v>2045</v>
      </c>
      <c r="P72">
        <v>30563</v>
      </c>
      <c r="Q72" t="s">
        <v>39</v>
      </c>
      <c r="R72" t="s">
        <v>40</v>
      </c>
      <c r="S72" t="s">
        <v>41</v>
      </c>
      <c r="T72" t="s">
        <v>42</v>
      </c>
      <c r="U72" t="s">
        <v>43</v>
      </c>
      <c r="V72">
        <v>42781</v>
      </c>
      <c r="X72" t="s">
        <v>44</v>
      </c>
      <c r="Y72" t="s">
        <v>45</v>
      </c>
      <c r="Z72" t="s">
        <v>57</v>
      </c>
      <c r="AA72" t="s">
        <v>249</v>
      </c>
      <c r="AB72">
        <v>13</v>
      </c>
      <c r="AC72" t="s">
        <v>59</v>
      </c>
      <c r="AD72" t="s">
        <v>60</v>
      </c>
      <c r="AE72">
        <v>3.01</v>
      </c>
      <c r="AF72">
        <v>5</v>
      </c>
      <c r="AG72">
        <v>7</v>
      </c>
      <c r="AH72" t="s">
        <v>250</v>
      </c>
      <c r="AI72">
        <v>0</v>
      </c>
      <c r="AJ72">
        <v>15</v>
      </c>
      <c r="AK72" t="str">
        <f t="shared" si="10"/>
        <v>Normal</v>
      </c>
      <c r="AL72" t="str">
        <f t="shared" si="11"/>
        <v>low Outlier</v>
      </c>
      <c r="AM72">
        <f ca="1">INT((TODAY()-HRDataset_v14[[#This Row],[DOB]])/365.25)</f>
        <v>42</v>
      </c>
      <c r="AN72">
        <f ca="1">DATEDIF(HRDataset_v14[[#This Row],[DateofHire]],TODAY(),"Y")</f>
        <v>9</v>
      </c>
      <c r="AO72">
        <f ca="1">IF(ISBLANK(HRDataset_v14[[#This Row],[DateofTermination]]),DATEDIF(HRDataset_v14[[#This Row],[DateofHire]],TODAY(),"Y"),DATEDIF(HRDataset_v14[[#This Row],[DateofHire]],HRDataset_v14[[#This Row],[DateofTermination]],"Y"))</f>
        <v>9</v>
      </c>
      <c r="AP72" t="str">
        <f ca="1">IF(HRDataset_v14[[#This Row],[Tenure in Years
]]&lt;1,"0-1 Year",IF(HRDataset_v14[[#This Row],[Tenure in Years
]]&lt;3,"1-3 Years",IF(HRDataset_v14[[#This Row],[Tenure in Years
]]&lt;5,"3-5 Years",IF(HRDataset_v14[[#This Row],[Tenure in Years
]]&lt;10,"5-10 Years","10+ Years"))))</f>
        <v>5-10 Years</v>
      </c>
      <c r="AQ72" t="str">
        <f ca="1">IF(HRDataset_v14[[#This Row],[Age Calculation
]]&lt;26,"18-25",IF(HRDataset_v14[[#This Row],[Age Calculation
]]&lt;36,"26-35",IF(HRDataset_v14[[#This Row],[Age Calculation
]]&lt;46,"36-45",IF(HRDataset_v14[[#This Row],[Age Calculation
]]&lt;56,"46-55","55+"))))</f>
        <v>36-45</v>
      </c>
      <c r="AR72" t="str">
        <f>IF(HRDataset_v14[[#This Row],[Salary]]&lt;40000,"Entry (&lt;40K)",IF(HRDataset_v14[[#This Row],[Salary]]&lt;70000,"Mid (40-70K)",IF(HRDataset_v14[[#This Row],[Salary]]&lt;100000,"Senior (70-100K)","Executive (100K+)")))</f>
        <v>Senior (70-100K)</v>
      </c>
      <c r="AS72">
        <f>IF(HRDataset_v14[[#This Row],[EmploymentStatus]]="Active",1,0)</f>
        <v>1</v>
      </c>
      <c r="AT72">
        <f>YEAR(HRDataset_v14[[#This Row],[DateofHire]])</f>
        <v>2017</v>
      </c>
      <c r="AU72">
        <f>MONTH(HRDataset_v14[[#This Row],[DateofHire]])</f>
        <v>2</v>
      </c>
      <c r="AV72" t="str">
        <f>"Q"&amp;ROUNDUP(MONTH(HRDataset_v14[[#This Row],[DateofHire]])/3,0)</f>
        <v>Q1</v>
      </c>
      <c r="AW72" t="str">
        <f>TEXT(HRDataset_v14[[#This Row],[DateofHire]],"MMM")</f>
        <v>Feb</v>
      </c>
      <c r="AX72" t="str">
        <f>TEXT(HRDataset_v14[[#This Row],[DateofHire]],"YYYY-MM")</f>
        <v>2017-02</v>
      </c>
      <c r="AY72" t="str">
        <f>IF(ISBLANK(HRDataset_v14[[#This Row],[DateofTermination]]),"N/A",YEAR(HRDataset_v14[[#This Row],[DateofTermination]]))</f>
        <v>N/A</v>
      </c>
      <c r="AZ72" t="str" cm="1">
        <f t="array" ref="AZ72">INDEX(_xlfn.UNIQUE(Z72:Z382),MATCH(MAX(COUNTIF(Z72:Z382,_xlfn.UNIQUE(Z72:Z382))),COUNTIF(Z72:Z382,_xlfn.UNIQUE(Z72:Z382)),0))</f>
        <v xml:space="preserve">Production       </v>
      </c>
      <c r="BA72">
        <f t="shared" si="16"/>
        <v>0</v>
      </c>
      <c r="BB72">
        <f t="shared" si="17"/>
        <v>0</v>
      </c>
      <c r="BC72" t="str">
        <f t="shared" si="12"/>
        <v>Medium</v>
      </c>
      <c r="BD72">
        <f t="shared" si="13"/>
        <v>3.01</v>
      </c>
      <c r="BE72" t="str">
        <f t="shared" si="14"/>
        <v/>
      </c>
      <c r="BF72" t="s">
        <v>111</v>
      </c>
      <c r="BG72" t="s">
        <v>744</v>
      </c>
      <c r="BH72" t="s">
        <v>771</v>
      </c>
      <c r="BI72">
        <f>AVERAGEIFS(J:J, Z:Z, "*soft*", AT:AT, "&gt;=2006", AT:AT, "&lt;=2018")</f>
        <v>94989.454545454544</v>
      </c>
      <c r="BT72">
        <f t="shared" si="15"/>
        <v>3.01</v>
      </c>
      <c r="BV72">
        <v>5</v>
      </c>
      <c r="BW72">
        <v>4.5</v>
      </c>
    </row>
    <row r="73" spans="1:75" x14ac:dyDescent="0.3">
      <c r="A73" t="s">
        <v>251</v>
      </c>
      <c r="B73">
        <v>10276</v>
      </c>
      <c r="C73">
        <v>0</v>
      </c>
      <c r="D73">
        <v>0</v>
      </c>
      <c r="E73">
        <v>1</v>
      </c>
      <c r="F73">
        <v>1</v>
      </c>
      <c r="G73">
        <v>5</v>
      </c>
      <c r="H73">
        <v>3</v>
      </c>
      <c r="I73">
        <v>0</v>
      </c>
      <c r="J73">
        <v>51259</v>
      </c>
      <c r="K73">
        <v>0</v>
      </c>
      <c r="L73">
        <v>19</v>
      </c>
      <c r="M73" t="s">
        <v>37</v>
      </c>
      <c r="N73" t="s">
        <v>38</v>
      </c>
      <c r="O73">
        <v>2180</v>
      </c>
      <c r="P73">
        <v>30270</v>
      </c>
      <c r="Q73" t="s">
        <v>39</v>
      </c>
      <c r="R73" t="s">
        <v>40</v>
      </c>
      <c r="S73" t="s">
        <v>41</v>
      </c>
      <c r="T73" t="s">
        <v>42</v>
      </c>
      <c r="U73" t="s">
        <v>43</v>
      </c>
      <c r="V73">
        <v>41771</v>
      </c>
      <c r="X73" t="s">
        <v>44</v>
      </c>
      <c r="Y73" t="s">
        <v>45</v>
      </c>
      <c r="Z73" t="s">
        <v>46</v>
      </c>
      <c r="AA73" t="s">
        <v>87</v>
      </c>
      <c r="AB73">
        <v>19</v>
      </c>
      <c r="AC73" t="s">
        <v>59</v>
      </c>
      <c r="AD73" t="s">
        <v>60</v>
      </c>
      <c r="AE73">
        <v>4.3</v>
      </c>
      <c r="AF73">
        <v>4</v>
      </c>
      <c r="AG73">
        <v>0</v>
      </c>
      <c r="AH73" t="s">
        <v>194</v>
      </c>
      <c r="AI73">
        <v>0</v>
      </c>
      <c r="AJ73">
        <v>1</v>
      </c>
      <c r="AK73" t="str">
        <f t="shared" si="10"/>
        <v>Normal</v>
      </c>
      <c r="AL73" t="str">
        <f t="shared" si="11"/>
        <v>low Outlier</v>
      </c>
      <c r="AM73">
        <f ca="1">INT((TODAY()-HRDataset_v14[[#This Row],[DOB]])/365.25)</f>
        <v>43</v>
      </c>
      <c r="AN73">
        <f ca="1">DATEDIF(HRDataset_v14[[#This Row],[DateofHire]],TODAY(),"Y")</f>
        <v>11</v>
      </c>
      <c r="AO73">
        <f ca="1">IF(ISBLANK(HRDataset_v14[[#This Row],[DateofTermination]]),DATEDIF(HRDataset_v14[[#This Row],[DateofHire]],TODAY(),"Y"),DATEDIF(HRDataset_v14[[#This Row],[DateofHire]],HRDataset_v14[[#This Row],[DateofTermination]],"Y"))</f>
        <v>11</v>
      </c>
      <c r="AP73" t="str">
        <f ca="1">IF(HRDataset_v14[[#This Row],[Tenure in Years
]]&lt;1,"0-1 Year",IF(HRDataset_v14[[#This Row],[Tenure in Years
]]&lt;3,"1-3 Years",IF(HRDataset_v14[[#This Row],[Tenure in Years
]]&lt;5,"3-5 Years",IF(HRDataset_v14[[#This Row],[Tenure in Years
]]&lt;10,"5-10 Years","10+ Years"))))</f>
        <v>10+ Years</v>
      </c>
      <c r="AQ73" t="str">
        <f ca="1">IF(HRDataset_v14[[#This Row],[Age Calculation
]]&lt;26,"18-25",IF(HRDataset_v14[[#This Row],[Age Calculation
]]&lt;36,"26-35",IF(HRDataset_v14[[#This Row],[Age Calculation
]]&lt;46,"36-45",IF(HRDataset_v14[[#This Row],[Age Calculation
]]&lt;56,"46-55","55+"))))</f>
        <v>36-45</v>
      </c>
      <c r="AR73" t="str">
        <f>IF(HRDataset_v14[[#This Row],[Salary]]&lt;40000,"Entry (&lt;40K)",IF(HRDataset_v14[[#This Row],[Salary]]&lt;70000,"Mid (40-70K)",IF(HRDataset_v14[[#This Row],[Salary]]&lt;100000,"Senior (70-100K)","Executive (100K+)")))</f>
        <v>Mid (40-70K)</v>
      </c>
      <c r="AS73">
        <f>IF(HRDataset_v14[[#This Row],[EmploymentStatus]]="Active",1,0)</f>
        <v>1</v>
      </c>
      <c r="AT73">
        <f>YEAR(HRDataset_v14[[#This Row],[DateofHire]])</f>
        <v>2014</v>
      </c>
      <c r="AU73">
        <f>MONTH(HRDataset_v14[[#This Row],[DateofHire]])</f>
        <v>5</v>
      </c>
      <c r="AV73" t="str">
        <f>"Q"&amp;ROUNDUP(MONTH(HRDataset_v14[[#This Row],[DateofHire]])/3,0)</f>
        <v>Q2</v>
      </c>
      <c r="AW73" t="str">
        <f>TEXT(HRDataset_v14[[#This Row],[DateofHire]],"MMM")</f>
        <v>May</v>
      </c>
      <c r="AX73" t="str">
        <f>TEXT(HRDataset_v14[[#This Row],[DateofHire]],"YYYY-MM")</f>
        <v>2014-05</v>
      </c>
      <c r="AY73" t="str">
        <f>IF(ISBLANK(HRDataset_v14[[#This Row],[DateofTermination]]),"N/A",YEAR(HRDataset_v14[[#This Row],[DateofTermination]]))</f>
        <v>N/A</v>
      </c>
      <c r="AZ73" t="str" cm="1">
        <f t="array" ref="AZ73">INDEX(_xlfn.UNIQUE(Z73:Z383),MATCH(MAX(COUNTIF(Z73:Z383,_xlfn.UNIQUE(Z73:Z383))),COUNTIF(Z73:Z383,_xlfn.UNIQUE(Z73:Z383)),0))</f>
        <v xml:space="preserve">Production       </v>
      </c>
      <c r="BA73">
        <f t="shared" si="16"/>
        <v>29.411764705882355</v>
      </c>
      <c r="BB73">
        <f t="shared" si="17"/>
        <v>0</v>
      </c>
      <c r="BC73" t="str">
        <f t="shared" si="12"/>
        <v>Medium</v>
      </c>
      <c r="BD73">
        <f t="shared" si="13"/>
        <v>4.3</v>
      </c>
      <c r="BE73" t="str">
        <f t="shared" si="14"/>
        <v/>
      </c>
      <c r="BF73">
        <f>COUNTIF(U:U,"Two or more races")</f>
        <v>11</v>
      </c>
      <c r="BH73">
        <f>SUM(AJ2:AJ312)</f>
        <v>3184</v>
      </c>
      <c r="BT73">
        <f t="shared" si="15"/>
        <v>4.3</v>
      </c>
      <c r="BV73">
        <v>4.3</v>
      </c>
      <c r="BW73">
        <v>4.1500000000000004</v>
      </c>
    </row>
    <row r="74" spans="1:75" x14ac:dyDescent="0.3">
      <c r="A74" t="s">
        <v>252</v>
      </c>
      <c r="B74">
        <v>10304</v>
      </c>
      <c r="C74">
        <v>0</v>
      </c>
      <c r="D74">
        <v>0</v>
      </c>
      <c r="E74">
        <v>0</v>
      </c>
      <c r="F74">
        <v>1</v>
      </c>
      <c r="G74">
        <v>6</v>
      </c>
      <c r="H74">
        <v>1</v>
      </c>
      <c r="I74">
        <v>0</v>
      </c>
      <c r="J74">
        <v>59231</v>
      </c>
      <c r="K74">
        <v>0</v>
      </c>
      <c r="L74">
        <v>3</v>
      </c>
      <c r="M74" t="s">
        <v>169</v>
      </c>
      <c r="N74" t="s">
        <v>253</v>
      </c>
      <c r="O74">
        <v>98052</v>
      </c>
      <c r="P74">
        <v>31911</v>
      </c>
      <c r="Q74" t="s">
        <v>64</v>
      </c>
      <c r="R74" t="s">
        <v>40</v>
      </c>
      <c r="S74" t="s">
        <v>41</v>
      </c>
      <c r="T74" t="s">
        <v>100</v>
      </c>
      <c r="U74" t="s">
        <v>43</v>
      </c>
      <c r="V74">
        <v>40959</v>
      </c>
      <c r="X74" t="s">
        <v>44</v>
      </c>
      <c r="Y74" t="s">
        <v>45</v>
      </c>
      <c r="Z74" t="s">
        <v>171</v>
      </c>
      <c r="AA74" t="s">
        <v>172</v>
      </c>
      <c r="AB74">
        <v>17</v>
      </c>
      <c r="AC74" t="s">
        <v>254</v>
      </c>
      <c r="AD74" t="s">
        <v>241</v>
      </c>
      <c r="AE74">
        <v>2.2999999999999998</v>
      </c>
      <c r="AF74">
        <v>1</v>
      </c>
      <c r="AG74">
        <v>0</v>
      </c>
      <c r="AH74" t="s">
        <v>255</v>
      </c>
      <c r="AI74">
        <v>2</v>
      </c>
      <c r="AJ74">
        <v>17</v>
      </c>
      <c r="AK74" t="str">
        <f t="shared" si="10"/>
        <v>Normal</v>
      </c>
      <c r="AL74" t="str">
        <f t="shared" si="11"/>
        <v>low Outlier</v>
      </c>
      <c r="AM74">
        <f ca="1">INT((TODAY()-HRDataset_v14[[#This Row],[DOB]])/365.25)</f>
        <v>38</v>
      </c>
      <c r="AN74">
        <f ca="1">DATEDIF(HRDataset_v14[[#This Row],[DateofHire]],TODAY(),"Y")</f>
        <v>14</v>
      </c>
      <c r="AO74">
        <f ca="1">IF(ISBLANK(HRDataset_v14[[#This Row],[DateofTermination]]),DATEDIF(HRDataset_v14[[#This Row],[DateofHire]],TODAY(),"Y"),DATEDIF(HRDataset_v14[[#This Row],[DateofHire]],HRDataset_v14[[#This Row],[DateofTermination]],"Y"))</f>
        <v>14</v>
      </c>
      <c r="AP74" t="str">
        <f ca="1">IF(HRDataset_v14[[#This Row],[Tenure in Years
]]&lt;1,"0-1 Year",IF(HRDataset_v14[[#This Row],[Tenure in Years
]]&lt;3,"1-3 Years",IF(HRDataset_v14[[#This Row],[Tenure in Years
]]&lt;5,"3-5 Years",IF(HRDataset_v14[[#This Row],[Tenure in Years
]]&lt;10,"5-10 Years","10+ Years"))))</f>
        <v>10+ Years</v>
      </c>
      <c r="AQ74" t="str">
        <f ca="1">IF(HRDataset_v14[[#This Row],[Age Calculation
]]&lt;26,"18-25",IF(HRDataset_v14[[#This Row],[Age Calculation
]]&lt;36,"26-35",IF(HRDataset_v14[[#This Row],[Age Calculation
]]&lt;46,"36-45",IF(HRDataset_v14[[#This Row],[Age Calculation
]]&lt;56,"46-55","55+"))))</f>
        <v>36-45</v>
      </c>
      <c r="AR74" t="str">
        <f>IF(HRDataset_v14[[#This Row],[Salary]]&lt;40000,"Entry (&lt;40K)",IF(HRDataset_v14[[#This Row],[Salary]]&lt;70000,"Mid (40-70K)",IF(HRDataset_v14[[#This Row],[Salary]]&lt;100000,"Senior (70-100K)","Executive (100K+)")))</f>
        <v>Mid (40-70K)</v>
      </c>
      <c r="AS74">
        <f>IF(HRDataset_v14[[#This Row],[EmploymentStatus]]="Active",1,0)</f>
        <v>1</v>
      </c>
      <c r="AT74">
        <f>YEAR(HRDataset_v14[[#This Row],[DateofHire]])</f>
        <v>2012</v>
      </c>
      <c r="AU74">
        <f>MONTH(HRDataset_v14[[#This Row],[DateofHire]])</f>
        <v>2</v>
      </c>
      <c r="AV74" t="str">
        <f>"Q"&amp;ROUNDUP(MONTH(HRDataset_v14[[#This Row],[DateofHire]])/3,0)</f>
        <v>Q1</v>
      </c>
      <c r="AW74" t="str">
        <f>TEXT(HRDataset_v14[[#This Row],[DateofHire]],"MMM")</f>
        <v>Feb</v>
      </c>
      <c r="AX74" t="str">
        <f>TEXT(HRDataset_v14[[#This Row],[DateofHire]],"YYYY-MM")</f>
        <v>2012-02</v>
      </c>
      <c r="AY74" t="str">
        <f>IF(ISBLANK(HRDataset_v14[[#This Row],[DateofTermination]]),"N/A",YEAR(HRDataset_v14[[#This Row],[DateofTermination]]))</f>
        <v>N/A</v>
      </c>
      <c r="AZ74" t="str" cm="1">
        <f t="array" ref="AZ74">INDEX(_xlfn.UNIQUE(Z74:Z384),MATCH(MAX(COUNTIF(Z74:Z384,_xlfn.UNIQUE(Z74:Z384))),COUNTIF(Z74:Z384,_xlfn.UNIQUE(Z74:Z384)),0))</f>
        <v xml:space="preserve">Production       </v>
      </c>
      <c r="BA74">
        <f t="shared" si="16"/>
        <v>18.181818181818183</v>
      </c>
      <c r="BB74">
        <f t="shared" si="17"/>
        <v>0</v>
      </c>
      <c r="BC74" t="str">
        <f t="shared" si="12"/>
        <v>High</v>
      </c>
      <c r="BD74">
        <f t="shared" si="13"/>
        <v>2.2999999999999998</v>
      </c>
      <c r="BE74" t="str">
        <f t="shared" si="14"/>
        <v/>
      </c>
      <c r="BI74" t="s">
        <v>723</v>
      </c>
      <c r="BT74">
        <f t="shared" si="15"/>
        <v>2.2999999999999998</v>
      </c>
      <c r="BV74">
        <v>4.7</v>
      </c>
      <c r="BW74">
        <v>3.8</v>
      </c>
    </row>
    <row r="75" spans="1:75" x14ac:dyDescent="0.3">
      <c r="A75" t="s">
        <v>256</v>
      </c>
      <c r="B75">
        <v>10284</v>
      </c>
      <c r="C75">
        <v>1</v>
      </c>
      <c r="D75">
        <v>1</v>
      </c>
      <c r="E75">
        <v>0</v>
      </c>
      <c r="F75">
        <v>1</v>
      </c>
      <c r="G75">
        <v>5</v>
      </c>
      <c r="H75">
        <v>2</v>
      </c>
      <c r="I75">
        <v>0</v>
      </c>
      <c r="J75">
        <v>61584</v>
      </c>
      <c r="K75">
        <v>0</v>
      </c>
      <c r="L75">
        <v>19</v>
      </c>
      <c r="M75" t="s">
        <v>37</v>
      </c>
      <c r="N75" t="s">
        <v>38</v>
      </c>
      <c r="O75">
        <v>2351</v>
      </c>
      <c r="P75">
        <v>28826</v>
      </c>
      <c r="Q75" t="s">
        <v>64</v>
      </c>
      <c r="R75" t="s">
        <v>53</v>
      </c>
      <c r="S75" t="s">
        <v>41</v>
      </c>
      <c r="T75" t="s">
        <v>42</v>
      </c>
      <c r="U75" t="s">
        <v>91</v>
      </c>
      <c r="V75">
        <v>41281</v>
      </c>
      <c r="X75" t="s">
        <v>44</v>
      </c>
      <c r="Y75" t="s">
        <v>45</v>
      </c>
      <c r="Z75" t="s">
        <v>46</v>
      </c>
      <c r="AA75" t="s">
        <v>92</v>
      </c>
      <c r="AB75">
        <v>12</v>
      </c>
      <c r="AC75" t="s">
        <v>59</v>
      </c>
      <c r="AD75" t="s">
        <v>141</v>
      </c>
      <c r="AE75">
        <v>3.88</v>
      </c>
      <c r="AF75">
        <v>4</v>
      </c>
      <c r="AG75">
        <v>0</v>
      </c>
      <c r="AH75" t="s">
        <v>257</v>
      </c>
      <c r="AI75">
        <v>0</v>
      </c>
      <c r="AJ75">
        <v>6</v>
      </c>
      <c r="AK75" t="str">
        <f t="shared" si="10"/>
        <v>Normal</v>
      </c>
      <c r="AL75" t="str">
        <f t="shared" si="11"/>
        <v>low Outlier</v>
      </c>
      <c r="AM75">
        <f ca="1">INT((TODAY()-HRDataset_v14[[#This Row],[DOB]])/365.25)</f>
        <v>47</v>
      </c>
      <c r="AN75">
        <f ca="1">DATEDIF(HRDataset_v14[[#This Row],[DateofHire]],TODAY(),"Y")</f>
        <v>13</v>
      </c>
      <c r="AO75">
        <f ca="1">IF(ISBLANK(HRDataset_v14[[#This Row],[DateofTermination]]),DATEDIF(HRDataset_v14[[#This Row],[DateofHire]],TODAY(),"Y"),DATEDIF(HRDataset_v14[[#This Row],[DateofHire]],HRDataset_v14[[#This Row],[DateofTermination]],"Y"))</f>
        <v>13</v>
      </c>
      <c r="AP75" t="str">
        <f ca="1">IF(HRDataset_v14[[#This Row],[Tenure in Years
]]&lt;1,"0-1 Year",IF(HRDataset_v14[[#This Row],[Tenure in Years
]]&lt;3,"1-3 Years",IF(HRDataset_v14[[#This Row],[Tenure in Years
]]&lt;5,"3-5 Years",IF(HRDataset_v14[[#This Row],[Tenure in Years
]]&lt;10,"5-10 Years","10+ Years"))))</f>
        <v>10+ Years</v>
      </c>
      <c r="AQ75" t="str">
        <f ca="1">IF(HRDataset_v14[[#This Row],[Age Calculation
]]&lt;26,"18-25",IF(HRDataset_v14[[#This Row],[Age Calculation
]]&lt;36,"26-35",IF(HRDataset_v14[[#This Row],[Age Calculation
]]&lt;46,"36-45",IF(HRDataset_v14[[#This Row],[Age Calculation
]]&lt;56,"46-55","55+"))))</f>
        <v>46-55</v>
      </c>
      <c r="AR75" t="str">
        <f>IF(HRDataset_v14[[#This Row],[Salary]]&lt;40000,"Entry (&lt;40K)",IF(HRDataset_v14[[#This Row],[Salary]]&lt;70000,"Mid (40-70K)",IF(HRDataset_v14[[#This Row],[Salary]]&lt;100000,"Senior (70-100K)","Executive (100K+)")))</f>
        <v>Mid (40-70K)</v>
      </c>
      <c r="AS75">
        <f>IF(HRDataset_v14[[#This Row],[EmploymentStatus]]="Active",1,0)</f>
        <v>1</v>
      </c>
      <c r="AT75">
        <f>YEAR(HRDataset_v14[[#This Row],[DateofHire]])</f>
        <v>2013</v>
      </c>
      <c r="AU75">
        <f>MONTH(HRDataset_v14[[#This Row],[DateofHire]])</f>
        <v>1</v>
      </c>
      <c r="AV75" t="str">
        <f>"Q"&amp;ROUNDUP(MONTH(HRDataset_v14[[#This Row],[DateofHire]])/3,0)</f>
        <v>Q1</v>
      </c>
      <c r="AW75" t="str">
        <f>TEXT(HRDataset_v14[[#This Row],[DateofHire]],"MMM")</f>
        <v>Jan</v>
      </c>
      <c r="AX75" t="str">
        <f>TEXT(HRDataset_v14[[#This Row],[DateofHire]],"YYYY-MM")</f>
        <v>2013-01</v>
      </c>
      <c r="AY75" t="str">
        <f>IF(ISBLANK(HRDataset_v14[[#This Row],[DateofTermination]]),"N/A",YEAR(HRDataset_v14[[#This Row],[DateofTermination]]))</f>
        <v>N/A</v>
      </c>
      <c r="AZ75" t="str" cm="1">
        <f t="array" ref="AZ75">INDEX(_xlfn.UNIQUE(Z75:Z385),MATCH(MAX(COUNTIF(Z75:Z385,_xlfn.UNIQUE(Z75:Z385))),COUNTIF(Z75:Z385,_xlfn.UNIQUE(Z75:Z385)),0))</f>
        <v xml:space="preserve">Production       </v>
      </c>
      <c r="BA75">
        <f t="shared" si="16"/>
        <v>29.411764705882355</v>
      </c>
      <c r="BB75">
        <f t="shared" si="17"/>
        <v>0</v>
      </c>
      <c r="BC75" t="str">
        <f t="shared" si="12"/>
        <v>High</v>
      </c>
      <c r="BD75">
        <f t="shared" si="13"/>
        <v>3.88</v>
      </c>
      <c r="BE75" t="str">
        <f t="shared" si="14"/>
        <v/>
      </c>
      <c r="BF75" t="s">
        <v>681</v>
      </c>
      <c r="BG75" t="s">
        <v>745</v>
      </c>
      <c r="BH75" t="s">
        <v>772</v>
      </c>
      <c r="BI75">
        <f>COUNTIF(I:I,1)/COUNTA(A:A)*100</f>
        <v>9.2948717948717956</v>
      </c>
      <c r="BT75">
        <f t="shared" si="15"/>
        <v>3.88</v>
      </c>
      <c r="BV75">
        <v>4.5</v>
      </c>
      <c r="BW75">
        <v>5</v>
      </c>
    </row>
    <row r="76" spans="1:75" x14ac:dyDescent="0.3">
      <c r="A76" t="s">
        <v>258</v>
      </c>
      <c r="B76">
        <v>10207</v>
      </c>
      <c r="C76">
        <v>0</v>
      </c>
      <c r="D76">
        <v>0</v>
      </c>
      <c r="E76">
        <v>0</v>
      </c>
      <c r="F76">
        <v>1</v>
      </c>
      <c r="G76">
        <v>5</v>
      </c>
      <c r="H76">
        <v>3</v>
      </c>
      <c r="I76">
        <v>0</v>
      </c>
      <c r="J76">
        <v>46335</v>
      </c>
      <c r="K76">
        <v>0</v>
      </c>
      <c r="L76">
        <v>19</v>
      </c>
      <c r="M76" t="s">
        <v>37</v>
      </c>
      <c r="N76" t="s">
        <v>38</v>
      </c>
      <c r="O76">
        <v>2125</v>
      </c>
      <c r="P76">
        <v>31692</v>
      </c>
      <c r="Q76" t="s">
        <v>64</v>
      </c>
      <c r="R76" t="s">
        <v>40</v>
      </c>
      <c r="S76" t="s">
        <v>41</v>
      </c>
      <c r="T76" t="s">
        <v>100</v>
      </c>
      <c r="U76" t="s">
        <v>43</v>
      </c>
      <c r="V76">
        <v>41001</v>
      </c>
      <c r="X76" t="s">
        <v>44</v>
      </c>
      <c r="Y76" t="s">
        <v>45</v>
      </c>
      <c r="Z76" t="s">
        <v>46</v>
      </c>
      <c r="AA76" t="s">
        <v>102</v>
      </c>
      <c r="AB76">
        <v>14</v>
      </c>
      <c r="AC76" t="s">
        <v>140</v>
      </c>
      <c r="AD76" t="s">
        <v>60</v>
      </c>
      <c r="AE76">
        <v>3.4</v>
      </c>
      <c r="AF76">
        <v>5</v>
      </c>
      <c r="AG76">
        <v>0</v>
      </c>
      <c r="AH76" t="s">
        <v>194</v>
      </c>
      <c r="AI76">
        <v>0</v>
      </c>
      <c r="AJ76">
        <v>15</v>
      </c>
      <c r="AK76" t="str">
        <f t="shared" si="10"/>
        <v>Normal</v>
      </c>
      <c r="AL76" t="str">
        <f t="shared" si="11"/>
        <v>low Outlier</v>
      </c>
      <c r="AM76">
        <f ca="1">INT((TODAY()-HRDataset_v14[[#This Row],[DOB]])/365.25)</f>
        <v>39</v>
      </c>
      <c r="AN76">
        <f ca="1">DATEDIF(HRDataset_v14[[#This Row],[DateofHire]],TODAY(),"Y")</f>
        <v>14</v>
      </c>
      <c r="AO76">
        <f ca="1">IF(ISBLANK(HRDataset_v14[[#This Row],[DateofTermination]]),DATEDIF(HRDataset_v14[[#This Row],[DateofHire]],TODAY(),"Y"),DATEDIF(HRDataset_v14[[#This Row],[DateofHire]],HRDataset_v14[[#This Row],[DateofTermination]],"Y"))</f>
        <v>14</v>
      </c>
      <c r="AP76" t="str">
        <f ca="1">IF(HRDataset_v14[[#This Row],[Tenure in Years
]]&lt;1,"0-1 Year",IF(HRDataset_v14[[#This Row],[Tenure in Years
]]&lt;3,"1-3 Years",IF(HRDataset_v14[[#This Row],[Tenure in Years
]]&lt;5,"3-5 Years",IF(HRDataset_v14[[#This Row],[Tenure in Years
]]&lt;10,"5-10 Years","10+ Years"))))</f>
        <v>10+ Years</v>
      </c>
      <c r="AQ76" t="str">
        <f ca="1">IF(HRDataset_v14[[#This Row],[Age Calculation
]]&lt;26,"18-25",IF(HRDataset_v14[[#This Row],[Age Calculation
]]&lt;36,"26-35",IF(HRDataset_v14[[#This Row],[Age Calculation
]]&lt;46,"36-45",IF(HRDataset_v14[[#This Row],[Age Calculation
]]&lt;56,"46-55","55+"))))</f>
        <v>36-45</v>
      </c>
      <c r="AR76" t="str">
        <f>IF(HRDataset_v14[[#This Row],[Salary]]&lt;40000,"Entry (&lt;40K)",IF(HRDataset_v14[[#This Row],[Salary]]&lt;70000,"Mid (40-70K)",IF(HRDataset_v14[[#This Row],[Salary]]&lt;100000,"Senior (70-100K)","Executive (100K+)")))</f>
        <v>Mid (40-70K)</v>
      </c>
      <c r="AS76">
        <f>IF(HRDataset_v14[[#This Row],[EmploymentStatus]]="Active",1,0)</f>
        <v>1</v>
      </c>
      <c r="AT76">
        <f>YEAR(HRDataset_v14[[#This Row],[DateofHire]])</f>
        <v>2012</v>
      </c>
      <c r="AU76">
        <f>MONTH(HRDataset_v14[[#This Row],[DateofHire]])</f>
        <v>4</v>
      </c>
      <c r="AV76" t="str">
        <f>"Q"&amp;ROUNDUP(MONTH(HRDataset_v14[[#This Row],[DateofHire]])/3,0)</f>
        <v>Q2</v>
      </c>
      <c r="AW76" t="str">
        <f>TEXT(HRDataset_v14[[#This Row],[DateofHire]],"MMM")</f>
        <v>Apr</v>
      </c>
      <c r="AX76" t="str">
        <f>TEXT(HRDataset_v14[[#This Row],[DateofHire]],"YYYY-MM")</f>
        <v>2012-04</v>
      </c>
      <c r="AY76" t="str">
        <f>IF(ISBLANK(HRDataset_v14[[#This Row],[DateofTermination]]),"N/A",YEAR(HRDataset_v14[[#This Row],[DateofTermination]]))</f>
        <v>N/A</v>
      </c>
      <c r="AZ76" t="str" cm="1">
        <f t="array" ref="AZ76">INDEX(_xlfn.UNIQUE(Z76:Z386),MATCH(MAX(COUNTIF(Z76:Z386,_xlfn.UNIQUE(Z76:Z386))),COUNTIF(Z76:Z386,_xlfn.UNIQUE(Z76:Z386)),0))</f>
        <v xml:space="preserve">Production       </v>
      </c>
      <c r="BA76">
        <f t="shared" si="16"/>
        <v>17.647058823529413</v>
      </c>
      <c r="BB76">
        <f t="shared" si="17"/>
        <v>0</v>
      </c>
      <c r="BC76" t="str">
        <f t="shared" si="12"/>
        <v>Medium</v>
      </c>
      <c r="BD76">
        <f t="shared" si="13"/>
        <v>3.4</v>
      </c>
      <c r="BE76" t="str">
        <f t="shared" si="14"/>
        <v/>
      </c>
      <c r="BF76">
        <f>COUNTIF(U:U,"Asian")/COUNTA(U:U)*100</f>
        <v>9.2948717948717956</v>
      </c>
      <c r="BG76" t="str">
        <f>INDEX(X2:X312,MATCH(MAX(BB2:BB312),BB2:BB312,0))</f>
        <v>Another position</v>
      </c>
      <c r="BH76">
        <f>AVERAGE(AJ2:AJ312)</f>
        <v>10.237942122186496</v>
      </c>
      <c r="BI76" t="s">
        <v>724</v>
      </c>
      <c r="BT76">
        <f t="shared" si="15"/>
        <v>3.4</v>
      </c>
      <c r="BV76">
        <v>4.2</v>
      </c>
      <c r="BW76">
        <v>4.5</v>
      </c>
    </row>
    <row r="77" spans="1:75" x14ac:dyDescent="0.3">
      <c r="A77" t="s">
        <v>259</v>
      </c>
      <c r="B77">
        <v>10133</v>
      </c>
      <c r="C77">
        <v>1</v>
      </c>
      <c r="D77">
        <v>1</v>
      </c>
      <c r="E77">
        <v>0</v>
      </c>
      <c r="F77">
        <v>1</v>
      </c>
      <c r="G77">
        <v>3</v>
      </c>
      <c r="H77">
        <v>3</v>
      </c>
      <c r="I77">
        <v>0</v>
      </c>
      <c r="J77">
        <v>70621</v>
      </c>
      <c r="K77">
        <v>0</v>
      </c>
      <c r="L77">
        <v>14</v>
      </c>
      <c r="M77" t="s">
        <v>96</v>
      </c>
      <c r="N77" t="s">
        <v>38</v>
      </c>
      <c r="O77">
        <v>2119</v>
      </c>
      <c r="P77">
        <v>32342</v>
      </c>
      <c r="Q77" t="s">
        <v>64</v>
      </c>
      <c r="R77" t="s">
        <v>53</v>
      </c>
      <c r="S77" t="s">
        <v>41</v>
      </c>
      <c r="T77" t="s">
        <v>42</v>
      </c>
      <c r="U77" t="s">
        <v>43</v>
      </c>
      <c r="V77">
        <v>42009</v>
      </c>
      <c r="X77" t="s">
        <v>44</v>
      </c>
      <c r="Y77" t="s">
        <v>45</v>
      </c>
      <c r="Z77" t="s">
        <v>57</v>
      </c>
      <c r="AA77" t="s">
        <v>97</v>
      </c>
      <c r="AB77">
        <v>7</v>
      </c>
      <c r="AC77" t="s">
        <v>88</v>
      </c>
      <c r="AD77" t="s">
        <v>60</v>
      </c>
      <c r="AE77">
        <v>4.1100000000000003</v>
      </c>
      <c r="AF77">
        <v>4</v>
      </c>
      <c r="AG77">
        <v>6</v>
      </c>
      <c r="AH77" t="s">
        <v>89</v>
      </c>
      <c r="AI77">
        <v>0</v>
      </c>
      <c r="AJ77">
        <v>16</v>
      </c>
      <c r="AK77" t="str">
        <f t="shared" si="10"/>
        <v>Normal</v>
      </c>
      <c r="AL77" t="str">
        <f t="shared" si="11"/>
        <v>low Outlier</v>
      </c>
      <c r="AM77">
        <f ca="1">INT((TODAY()-HRDataset_v14[[#This Row],[DOB]])/365.25)</f>
        <v>37</v>
      </c>
      <c r="AN77">
        <f ca="1">DATEDIF(HRDataset_v14[[#This Row],[DateofHire]],TODAY(),"Y")</f>
        <v>11</v>
      </c>
      <c r="AO77">
        <f ca="1">IF(ISBLANK(HRDataset_v14[[#This Row],[DateofTermination]]),DATEDIF(HRDataset_v14[[#This Row],[DateofHire]],TODAY(),"Y"),DATEDIF(HRDataset_v14[[#This Row],[DateofHire]],HRDataset_v14[[#This Row],[DateofTermination]],"Y"))</f>
        <v>11</v>
      </c>
      <c r="AP77" t="str">
        <f ca="1">IF(HRDataset_v14[[#This Row],[Tenure in Years
]]&lt;1,"0-1 Year",IF(HRDataset_v14[[#This Row],[Tenure in Years
]]&lt;3,"1-3 Years",IF(HRDataset_v14[[#This Row],[Tenure in Years
]]&lt;5,"3-5 Years",IF(HRDataset_v14[[#This Row],[Tenure in Years
]]&lt;10,"5-10 Years","10+ Years"))))</f>
        <v>10+ Years</v>
      </c>
      <c r="AQ77" t="str">
        <f ca="1">IF(HRDataset_v14[[#This Row],[Age Calculation
]]&lt;26,"18-25",IF(HRDataset_v14[[#This Row],[Age Calculation
]]&lt;36,"26-35",IF(HRDataset_v14[[#This Row],[Age Calculation
]]&lt;46,"36-45",IF(HRDataset_v14[[#This Row],[Age Calculation
]]&lt;56,"46-55","55+"))))</f>
        <v>36-45</v>
      </c>
      <c r="AR77" t="str">
        <f>IF(HRDataset_v14[[#This Row],[Salary]]&lt;40000,"Entry (&lt;40K)",IF(HRDataset_v14[[#This Row],[Salary]]&lt;70000,"Mid (40-70K)",IF(HRDataset_v14[[#This Row],[Salary]]&lt;100000,"Senior (70-100K)","Executive (100K+)")))</f>
        <v>Senior (70-100K)</v>
      </c>
      <c r="AS77">
        <f>IF(HRDataset_v14[[#This Row],[EmploymentStatus]]="Active",1,0)</f>
        <v>1</v>
      </c>
      <c r="AT77">
        <f>YEAR(HRDataset_v14[[#This Row],[DateofHire]])</f>
        <v>2015</v>
      </c>
      <c r="AU77">
        <f>MONTH(HRDataset_v14[[#This Row],[DateofHire]])</f>
        <v>1</v>
      </c>
      <c r="AV77" t="str">
        <f>"Q"&amp;ROUNDUP(MONTH(HRDataset_v14[[#This Row],[DateofHire]])/3,0)</f>
        <v>Q1</v>
      </c>
      <c r="AW77" t="str">
        <f>TEXT(HRDataset_v14[[#This Row],[DateofHire]],"MMM")</f>
        <v>Jan</v>
      </c>
      <c r="AX77" t="str">
        <f>TEXT(HRDataset_v14[[#This Row],[DateofHire]],"YYYY-MM")</f>
        <v>2015-01</v>
      </c>
      <c r="AY77" t="str">
        <f>IF(ISBLANK(HRDataset_v14[[#This Row],[DateofTermination]]),"N/A",YEAR(HRDataset_v14[[#This Row],[DateofTermination]]))</f>
        <v>N/A</v>
      </c>
      <c r="AZ77" t="str" cm="1">
        <f t="array" ref="AZ77">INDEX(_xlfn.UNIQUE(Z77:Z387),MATCH(MAX(COUNTIF(Z77:Z387,_xlfn.UNIQUE(Z77:Z387))),COUNTIF(Z77:Z387,_xlfn.UNIQUE(Z77:Z387)),0))</f>
        <v xml:space="preserve">Production       </v>
      </c>
      <c r="BA77">
        <f t="shared" si="16"/>
        <v>9.0909090909090917</v>
      </c>
      <c r="BB77">
        <f t="shared" si="17"/>
        <v>0</v>
      </c>
      <c r="BC77" t="str">
        <f t="shared" si="12"/>
        <v>Medium</v>
      </c>
      <c r="BD77">
        <f t="shared" si="13"/>
        <v>4.1100000000000003</v>
      </c>
      <c r="BE77" t="str">
        <f t="shared" si="14"/>
        <v/>
      </c>
      <c r="BF77" t="s">
        <v>682</v>
      </c>
      <c r="BI77">
        <f>AVERAGEIF(I:I,1,H:H)</f>
        <v>3</v>
      </c>
      <c r="BT77">
        <f t="shared" si="15"/>
        <v>4.1100000000000003</v>
      </c>
      <c r="BV77">
        <v>3.73</v>
      </c>
      <c r="BW77">
        <v>4.2</v>
      </c>
    </row>
    <row r="78" spans="1:75" x14ac:dyDescent="0.3">
      <c r="A78" t="s">
        <v>260</v>
      </c>
      <c r="B78">
        <v>10028</v>
      </c>
      <c r="C78">
        <v>0</v>
      </c>
      <c r="D78">
        <v>0</v>
      </c>
      <c r="E78">
        <v>1</v>
      </c>
      <c r="F78">
        <v>1</v>
      </c>
      <c r="G78">
        <v>3</v>
      </c>
      <c r="H78">
        <v>4</v>
      </c>
      <c r="I78">
        <v>0</v>
      </c>
      <c r="J78">
        <v>138888</v>
      </c>
      <c r="K78">
        <v>0</v>
      </c>
      <c r="L78">
        <v>13</v>
      </c>
      <c r="M78" t="s">
        <v>261</v>
      </c>
      <c r="N78" t="s">
        <v>38</v>
      </c>
      <c r="O78">
        <v>1886</v>
      </c>
      <c r="P78">
        <v>25758</v>
      </c>
      <c r="Q78" t="s">
        <v>39</v>
      </c>
      <c r="R78" t="s">
        <v>40</v>
      </c>
      <c r="S78" t="s">
        <v>41</v>
      </c>
      <c r="T78" t="s">
        <v>42</v>
      </c>
      <c r="U78" t="s">
        <v>91</v>
      </c>
      <c r="V78">
        <v>41644</v>
      </c>
      <c r="X78" t="s">
        <v>44</v>
      </c>
      <c r="Y78" t="s">
        <v>45</v>
      </c>
      <c r="Z78" t="s">
        <v>57</v>
      </c>
      <c r="AA78" t="s">
        <v>180</v>
      </c>
      <c r="AB78">
        <v>5</v>
      </c>
      <c r="AC78" t="s">
        <v>59</v>
      </c>
      <c r="AD78" t="s">
        <v>49</v>
      </c>
      <c r="AE78">
        <v>4.3</v>
      </c>
      <c r="AF78">
        <v>5</v>
      </c>
      <c r="AG78">
        <v>5</v>
      </c>
      <c r="AH78" t="s">
        <v>263</v>
      </c>
      <c r="AI78">
        <v>0</v>
      </c>
      <c r="AJ78">
        <v>4</v>
      </c>
      <c r="AK78" t="str">
        <f t="shared" si="10"/>
        <v xml:space="preserve"> high Outlier</v>
      </c>
      <c r="AL78" t="str">
        <f t="shared" si="11"/>
        <v>low Outlier</v>
      </c>
      <c r="AM78">
        <f ca="1">INT((TODAY()-HRDataset_v14[[#This Row],[DOB]])/365.25)</f>
        <v>55</v>
      </c>
      <c r="AN78">
        <f ca="1">DATEDIF(HRDataset_v14[[#This Row],[DateofHire]],TODAY(),"Y")</f>
        <v>12</v>
      </c>
      <c r="AO78">
        <f ca="1">IF(ISBLANK(HRDataset_v14[[#This Row],[DateofTermination]]),DATEDIF(HRDataset_v14[[#This Row],[DateofHire]],TODAY(),"Y"),DATEDIF(HRDataset_v14[[#This Row],[DateofHire]],HRDataset_v14[[#This Row],[DateofTermination]],"Y"))</f>
        <v>12</v>
      </c>
      <c r="AP78" t="str">
        <f ca="1">IF(HRDataset_v14[[#This Row],[Tenure in Years
]]&lt;1,"0-1 Year",IF(HRDataset_v14[[#This Row],[Tenure in Years
]]&lt;3,"1-3 Years",IF(HRDataset_v14[[#This Row],[Tenure in Years
]]&lt;5,"3-5 Years",IF(HRDataset_v14[[#This Row],[Tenure in Years
]]&lt;10,"5-10 Years","10+ Years"))))</f>
        <v>10+ Years</v>
      </c>
      <c r="AQ78" t="str">
        <f ca="1">IF(HRDataset_v14[[#This Row],[Age Calculation
]]&lt;26,"18-25",IF(HRDataset_v14[[#This Row],[Age Calculation
]]&lt;36,"26-35",IF(HRDataset_v14[[#This Row],[Age Calculation
]]&lt;46,"36-45",IF(HRDataset_v14[[#This Row],[Age Calculation
]]&lt;56,"46-55","55+"))))</f>
        <v>46-55</v>
      </c>
      <c r="AR78" t="str">
        <f>IF(HRDataset_v14[[#This Row],[Salary]]&lt;40000,"Entry (&lt;40K)",IF(HRDataset_v14[[#This Row],[Salary]]&lt;70000,"Mid (40-70K)",IF(HRDataset_v14[[#This Row],[Salary]]&lt;100000,"Senior (70-100K)","Executive (100K+)")))</f>
        <v>Executive (100K+)</v>
      </c>
      <c r="AS78">
        <f>IF(HRDataset_v14[[#This Row],[EmploymentStatus]]="Active",1,0)</f>
        <v>1</v>
      </c>
      <c r="AT78">
        <f>YEAR(HRDataset_v14[[#This Row],[DateofHire]])</f>
        <v>2014</v>
      </c>
      <c r="AU78">
        <f>MONTH(HRDataset_v14[[#This Row],[DateofHire]])</f>
        <v>1</v>
      </c>
      <c r="AV78" t="str">
        <f>"Q"&amp;ROUNDUP(MONTH(HRDataset_v14[[#This Row],[DateofHire]])/3,0)</f>
        <v>Q1</v>
      </c>
      <c r="AW78" t="str">
        <f>TEXT(HRDataset_v14[[#This Row],[DateofHire]],"MMM")</f>
        <v>Jan</v>
      </c>
      <c r="AX78" t="str">
        <f>TEXT(HRDataset_v14[[#This Row],[DateofHire]],"YYYY-MM")</f>
        <v>2014-01</v>
      </c>
      <c r="AY78" t="str">
        <f>IF(ISBLANK(HRDataset_v14[[#This Row],[DateofTermination]]),"N/A",YEAR(HRDataset_v14[[#This Row],[DateofTermination]]))</f>
        <v>N/A</v>
      </c>
      <c r="AZ78" t="str" cm="1">
        <f t="array" ref="AZ78">INDEX(_xlfn.UNIQUE(Z78:Z388),MATCH(MAX(COUNTIF(Z78:Z388,_xlfn.UNIQUE(Z78:Z388))),COUNTIF(Z78:Z388,_xlfn.UNIQUE(Z78:Z388)),0))</f>
        <v xml:space="preserve">Production       </v>
      </c>
      <c r="BA78">
        <f t="shared" si="16"/>
        <v>20</v>
      </c>
      <c r="BB78">
        <f t="shared" si="17"/>
        <v>0</v>
      </c>
      <c r="BC78" t="str">
        <f t="shared" si="12"/>
        <v>Low</v>
      </c>
      <c r="BD78">
        <f t="shared" si="13"/>
        <v>4.3</v>
      </c>
      <c r="BE78" t="str">
        <f t="shared" si="14"/>
        <v/>
      </c>
      <c r="BF78">
        <f>COUNTIF(U:U,"White")/COUNTA(U:U)*100</f>
        <v>59.935897435897431</v>
      </c>
      <c r="BG78" t="s">
        <v>747</v>
      </c>
      <c r="BH78" t="s">
        <v>773</v>
      </c>
      <c r="BI78" t="s">
        <v>725</v>
      </c>
      <c r="BT78">
        <f t="shared" si="15"/>
        <v>4.3</v>
      </c>
      <c r="BV78">
        <v>3.9</v>
      </c>
      <c r="BW78">
        <v>5</v>
      </c>
    </row>
    <row r="79" spans="1:75" x14ac:dyDescent="0.3">
      <c r="A79" t="s">
        <v>264</v>
      </c>
      <c r="B79">
        <v>10006</v>
      </c>
      <c r="C79">
        <v>0</v>
      </c>
      <c r="D79">
        <v>0</v>
      </c>
      <c r="E79">
        <v>0</v>
      </c>
      <c r="F79">
        <v>1</v>
      </c>
      <c r="G79">
        <v>6</v>
      </c>
      <c r="H79">
        <v>4</v>
      </c>
      <c r="I79">
        <v>0</v>
      </c>
      <c r="J79">
        <v>74241</v>
      </c>
      <c r="K79">
        <v>0</v>
      </c>
      <c r="L79">
        <v>3</v>
      </c>
      <c r="M79" t="s">
        <v>169</v>
      </c>
      <c r="N79" t="s">
        <v>265</v>
      </c>
      <c r="O79">
        <v>90007</v>
      </c>
      <c r="P79">
        <v>32455</v>
      </c>
      <c r="Q79" t="s">
        <v>64</v>
      </c>
      <c r="R79" t="s">
        <v>40</v>
      </c>
      <c r="S79" t="s">
        <v>41</v>
      </c>
      <c r="T79" t="s">
        <v>42</v>
      </c>
      <c r="U79" t="s">
        <v>43</v>
      </c>
      <c r="V79">
        <v>40553</v>
      </c>
      <c r="X79" t="s">
        <v>44</v>
      </c>
      <c r="Y79" t="s">
        <v>45</v>
      </c>
      <c r="Z79" t="s">
        <v>171</v>
      </c>
      <c r="AA79" t="s">
        <v>197</v>
      </c>
      <c r="AB79">
        <v>21</v>
      </c>
      <c r="AC79" t="s">
        <v>59</v>
      </c>
      <c r="AD79" t="s">
        <v>49</v>
      </c>
      <c r="AE79">
        <v>4.7699999999999996</v>
      </c>
      <c r="AF79">
        <v>5</v>
      </c>
      <c r="AG79">
        <v>0</v>
      </c>
      <c r="AH79" t="s">
        <v>266</v>
      </c>
      <c r="AI79">
        <v>0</v>
      </c>
      <c r="AJ79">
        <v>14</v>
      </c>
      <c r="AK79" t="str">
        <f t="shared" si="10"/>
        <v>Normal</v>
      </c>
      <c r="AL79" t="str">
        <f t="shared" si="11"/>
        <v>low Outlier</v>
      </c>
      <c r="AM79">
        <f ca="1">INT((TODAY()-HRDataset_v14[[#This Row],[DOB]])/365.25)</f>
        <v>37</v>
      </c>
      <c r="AN79">
        <f ca="1">DATEDIF(HRDataset_v14[[#This Row],[DateofHire]],TODAY(),"Y")</f>
        <v>15</v>
      </c>
      <c r="AO79">
        <f ca="1">IF(ISBLANK(HRDataset_v14[[#This Row],[DateofTermination]]),DATEDIF(HRDataset_v14[[#This Row],[DateofHire]],TODAY(),"Y"),DATEDIF(HRDataset_v14[[#This Row],[DateofHire]],HRDataset_v14[[#This Row],[DateofTermination]],"Y"))</f>
        <v>15</v>
      </c>
      <c r="AP79" t="str">
        <f ca="1">IF(HRDataset_v14[[#This Row],[Tenure in Years
]]&lt;1,"0-1 Year",IF(HRDataset_v14[[#This Row],[Tenure in Years
]]&lt;3,"1-3 Years",IF(HRDataset_v14[[#This Row],[Tenure in Years
]]&lt;5,"3-5 Years",IF(HRDataset_v14[[#This Row],[Tenure in Years
]]&lt;10,"5-10 Years","10+ Years"))))</f>
        <v>10+ Years</v>
      </c>
      <c r="AQ79" t="str">
        <f ca="1">IF(HRDataset_v14[[#This Row],[Age Calculation
]]&lt;26,"18-25",IF(HRDataset_v14[[#This Row],[Age Calculation
]]&lt;36,"26-35",IF(HRDataset_v14[[#This Row],[Age Calculation
]]&lt;46,"36-45",IF(HRDataset_v14[[#This Row],[Age Calculation
]]&lt;56,"46-55","55+"))))</f>
        <v>36-45</v>
      </c>
      <c r="AR79" t="str">
        <f>IF(HRDataset_v14[[#This Row],[Salary]]&lt;40000,"Entry (&lt;40K)",IF(HRDataset_v14[[#This Row],[Salary]]&lt;70000,"Mid (40-70K)",IF(HRDataset_v14[[#This Row],[Salary]]&lt;100000,"Senior (70-100K)","Executive (100K+)")))</f>
        <v>Senior (70-100K)</v>
      </c>
      <c r="AS79">
        <f>IF(HRDataset_v14[[#This Row],[EmploymentStatus]]="Active",1,0)</f>
        <v>1</v>
      </c>
      <c r="AT79">
        <f>YEAR(HRDataset_v14[[#This Row],[DateofHire]])</f>
        <v>2011</v>
      </c>
      <c r="AU79">
        <f>MONTH(HRDataset_v14[[#This Row],[DateofHire]])</f>
        <v>1</v>
      </c>
      <c r="AV79" t="str">
        <f>"Q"&amp;ROUNDUP(MONTH(HRDataset_v14[[#This Row],[DateofHire]])/3,0)</f>
        <v>Q1</v>
      </c>
      <c r="AW79" t="str">
        <f>TEXT(HRDataset_v14[[#This Row],[DateofHire]],"MMM")</f>
        <v>Jan</v>
      </c>
      <c r="AX79" t="str">
        <f>TEXT(HRDataset_v14[[#This Row],[DateofHire]],"YYYY-MM")</f>
        <v>2011-01</v>
      </c>
      <c r="AY79" t="str">
        <f>IF(ISBLANK(HRDataset_v14[[#This Row],[DateofTermination]]),"N/A",YEAR(HRDataset_v14[[#This Row],[DateofTermination]]))</f>
        <v>N/A</v>
      </c>
      <c r="AZ79" t="str" cm="1">
        <f t="array" ref="AZ79">INDEX(_xlfn.UNIQUE(Z79:Z389),MATCH(MAX(COUNTIF(Z79:Z389,_xlfn.UNIQUE(Z79:Z389))),COUNTIF(Z79:Z389,_xlfn.UNIQUE(Z79:Z389)),0))</f>
        <v xml:space="preserve">Production       </v>
      </c>
      <c r="BA79">
        <f t="shared" si="16"/>
        <v>8.3333333333333321</v>
      </c>
      <c r="BB79">
        <f t="shared" si="17"/>
        <v>0</v>
      </c>
      <c r="BC79" t="str">
        <f t="shared" si="12"/>
        <v>Low</v>
      </c>
      <c r="BD79">
        <f t="shared" si="13"/>
        <v>4.7699999999999996</v>
      </c>
      <c r="BE79" t="str">
        <f t="shared" si="14"/>
        <v/>
      </c>
      <c r="BF79" t="s">
        <v>91</v>
      </c>
      <c r="BH79">
        <f>CORREL(AJ2:AJ312,H2:H312)</f>
        <v>4.6628812160028212E-2</v>
      </c>
      <c r="BI79">
        <f>AVERAGEIF(I:I,0,H:H)</f>
        <v>2.9751773049645389</v>
      </c>
      <c r="BT79">
        <f t="shared" si="15"/>
        <v>4.7699999999999996</v>
      </c>
      <c r="BV79">
        <v>4.5</v>
      </c>
      <c r="BW79">
        <v>3.6</v>
      </c>
    </row>
    <row r="80" spans="1:75" x14ac:dyDescent="0.3">
      <c r="A80" t="s">
        <v>267</v>
      </c>
      <c r="B80">
        <v>10105</v>
      </c>
      <c r="C80">
        <v>0</v>
      </c>
      <c r="D80">
        <v>0</v>
      </c>
      <c r="E80">
        <v>0</v>
      </c>
      <c r="F80">
        <v>1</v>
      </c>
      <c r="G80">
        <v>5</v>
      </c>
      <c r="H80">
        <v>3</v>
      </c>
      <c r="I80">
        <v>0</v>
      </c>
      <c r="J80">
        <v>75188</v>
      </c>
      <c r="K80">
        <v>0</v>
      </c>
      <c r="L80">
        <v>18</v>
      </c>
      <c r="M80" t="s">
        <v>154</v>
      </c>
      <c r="N80" t="s">
        <v>38</v>
      </c>
      <c r="O80">
        <v>1731</v>
      </c>
      <c r="P80">
        <v>26996</v>
      </c>
      <c r="Q80" t="s">
        <v>64</v>
      </c>
      <c r="R80" t="s">
        <v>40</v>
      </c>
      <c r="S80" t="s">
        <v>41</v>
      </c>
      <c r="T80" t="s">
        <v>42</v>
      </c>
      <c r="U80" t="s">
        <v>43</v>
      </c>
      <c r="V80">
        <v>41900</v>
      </c>
      <c r="X80" t="s">
        <v>44</v>
      </c>
      <c r="Y80" t="s">
        <v>45</v>
      </c>
      <c r="Z80" t="s">
        <v>46</v>
      </c>
      <c r="AA80" t="s">
        <v>156</v>
      </c>
      <c r="AB80">
        <v>2</v>
      </c>
      <c r="AC80" t="s">
        <v>75</v>
      </c>
      <c r="AD80" t="s">
        <v>60</v>
      </c>
      <c r="AE80">
        <v>4.5199999999999996</v>
      </c>
      <c r="AF80">
        <v>4</v>
      </c>
      <c r="AG80">
        <v>0</v>
      </c>
      <c r="AH80" t="s">
        <v>162</v>
      </c>
      <c r="AI80">
        <v>0</v>
      </c>
      <c r="AJ80">
        <v>4</v>
      </c>
      <c r="AK80" t="str">
        <f t="shared" si="10"/>
        <v>Normal</v>
      </c>
      <c r="AL80" t="str">
        <f t="shared" si="11"/>
        <v>low Outlier</v>
      </c>
      <c r="AM80">
        <f ca="1">INT((TODAY()-HRDataset_v14[[#This Row],[DOB]])/365.25)</f>
        <v>52</v>
      </c>
      <c r="AN80">
        <f ca="1">DATEDIF(HRDataset_v14[[#This Row],[DateofHire]],TODAY(),"Y")</f>
        <v>11</v>
      </c>
      <c r="AO80">
        <f ca="1">IF(ISBLANK(HRDataset_v14[[#This Row],[DateofTermination]]),DATEDIF(HRDataset_v14[[#This Row],[DateofHire]],TODAY(),"Y"),DATEDIF(HRDataset_v14[[#This Row],[DateofHire]],HRDataset_v14[[#This Row],[DateofTermination]],"Y"))</f>
        <v>11</v>
      </c>
      <c r="AP80" t="str">
        <f ca="1">IF(HRDataset_v14[[#This Row],[Tenure in Years
]]&lt;1,"0-1 Year",IF(HRDataset_v14[[#This Row],[Tenure in Years
]]&lt;3,"1-3 Years",IF(HRDataset_v14[[#This Row],[Tenure in Years
]]&lt;5,"3-5 Years",IF(HRDataset_v14[[#This Row],[Tenure in Years
]]&lt;10,"5-10 Years","10+ Years"))))</f>
        <v>10+ Years</v>
      </c>
      <c r="AQ80" t="str">
        <f ca="1">IF(HRDataset_v14[[#This Row],[Age Calculation
]]&lt;26,"18-25",IF(HRDataset_v14[[#This Row],[Age Calculation
]]&lt;36,"26-35",IF(HRDataset_v14[[#This Row],[Age Calculation
]]&lt;46,"36-45",IF(HRDataset_v14[[#This Row],[Age Calculation
]]&lt;56,"46-55","55+"))))</f>
        <v>46-55</v>
      </c>
      <c r="AR80" t="str">
        <f>IF(HRDataset_v14[[#This Row],[Salary]]&lt;40000,"Entry (&lt;40K)",IF(HRDataset_v14[[#This Row],[Salary]]&lt;70000,"Mid (40-70K)",IF(HRDataset_v14[[#This Row],[Salary]]&lt;100000,"Senior (70-100K)","Executive (100K+)")))</f>
        <v>Senior (70-100K)</v>
      </c>
      <c r="AS80">
        <f>IF(HRDataset_v14[[#This Row],[EmploymentStatus]]="Active",1,0)</f>
        <v>1</v>
      </c>
      <c r="AT80">
        <f>YEAR(HRDataset_v14[[#This Row],[DateofHire]])</f>
        <v>2014</v>
      </c>
      <c r="AU80">
        <f>MONTH(HRDataset_v14[[#This Row],[DateofHire]])</f>
        <v>9</v>
      </c>
      <c r="AV80" t="str">
        <f>"Q"&amp;ROUNDUP(MONTH(HRDataset_v14[[#This Row],[DateofHire]])/3,0)</f>
        <v>Q3</v>
      </c>
      <c r="AW80" t="str">
        <f>TEXT(HRDataset_v14[[#This Row],[DateofHire]],"MMM")</f>
        <v>Sep</v>
      </c>
      <c r="AX80" t="str">
        <f>TEXT(HRDataset_v14[[#This Row],[DateofHire]],"YYYY-MM")</f>
        <v>2014-09</v>
      </c>
      <c r="AY80" t="str">
        <f>IF(ISBLANK(HRDataset_v14[[#This Row],[DateofTermination]]),"N/A",YEAR(HRDataset_v14[[#This Row],[DateofTermination]]))</f>
        <v>N/A</v>
      </c>
      <c r="AZ80" t="str" cm="1">
        <f t="array" ref="AZ80">INDEX(_xlfn.UNIQUE(Z80:Z390),MATCH(MAX(COUNTIF(Z80:Z390,_xlfn.UNIQUE(Z80:Z390))),COUNTIF(Z80:Z390,_xlfn.UNIQUE(Z80:Z390)),0))</f>
        <v xml:space="preserve">Production       </v>
      </c>
      <c r="BA80">
        <f t="shared" si="16"/>
        <v>33.333333333333329</v>
      </c>
      <c r="BB80">
        <f t="shared" si="17"/>
        <v>0</v>
      </c>
      <c r="BC80" t="str">
        <f t="shared" si="12"/>
        <v>Medium</v>
      </c>
      <c r="BD80">
        <f t="shared" si="13"/>
        <v>4.5199999999999996</v>
      </c>
      <c r="BE80" t="str">
        <f t="shared" si="14"/>
        <v/>
      </c>
      <c r="BF80">
        <f>COUNTIF(U:U,"*Black*")/COUNTA(U:U)*100</f>
        <v>25.641025641025639</v>
      </c>
      <c r="BG80" t="s">
        <v>749</v>
      </c>
      <c r="BT80">
        <f t="shared" si="15"/>
        <v>4.5199999999999996</v>
      </c>
      <c r="BV80">
        <v>4.3</v>
      </c>
      <c r="BW80">
        <v>3.88</v>
      </c>
    </row>
    <row r="81" spans="1:75" x14ac:dyDescent="0.3">
      <c r="A81" t="s">
        <v>268</v>
      </c>
      <c r="B81">
        <v>10211</v>
      </c>
      <c r="C81">
        <v>1</v>
      </c>
      <c r="D81">
        <v>1</v>
      </c>
      <c r="E81">
        <v>0</v>
      </c>
      <c r="F81">
        <v>1</v>
      </c>
      <c r="G81">
        <v>5</v>
      </c>
      <c r="H81">
        <v>3</v>
      </c>
      <c r="I81">
        <v>0</v>
      </c>
      <c r="J81">
        <v>62514</v>
      </c>
      <c r="K81">
        <v>0</v>
      </c>
      <c r="L81">
        <v>19</v>
      </c>
      <c r="M81" t="s">
        <v>37</v>
      </c>
      <c r="N81" t="s">
        <v>38</v>
      </c>
      <c r="O81">
        <v>1749</v>
      </c>
      <c r="P81">
        <v>26930</v>
      </c>
      <c r="Q81" t="s">
        <v>64</v>
      </c>
      <c r="R81" t="s">
        <v>53</v>
      </c>
      <c r="S81" t="s">
        <v>41</v>
      </c>
      <c r="T81" t="s">
        <v>42</v>
      </c>
      <c r="U81" t="s">
        <v>43</v>
      </c>
      <c r="V81">
        <v>40294</v>
      </c>
      <c r="X81" t="s">
        <v>44</v>
      </c>
      <c r="Y81" t="s">
        <v>45</v>
      </c>
      <c r="Z81" t="s">
        <v>46</v>
      </c>
      <c r="AA81" t="s">
        <v>87</v>
      </c>
      <c r="AB81">
        <v>19</v>
      </c>
      <c r="AC81" t="s">
        <v>75</v>
      </c>
      <c r="AD81" t="s">
        <v>60</v>
      </c>
      <c r="AE81">
        <v>2.9</v>
      </c>
      <c r="AF81">
        <v>3</v>
      </c>
      <c r="AG81">
        <v>0</v>
      </c>
      <c r="AH81" t="s">
        <v>167</v>
      </c>
      <c r="AI81">
        <v>0</v>
      </c>
      <c r="AJ81">
        <v>6</v>
      </c>
      <c r="AK81" t="str">
        <f t="shared" si="10"/>
        <v>Normal</v>
      </c>
      <c r="AL81" t="str">
        <f t="shared" si="11"/>
        <v>low Outlier</v>
      </c>
      <c r="AM81">
        <f ca="1">INT((TODAY()-HRDataset_v14[[#This Row],[DOB]])/365.25)</f>
        <v>52</v>
      </c>
      <c r="AN81">
        <f ca="1">DATEDIF(HRDataset_v14[[#This Row],[DateofHire]],TODAY(),"Y")</f>
        <v>15</v>
      </c>
      <c r="AO81">
        <f ca="1">IF(ISBLANK(HRDataset_v14[[#This Row],[DateofTermination]]),DATEDIF(HRDataset_v14[[#This Row],[DateofHire]],TODAY(),"Y"),DATEDIF(HRDataset_v14[[#This Row],[DateofHire]],HRDataset_v14[[#This Row],[DateofTermination]],"Y"))</f>
        <v>15</v>
      </c>
      <c r="AP81" t="str">
        <f ca="1">IF(HRDataset_v14[[#This Row],[Tenure in Years
]]&lt;1,"0-1 Year",IF(HRDataset_v14[[#This Row],[Tenure in Years
]]&lt;3,"1-3 Years",IF(HRDataset_v14[[#This Row],[Tenure in Years
]]&lt;5,"3-5 Years",IF(HRDataset_v14[[#This Row],[Tenure in Years
]]&lt;10,"5-10 Years","10+ Years"))))</f>
        <v>10+ Years</v>
      </c>
      <c r="AQ81" t="str">
        <f ca="1">IF(HRDataset_v14[[#This Row],[Age Calculation
]]&lt;26,"18-25",IF(HRDataset_v14[[#This Row],[Age Calculation
]]&lt;36,"26-35",IF(HRDataset_v14[[#This Row],[Age Calculation
]]&lt;46,"36-45",IF(HRDataset_v14[[#This Row],[Age Calculation
]]&lt;56,"46-55","55+"))))</f>
        <v>46-55</v>
      </c>
      <c r="AR81" t="str">
        <f>IF(HRDataset_v14[[#This Row],[Salary]]&lt;40000,"Entry (&lt;40K)",IF(HRDataset_v14[[#This Row],[Salary]]&lt;70000,"Mid (40-70K)",IF(HRDataset_v14[[#This Row],[Salary]]&lt;100000,"Senior (70-100K)","Executive (100K+)")))</f>
        <v>Mid (40-70K)</v>
      </c>
      <c r="AS81">
        <f>IF(HRDataset_v14[[#This Row],[EmploymentStatus]]="Active",1,0)</f>
        <v>1</v>
      </c>
      <c r="AT81">
        <f>YEAR(HRDataset_v14[[#This Row],[DateofHire]])</f>
        <v>2010</v>
      </c>
      <c r="AU81">
        <f>MONTH(HRDataset_v14[[#This Row],[DateofHire]])</f>
        <v>4</v>
      </c>
      <c r="AV81" t="str">
        <f>"Q"&amp;ROUNDUP(MONTH(HRDataset_v14[[#This Row],[DateofHire]])/3,0)</f>
        <v>Q2</v>
      </c>
      <c r="AW81" t="str">
        <f>TEXT(HRDataset_v14[[#This Row],[DateofHire]],"MMM")</f>
        <v>Apr</v>
      </c>
      <c r="AX81" t="str">
        <f>TEXT(HRDataset_v14[[#This Row],[DateofHire]],"YYYY-MM")</f>
        <v>2010-04</v>
      </c>
      <c r="AY81" t="str">
        <f>IF(ISBLANK(HRDataset_v14[[#This Row],[DateofTermination]]),"N/A",YEAR(HRDataset_v14[[#This Row],[DateofTermination]]))</f>
        <v>N/A</v>
      </c>
      <c r="AZ81" t="str" cm="1">
        <f t="array" ref="AZ81">INDEX(_xlfn.UNIQUE(Z81:Z391),MATCH(MAX(COUNTIF(Z81:Z391,_xlfn.UNIQUE(Z81:Z391))),COUNTIF(Z81:Z391,_xlfn.UNIQUE(Z81:Z391)),0))</f>
        <v xml:space="preserve">Production       </v>
      </c>
      <c r="BA81">
        <f t="shared" si="16"/>
        <v>31.25</v>
      </c>
      <c r="BB81">
        <f t="shared" si="17"/>
        <v>0</v>
      </c>
      <c r="BC81" t="str">
        <f t="shared" si="12"/>
        <v>Medium</v>
      </c>
      <c r="BD81">
        <f t="shared" si="13"/>
        <v>2.9</v>
      </c>
      <c r="BE81" t="str">
        <f t="shared" si="14"/>
        <v/>
      </c>
      <c r="BF81" t="s">
        <v>683</v>
      </c>
      <c r="BG81">
        <f>COUNTIF(BC2:BC312,"High")</f>
        <v>31</v>
      </c>
      <c r="BI81" t="s">
        <v>726</v>
      </c>
      <c r="BT81">
        <f t="shared" si="15"/>
        <v>2.9</v>
      </c>
      <c r="BV81">
        <v>4.3</v>
      </c>
      <c r="BW81">
        <v>5</v>
      </c>
    </row>
    <row r="82" spans="1:75" x14ac:dyDescent="0.3">
      <c r="A82" t="s">
        <v>269</v>
      </c>
      <c r="B82">
        <v>10064</v>
      </c>
      <c r="C82">
        <v>1</v>
      </c>
      <c r="D82">
        <v>1</v>
      </c>
      <c r="E82">
        <v>0</v>
      </c>
      <c r="F82">
        <v>5</v>
      </c>
      <c r="G82">
        <v>5</v>
      </c>
      <c r="H82">
        <v>3</v>
      </c>
      <c r="I82">
        <v>0</v>
      </c>
      <c r="J82">
        <v>60070</v>
      </c>
      <c r="K82">
        <v>1</v>
      </c>
      <c r="L82">
        <v>19</v>
      </c>
      <c r="M82" t="s">
        <v>37</v>
      </c>
      <c r="N82" t="s">
        <v>38</v>
      </c>
      <c r="O82">
        <v>2343</v>
      </c>
      <c r="P82">
        <v>33486</v>
      </c>
      <c r="Q82" t="s">
        <v>64</v>
      </c>
      <c r="R82" t="s">
        <v>53</v>
      </c>
      <c r="S82" t="s">
        <v>41</v>
      </c>
      <c r="T82" t="s">
        <v>42</v>
      </c>
      <c r="U82" t="s">
        <v>43</v>
      </c>
      <c r="V82">
        <v>40637</v>
      </c>
      <c r="W82">
        <v>42892</v>
      </c>
      <c r="X82" t="s">
        <v>270</v>
      </c>
      <c r="Y82" t="s">
        <v>56</v>
      </c>
      <c r="Z82" t="s">
        <v>46</v>
      </c>
      <c r="AA82" t="s">
        <v>66</v>
      </c>
      <c r="AB82">
        <v>20</v>
      </c>
      <c r="AC82" t="s">
        <v>75</v>
      </c>
      <c r="AD82" t="s">
        <v>60</v>
      </c>
      <c r="AE82">
        <v>5</v>
      </c>
      <c r="AF82">
        <v>3</v>
      </c>
      <c r="AG82">
        <v>0</v>
      </c>
      <c r="AH82" t="s">
        <v>271</v>
      </c>
      <c r="AI82">
        <v>0</v>
      </c>
      <c r="AJ82">
        <v>7</v>
      </c>
      <c r="AK82" t="str">
        <f t="shared" si="10"/>
        <v>Normal</v>
      </c>
      <c r="AL82" t="str">
        <f t="shared" si="11"/>
        <v>low Outlier</v>
      </c>
      <c r="AM82">
        <f ca="1">INT((TODAY()-HRDataset_v14[[#This Row],[DOB]])/365.25)</f>
        <v>34</v>
      </c>
      <c r="AN82">
        <f ca="1">DATEDIF(HRDataset_v14[[#This Row],[DateofHire]],TODAY(),"Y")</f>
        <v>14</v>
      </c>
      <c r="AO82">
        <f ca="1">IF(ISBLANK(HRDataset_v14[[#This Row],[DateofTermination]]),DATEDIF(HRDataset_v14[[#This Row],[DateofHire]],TODAY(),"Y"),DATEDIF(HRDataset_v14[[#This Row],[DateofHire]],HRDataset_v14[[#This Row],[DateofTermination]],"Y"))</f>
        <v>6</v>
      </c>
      <c r="AP82" t="str">
        <f ca="1">IF(HRDataset_v14[[#This Row],[Tenure in Years
]]&lt;1,"0-1 Year",IF(HRDataset_v14[[#This Row],[Tenure in Years
]]&lt;3,"1-3 Years",IF(HRDataset_v14[[#This Row],[Tenure in Years
]]&lt;5,"3-5 Years",IF(HRDataset_v14[[#This Row],[Tenure in Years
]]&lt;10,"5-10 Years","10+ Years"))))</f>
        <v>10+ Years</v>
      </c>
      <c r="AQ82" t="str">
        <f ca="1">IF(HRDataset_v14[[#This Row],[Age Calculation
]]&lt;26,"18-25",IF(HRDataset_v14[[#This Row],[Age Calculation
]]&lt;36,"26-35",IF(HRDataset_v14[[#This Row],[Age Calculation
]]&lt;46,"36-45",IF(HRDataset_v14[[#This Row],[Age Calculation
]]&lt;56,"46-55","55+"))))</f>
        <v>26-35</v>
      </c>
      <c r="AR82" t="str">
        <f>IF(HRDataset_v14[[#This Row],[Salary]]&lt;40000,"Entry (&lt;40K)",IF(HRDataset_v14[[#This Row],[Salary]]&lt;70000,"Mid (40-70K)",IF(HRDataset_v14[[#This Row],[Salary]]&lt;100000,"Senior (70-100K)","Executive (100K+)")))</f>
        <v>Mid (40-70K)</v>
      </c>
      <c r="AS82">
        <f>IF(HRDataset_v14[[#This Row],[EmploymentStatus]]="Active",1,0)</f>
        <v>0</v>
      </c>
      <c r="AT82">
        <f>YEAR(HRDataset_v14[[#This Row],[DateofHire]])</f>
        <v>2011</v>
      </c>
      <c r="AU82">
        <f>MONTH(HRDataset_v14[[#This Row],[DateofHire]])</f>
        <v>4</v>
      </c>
      <c r="AV82" t="str">
        <f>"Q"&amp;ROUNDUP(MONTH(HRDataset_v14[[#This Row],[DateofHire]])/3,0)</f>
        <v>Q2</v>
      </c>
      <c r="AW82" t="str">
        <f>TEXT(HRDataset_v14[[#This Row],[DateofHire]],"MMM")</f>
        <v>Apr</v>
      </c>
      <c r="AX82" t="str">
        <f>TEXT(HRDataset_v14[[#This Row],[DateofHire]],"YYYY-MM")</f>
        <v>2011-04</v>
      </c>
      <c r="AY82">
        <f>IF(ISBLANK(HRDataset_v14[[#This Row],[DateofTermination]]),"N/A",YEAR(HRDataset_v14[[#This Row],[DateofTermination]]))</f>
        <v>2017</v>
      </c>
      <c r="AZ82" t="str" cm="1">
        <f t="array" ref="AZ82">INDEX(_xlfn.UNIQUE(Z82:Z392),MATCH(MAX(COUNTIF(Z82:Z392,_xlfn.UNIQUE(Z82:Z392))),COUNTIF(Z82:Z392,_xlfn.UNIQUE(Z82:Z392)),0))</f>
        <v xml:space="preserve">Production       </v>
      </c>
      <c r="BA82">
        <f t="shared" si="16"/>
        <v>52.941176470588239</v>
      </c>
      <c r="BB82">
        <f t="shared" si="17"/>
        <v>4</v>
      </c>
      <c r="BC82" t="str">
        <f t="shared" si="12"/>
        <v>Medium</v>
      </c>
      <c r="BD82" t="str">
        <f t="shared" si="13"/>
        <v/>
      </c>
      <c r="BE82">
        <f t="shared" si="14"/>
        <v>5</v>
      </c>
      <c r="BF82">
        <f>COUNTIF(U:U,"*American*")/COUNTA(U:U)*100</f>
        <v>26.602564102564102</v>
      </c>
      <c r="BI82">
        <f>COUNTIFS(I:I,1,K:K,0)/COUNTIF(I:I,1)*100</f>
        <v>44.827586206896555</v>
      </c>
      <c r="BT82" t="str">
        <f t="shared" si="15"/>
        <v/>
      </c>
      <c r="BV82">
        <v>4.5</v>
      </c>
      <c r="BW82">
        <v>4.3</v>
      </c>
    </row>
    <row r="83" spans="1:75" x14ac:dyDescent="0.3">
      <c r="A83" t="s">
        <v>272</v>
      </c>
      <c r="B83">
        <v>10247</v>
      </c>
      <c r="C83">
        <v>0</v>
      </c>
      <c r="D83">
        <v>0</v>
      </c>
      <c r="E83">
        <v>1</v>
      </c>
      <c r="F83">
        <v>1</v>
      </c>
      <c r="G83">
        <v>5</v>
      </c>
      <c r="H83">
        <v>3</v>
      </c>
      <c r="I83">
        <v>0</v>
      </c>
      <c r="J83">
        <v>48888</v>
      </c>
      <c r="K83">
        <v>0</v>
      </c>
      <c r="L83">
        <v>19</v>
      </c>
      <c r="M83" t="s">
        <v>37</v>
      </c>
      <c r="N83" t="s">
        <v>38</v>
      </c>
      <c r="O83">
        <v>2026</v>
      </c>
      <c r="P83">
        <v>27180</v>
      </c>
      <c r="Q83" t="s">
        <v>39</v>
      </c>
      <c r="R83" t="s">
        <v>40</v>
      </c>
      <c r="S83" t="s">
        <v>41</v>
      </c>
      <c r="T83" t="s">
        <v>42</v>
      </c>
      <c r="U83" t="s">
        <v>43</v>
      </c>
      <c r="V83">
        <v>41953</v>
      </c>
      <c r="X83" t="s">
        <v>44</v>
      </c>
      <c r="Y83" t="s">
        <v>45</v>
      </c>
      <c r="Z83" t="s">
        <v>46</v>
      </c>
      <c r="AA83" t="s">
        <v>113</v>
      </c>
      <c r="AB83">
        <v>18</v>
      </c>
      <c r="AC83" t="s">
        <v>48</v>
      </c>
      <c r="AD83" t="s">
        <v>60</v>
      </c>
      <c r="AE83">
        <v>4.7</v>
      </c>
      <c r="AF83">
        <v>5</v>
      </c>
      <c r="AG83">
        <v>0</v>
      </c>
      <c r="AH83" t="s">
        <v>273</v>
      </c>
      <c r="AI83">
        <v>0</v>
      </c>
      <c r="AJ83">
        <v>8</v>
      </c>
      <c r="AK83" t="str">
        <f t="shared" si="10"/>
        <v>Normal</v>
      </c>
      <c r="AL83" t="str">
        <f t="shared" si="11"/>
        <v>low Outlier</v>
      </c>
      <c r="AM83">
        <f ca="1">INT((TODAY()-HRDataset_v14[[#This Row],[DOB]])/365.25)</f>
        <v>51</v>
      </c>
      <c r="AN83">
        <f ca="1">DATEDIF(HRDataset_v14[[#This Row],[DateofHire]],TODAY(),"Y")</f>
        <v>11</v>
      </c>
      <c r="AO83">
        <f ca="1">IF(ISBLANK(HRDataset_v14[[#This Row],[DateofTermination]]),DATEDIF(HRDataset_v14[[#This Row],[DateofHire]],TODAY(),"Y"),DATEDIF(HRDataset_v14[[#This Row],[DateofHire]],HRDataset_v14[[#This Row],[DateofTermination]],"Y"))</f>
        <v>11</v>
      </c>
      <c r="AP83" t="str">
        <f ca="1">IF(HRDataset_v14[[#This Row],[Tenure in Years
]]&lt;1,"0-1 Year",IF(HRDataset_v14[[#This Row],[Tenure in Years
]]&lt;3,"1-3 Years",IF(HRDataset_v14[[#This Row],[Tenure in Years
]]&lt;5,"3-5 Years",IF(HRDataset_v14[[#This Row],[Tenure in Years
]]&lt;10,"5-10 Years","10+ Years"))))</f>
        <v>10+ Years</v>
      </c>
      <c r="AQ83" t="str">
        <f ca="1">IF(HRDataset_v14[[#This Row],[Age Calculation
]]&lt;26,"18-25",IF(HRDataset_v14[[#This Row],[Age Calculation
]]&lt;36,"26-35",IF(HRDataset_v14[[#This Row],[Age Calculation
]]&lt;46,"36-45",IF(HRDataset_v14[[#This Row],[Age Calculation
]]&lt;56,"46-55","55+"))))</f>
        <v>46-55</v>
      </c>
      <c r="AR83" t="str">
        <f>IF(HRDataset_v14[[#This Row],[Salary]]&lt;40000,"Entry (&lt;40K)",IF(HRDataset_v14[[#This Row],[Salary]]&lt;70000,"Mid (40-70K)",IF(HRDataset_v14[[#This Row],[Salary]]&lt;100000,"Senior (70-100K)","Executive (100K+)")))</f>
        <v>Mid (40-70K)</v>
      </c>
      <c r="AS83">
        <f>IF(HRDataset_v14[[#This Row],[EmploymentStatus]]="Active",1,0)</f>
        <v>1</v>
      </c>
      <c r="AT83">
        <f>YEAR(HRDataset_v14[[#This Row],[DateofHire]])</f>
        <v>2014</v>
      </c>
      <c r="AU83">
        <f>MONTH(HRDataset_v14[[#This Row],[DateofHire]])</f>
        <v>11</v>
      </c>
      <c r="AV83" t="str">
        <f>"Q"&amp;ROUNDUP(MONTH(HRDataset_v14[[#This Row],[DateofHire]])/3,0)</f>
        <v>Q4</v>
      </c>
      <c r="AW83" t="str">
        <f>TEXT(HRDataset_v14[[#This Row],[DateofHire]],"MMM")</f>
        <v>Nov</v>
      </c>
      <c r="AX83" t="str">
        <f>TEXT(HRDataset_v14[[#This Row],[DateofHire]],"YYYY-MM")</f>
        <v>2014-11</v>
      </c>
      <c r="AY83" t="str">
        <f>IF(ISBLANK(HRDataset_v14[[#This Row],[DateofTermination]]),"N/A",YEAR(HRDataset_v14[[#This Row],[DateofTermination]]))</f>
        <v>N/A</v>
      </c>
      <c r="AZ83" t="str" cm="1">
        <f t="array" ref="AZ83">INDEX(_xlfn.UNIQUE(Z83:Z393),MATCH(MAX(COUNTIF(Z83:Z393,_xlfn.UNIQUE(Z83:Z393))),COUNTIF(Z83:Z393,_xlfn.UNIQUE(Z83:Z393)),0))</f>
        <v xml:space="preserve">Production       </v>
      </c>
      <c r="BA83">
        <f t="shared" si="16"/>
        <v>25</v>
      </c>
      <c r="BB83">
        <f t="shared" si="17"/>
        <v>0</v>
      </c>
      <c r="BC83" t="str">
        <f t="shared" si="12"/>
        <v>Medium</v>
      </c>
      <c r="BD83">
        <f t="shared" si="13"/>
        <v>4.7</v>
      </c>
      <c r="BE83" t="str">
        <f t="shared" si="14"/>
        <v/>
      </c>
      <c r="BF83" t="s">
        <v>685</v>
      </c>
      <c r="BG83" t="s">
        <v>795</v>
      </c>
      <c r="BH83" t="s">
        <v>797</v>
      </c>
      <c r="BT83">
        <f t="shared" si="15"/>
        <v>4.7</v>
      </c>
      <c r="BV83">
        <v>4.6100000000000003</v>
      </c>
      <c r="BW83">
        <v>4.5999999999999996</v>
      </c>
    </row>
    <row r="84" spans="1:75" x14ac:dyDescent="0.3">
      <c r="A84" t="s">
        <v>274</v>
      </c>
      <c r="B84">
        <v>10235</v>
      </c>
      <c r="C84">
        <v>1</v>
      </c>
      <c r="D84">
        <v>1</v>
      </c>
      <c r="E84">
        <v>1</v>
      </c>
      <c r="F84">
        <v>1</v>
      </c>
      <c r="G84">
        <v>5</v>
      </c>
      <c r="H84">
        <v>3</v>
      </c>
      <c r="I84">
        <v>0</v>
      </c>
      <c r="J84">
        <v>54285</v>
      </c>
      <c r="K84">
        <v>0</v>
      </c>
      <c r="L84">
        <v>19</v>
      </c>
      <c r="M84" t="s">
        <v>37</v>
      </c>
      <c r="N84" t="s">
        <v>38</v>
      </c>
      <c r="O84">
        <v>2045</v>
      </c>
      <c r="P84">
        <v>28727</v>
      </c>
      <c r="Q84" t="s">
        <v>39</v>
      </c>
      <c r="R84" t="s">
        <v>53</v>
      </c>
      <c r="S84" t="s">
        <v>41</v>
      </c>
      <c r="T84" t="s">
        <v>42</v>
      </c>
      <c r="U84" t="s">
        <v>43</v>
      </c>
      <c r="V84">
        <v>41729</v>
      </c>
      <c r="X84" t="s">
        <v>44</v>
      </c>
      <c r="Y84" t="s">
        <v>45</v>
      </c>
      <c r="Z84" t="s">
        <v>46</v>
      </c>
      <c r="AA84" t="s">
        <v>113</v>
      </c>
      <c r="AB84">
        <v>18</v>
      </c>
      <c r="AC84" t="s">
        <v>88</v>
      </c>
      <c r="AD84" t="s">
        <v>60</v>
      </c>
      <c r="AE84">
        <v>4.2</v>
      </c>
      <c r="AF84">
        <v>3</v>
      </c>
      <c r="AG84">
        <v>0</v>
      </c>
      <c r="AH84" t="s">
        <v>133</v>
      </c>
      <c r="AI84">
        <v>0</v>
      </c>
      <c r="AJ84">
        <v>3</v>
      </c>
      <c r="AK84" t="str">
        <f t="shared" si="10"/>
        <v>Normal</v>
      </c>
      <c r="AL84" t="str">
        <f t="shared" si="11"/>
        <v>low Outlier</v>
      </c>
      <c r="AM84">
        <f ca="1">INT((TODAY()-HRDataset_v14[[#This Row],[DOB]])/365.25)</f>
        <v>47</v>
      </c>
      <c r="AN84">
        <f ca="1">DATEDIF(HRDataset_v14[[#This Row],[DateofHire]],TODAY(),"Y")</f>
        <v>12</v>
      </c>
      <c r="AO84">
        <f ca="1">IF(ISBLANK(HRDataset_v14[[#This Row],[DateofTermination]]),DATEDIF(HRDataset_v14[[#This Row],[DateofHire]],TODAY(),"Y"),DATEDIF(HRDataset_v14[[#This Row],[DateofHire]],HRDataset_v14[[#This Row],[DateofTermination]],"Y"))</f>
        <v>12</v>
      </c>
      <c r="AP84" t="str">
        <f ca="1">IF(HRDataset_v14[[#This Row],[Tenure in Years
]]&lt;1,"0-1 Year",IF(HRDataset_v14[[#This Row],[Tenure in Years
]]&lt;3,"1-3 Years",IF(HRDataset_v14[[#This Row],[Tenure in Years
]]&lt;5,"3-5 Years",IF(HRDataset_v14[[#This Row],[Tenure in Years
]]&lt;10,"5-10 Years","10+ Years"))))</f>
        <v>10+ Years</v>
      </c>
      <c r="AQ84" t="str">
        <f ca="1">IF(HRDataset_v14[[#This Row],[Age Calculation
]]&lt;26,"18-25",IF(HRDataset_v14[[#This Row],[Age Calculation
]]&lt;36,"26-35",IF(HRDataset_v14[[#This Row],[Age Calculation
]]&lt;46,"36-45",IF(HRDataset_v14[[#This Row],[Age Calculation
]]&lt;56,"46-55","55+"))))</f>
        <v>46-55</v>
      </c>
      <c r="AR84" t="str">
        <f>IF(HRDataset_v14[[#This Row],[Salary]]&lt;40000,"Entry (&lt;40K)",IF(HRDataset_v14[[#This Row],[Salary]]&lt;70000,"Mid (40-70K)",IF(HRDataset_v14[[#This Row],[Salary]]&lt;100000,"Senior (70-100K)","Executive (100K+)")))</f>
        <v>Mid (40-70K)</v>
      </c>
      <c r="AS84">
        <f>IF(HRDataset_v14[[#This Row],[EmploymentStatus]]="Active",1,0)</f>
        <v>1</v>
      </c>
      <c r="AT84">
        <f>YEAR(HRDataset_v14[[#This Row],[DateofHire]])</f>
        <v>2014</v>
      </c>
      <c r="AU84">
        <f>MONTH(HRDataset_v14[[#This Row],[DateofHire]])</f>
        <v>3</v>
      </c>
      <c r="AV84" t="str">
        <f>"Q"&amp;ROUNDUP(MONTH(HRDataset_v14[[#This Row],[DateofHire]])/3,0)</f>
        <v>Q1</v>
      </c>
      <c r="AW84" t="str">
        <f>TEXT(HRDataset_v14[[#This Row],[DateofHire]],"MMM")</f>
        <v>Mar</v>
      </c>
      <c r="AX84" t="str">
        <f>TEXT(HRDataset_v14[[#This Row],[DateofHire]],"YYYY-MM")</f>
        <v>2014-03</v>
      </c>
      <c r="AY84" t="str">
        <f>IF(ISBLANK(HRDataset_v14[[#This Row],[DateofTermination]]),"N/A",YEAR(HRDataset_v14[[#This Row],[DateofTermination]]))</f>
        <v>N/A</v>
      </c>
      <c r="AZ84" t="str" cm="1">
        <f t="array" ref="AZ84">INDEX(_xlfn.UNIQUE(Z84:Z394),MATCH(MAX(COUNTIF(Z84:Z394,_xlfn.UNIQUE(Z84:Z394))),COUNTIF(Z84:Z394,_xlfn.UNIQUE(Z84:Z394)),0))</f>
        <v xml:space="preserve">Production       </v>
      </c>
      <c r="BA84">
        <f t="shared" si="16"/>
        <v>26.666666666666668</v>
      </c>
      <c r="BB84">
        <f t="shared" si="17"/>
        <v>0</v>
      </c>
      <c r="BC84" t="str">
        <f t="shared" si="12"/>
        <v>Medium</v>
      </c>
      <c r="BD84">
        <f t="shared" si="13"/>
        <v>4.2</v>
      </c>
      <c r="BE84" t="str">
        <f t="shared" si="14"/>
        <v/>
      </c>
      <c r="BF84">
        <f>COUNTIF(U:U,"*two*")/COUNTA(U:U)*100</f>
        <v>3.5256410256410255</v>
      </c>
      <c r="BG84" t="s">
        <v>643</v>
      </c>
      <c r="BT84">
        <f t="shared" si="15"/>
        <v>4.2</v>
      </c>
      <c r="BV84">
        <v>4.5999999999999996</v>
      </c>
      <c r="BW84">
        <v>4.2</v>
      </c>
    </row>
    <row r="85" spans="1:75" x14ac:dyDescent="0.3">
      <c r="A85" t="s">
        <v>275</v>
      </c>
      <c r="B85">
        <v>10299</v>
      </c>
      <c r="C85">
        <v>0</v>
      </c>
      <c r="D85">
        <v>3</v>
      </c>
      <c r="E85">
        <v>0</v>
      </c>
      <c r="F85">
        <v>1</v>
      </c>
      <c r="G85">
        <v>5</v>
      </c>
      <c r="H85">
        <v>1</v>
      </c>
      <c r="I85">
        <v>0</v>
      </c>
      <c r="J85">
        <v>56847</v>
      </c>
      <c r="K85">
        <v>0</v>
      </c>
      <c r="L85">
        <v>20</v>
      </c>
      <c r="M85" t="s">
        <v>63</v>
      </c>
      <c r="N85" t="s">
        <v>38</v>
      </c>
      <c r="O85">
        <v>2133</v>
      </c>
      <c r="P85">
        <v>32745</v>
      </c>
      <c r="Q85" t="s">
        <v>64</v>
      </c>
      <c r="R85" t="s">
        <v>166</v>
      </c>
      <c r="S85" t="s">
        <v>41</v>
      </c>
      <c r="T85" t="s">
        <v>42</v>
      </c>
      <c r="U85" t="s">
        <v>43</v>
      </c>
      <c r="V85">
        <v>41827</v>
      </c>
      <c r="X85" t="s">
        <v>44</v>
      </c>
      <c r="Y85" t="s">
        <v>45</v>
      </c>
      <c r="Z85" t="s">
        <v>46</v>
      </c>
      <c r="AA85" t="s">
        <v>47</v>
      </c>
      <c r="AB85">
        <v>22</v>
      </c>
      <c r="AC85" t="s">
        <v>59</v>
      </c>
      <c r="AD85" t="s">
        <v>241</v>
      </c>
      <c r="AE85">
        <v>3</v>
      </c>
      <c r="AF85">
        <v>1</v>
      </c>
      <c r="AG85">
        <v>0</v>
      </c>
      <c r="AH85" t="s">
        <v>89</v>
      </c>
      <c r="AI85">
        <v>2</v>
      </c>
      <c r="AJ85">
        <v>5</v>
      </c>
      <c r="AK85" t="str">
        <f t="shared" si="10"/>
        <v>Normal</v>
      </c>
      <c r="AL85" t="str">
        <f t="shared" si="11"/>
        <v>low Outlier</v>
      </c>
      <c r="AM85">
        <f ca="1">INT((TODAY()-HRDataset_v14[[#This Row],[DOB]])/365.25)</f>
        <v>36</v>
      </c>
      <c r="AN85">
        <f ca="1">DATEDIF(HRDataset_v14[[#This Row],[DateofHire]],TODAY(),"Y")</f>
        <v>11</v>
      </c>
      <c r="AO85">
        <f ca="1">IF(ISBLANK(HRDataset_v14[[#This Row],[DateofTermination]]),DATEDIF(HRDataset_v14[[#This Row],[DateofHire]],TODAY(),"Y"),DATEDIF(HRDataset_v14[[#This Row],[DateofHire]],HRDataset_v14[[#This Row],[DateofTermination]],"Y"))</f>
        <v>11</v>
      </c>
      <c r="AP85" t="str">
        <f ca="1">IF(HRDataset_v14[[#This Row],[Tenure in Years
]]&lt;1,"0-1 Year",IF(HRDataset_v14[[#This Row],[Tenure in Years
]]&lt;3,"1-3 Years",IF(HRDataset_v14[[#This Row],[Tenure in Years
]]&lt;5,"3-5 Years",IF(HRDataset_v14[[#This Row],[Tenure in Years
]]&lt;10,"5-10 Years","10+ Years"))))</f>
        <v>10+ Years</v>
      </c>
      <c r="AQ85" t="str">
        <f ca="1">IF(HRDataset_v14[[#This Row],[Age Calculation
]]&lt;26,"18-25",IF(HRDataset_v14[[#This Row],[Age Calculation
]]&lt;36,"26-35",IF(HRDataset_v14[[#This Row],[Age Calculation
]]&lt;46,"36-45",IF(HRDataset_v14[[#This Row],[Age Calculation
]]&lt;56,"46-55","55+"))))</f>
        <v>36-45</v>
      </c>
      <c r="AR85" t="str">
        <f>IF(HRDataset_v14[[#This Row],[Salary]]&lt;40000,"Entry (&lt;40K)",IF(HRDataset_v14[[#This Row],[Salary]]&lt;70000,"Mid (40-70K)",IF(HRDataset_v14[[#This Row],[Salary]]&lt;100000,"Senior (70-100K)","Executive (100K+)")))</f>
        <v>Mid (40-70K)</v>
      </c>
      <c r="AS85">
        <f>IF(HRDataset_v14[[#This Row],[EmploymentStatus]]="Active",1,0)</f>
        <v>1</v>
      </c>
      <c r="AT85">
        <f>YEAR(HRDataset_v14[[#This Row],[DateofHire]])</f>
        <v>2014</v>
      </c>
      <c r="AU85">
        <f>MONTH(HRDataset_v14[[#This Row],[DateofHire]])</f>
        <v>7</v>
      </c>
      <c r="AV85" t="str">
        <f>"Q"&amp;ROUNDUP(MONTH(HRDataset_v14[[#This Row],[DateofHire]])/3,0)</f>
        <v>Q3</v>
      </c>
      <c r="AW85" t="str">
        <f>TEXT(HRDataset_v14[[#This Row],[DateofHire]],"MMM")</f>
        <v>Jul</v>
      </c>
      <c r="AX85" t="str">
        <f>TEXT(HRDataset_v14[[#This Row],[DateofHire]],"YYYY-MM")</f>
        <v>2014-07</v>
      </c>
      <c r="AY85" t="str">
        <f>IF(ISBLANK(HRDataset_v14[[#This Row],[DateofTermination]]),"N/A",YEAR(HRDataset_v14[[#This Row],[DateofTermination]]))</f>
        <v>N/A</v>
      </c>
      <c r="AZ85" t="str" cm="1">
        <f t="array" ref="AZ85">INDEX(_xlfn.UNIQUE(Z85:Z395),MATCH(MAX(COUNTIF(Z85:Z395,_xlfn.UNIQUE(Z85:Z395))),COUNTIF(Z85:Z395,_xlfn.UNIQUE(Z85:Z395)),0))</f>
        <v xml:space="preserve">Production       </v>
      </c>
      <c r="BA85">
        <f t="shared" si="16"/>
        <v>47.058823529411761</v>
      </c>
      <c r="BB85">
        <f t="shared" si="17"/>
        <v>0</v>
      </c>
      <c r="BC85" t="str">
        <f t="shared" si="12"/>
        <v>High</v>
      </c>
      <c r="BD85">
        <f t="shared" si="13"/>
        <v>3</v>
      </c>
      <c r="BE85" t="str">
        <f t="shared" si="14"/>
        <v/>
      </c>
      <c r="BF85" t="s">
        <v>684</v>
      </c>
      <c r="BG85" t="s">
        <v>794</v>
      </c>
      <c r="BT85">
        <f t="shared" si="15"/>
        <v>3</v>
      </c>
      <c r="BV85">
        <v>5</v>
      </c>
      <c r="BW85">
        <v>4.68</v>
      </c>
    </row>
    <row r="86" spans="1:75" x14ac:dyDescent="0.3">
      <c r="A86" t="s">
        <v>276</v>
      </c>
      <c r="B86">
        <v>10280</v>
      </c>
      <c r="C86">
        <v>0</v>
      </c>
      <c r="D86">
        <v>0</v>
      </c>
      <c r="E86">
        <v>1</v>
      </c>
      <c r="F86">
        <v>4</v>
      </c>
      <c r="G86">
        <v>5</v>
      </c>
      <c r="H86">
        <v>2</v>
      </c>
      <c r="I86">
        <v>0</v>
      </c>
      <c r="J86">
        <v>60340</v>
      </c>
      <c r="K86">
        <v>1</v>
      </c>
      <c r="L86">
        <v>19</v>
      </c>
      <c r="M86" t="s">
        <v>37</v>
      </c>
      <c r="N86" t="s">
        <v>38</v>
      </c>
      <c r="O86">
        <v>2129</v>
      </c>
      <c r="P86">
        <v>30561</v>
      </c>
      <c r="Q86" t="s">
        <v>39</v>
      </c>
      <c r="R86" t="s">
        <v>40</v>
      </c>
      <c r="S86" t="s">
        <v>41</v>
      </c>
      <c r="T86" t="s">
        <v>42</v>
      </c>
      <c r="U86" t="s">
        <v>43</v>
      </c>
      <c r="V86">
        <v>41001</v>
      </c>
      <c r="W86">
        <v>43370</v>
      </c>
      <c r="X86" t="s">
        <v>120</v>
      </c>
      <c r="Y86" t="s">
        <v>121</v>
      </c>
      <c r="Z86" t="s">
        <v>46</v>
      </c>
      <c r="AA86" t="s">
        <v>47</v>
      </c>
      <c r="AB86">
        <v>22</v>
      </c>
      <c r="AC86" t="s">
        <v>75</v>
      </c>
      <c r="AD86" t="s">
        <v>141</v>
      </c>
      <c r="AE86">
        <v>5</v>
      </c>
      <c r="AF86">
        <v>4</v>
      </c>
      <c r="AG86">
        <v>0</v>
      </c>
      <c r="AH86" t="s">
        <v>277</v>
      </c>
      <c r="AI86">
        <v>5</v>
      </c>
      <c r="AJ86">
        <v>16</v>
      </c>
      <c r="AK86" t="str">
        <f t="shared" si="10"/>
        <v>Normal</v>
      </c>
      <c r="AL86" t="str">
        <f t="shared" si="11"/>
        <v>low Outlier</v>
      </c>
      <c r="AM86">
        <f ca="1">INT((TODAY()-HRDataset_v14[[#This Row],[DOB]])/365.25)</f>
        <v>42</v>
      </c>
      <c r="AN86">
        <f ca="1">DATEDIF(HRDataset_v14[[#This Row],[DateofHire]],TODAY(),"Y")</f>
        <v>14</v>
      </c>
      <c r="AO86">
        <f ca="1">IF(ISBLANK(HRDataset_v14[[#This Row],[DateofTermination]]),DATEDIF(HRDataset_v14[[#This Row],[DateofHire]],TODAY(),"Y"),DATEDIF(HRDataset_v14[[#This Row],[DateofHire]],HRDataset_v14[[#This Row],[DateofTermination]],"Y"))</f>
        <v>6</v>
      </c>
      <c r="AP86" t="str">
        <f ca="1">IF(HRDataset_v14[[#This Row],[Tenure in Years
]]&lt;1,"0-1 Year",IF(HRDataset_v14[[#This Row],[Tenure in Years
]]&lt;3,"1-3 Years",IF(HRDataset_v14[[#This Row],[Tenure in Years
]]&lt;5,"3-5 Years",IF(HRDataset_v14[[#This Row],[Tenure in Years
]]&lt;10,"5-10 Years","10+ Years"))))</f>
        <v>10+ Years</v>
      </c>
      <c r="AQ86" t="str">
        <f ca="1">IF(HRDataset_v14[[#This Row],[Age Calculation
]]&lt;26,"18-25",IF(HRDataset_v14[[#This Row],[Age Calculation
]]&lt;36,"26-35",IF(HRDataset_v14[[#This Row],[Age Calculation
]]&lt;46,"36-45",IF(HRDataset_v14[[#This Row],[Age Calculation
]]&lt;56,"46-55","55+"))))</f>
        <v>36-45</v>
      </c>
      <c r="AR86" t="str">
        <f>IF(HRDataset_v14[[#This Row],[Salary]]&lt;40000,"Entry (&lt;40K)",IF(HRDataset_v14[[#This Row],[Salary]]&lt;70000,"Mid (40-70K)",IF(HRDataset_v14[[#This Row],[Salary]]&lt;100000,"Senior (70-100K)","Executive (100K+)")))</f>
        <v>Mid (40-70K)</v>
      </c>
      <c r="AS86">
        <f>IF(HRDataset_v14[[#This Row],[EmploymentStatus]]="Active",1,0)</f>
        <v>0</v>
      </c>
      <c r="AT86">
        <f>YEAR(HRDataset_v14[[#This Row],[DateofHire]])</f>
        <v>2012</v>
      </c>
      <c r="AU86">
        <f>MONTH(HRDataset_v14[[#This Row],[DateofHire]])</f>
        <v>4</v>
      </c>
      <c r="AV86" t="str">
        <f>"Q"&amp;ROUNDUP(MONTH(HRDataset_v14[[#This Row],[DateofHire]])/3,0)</f>
        <v>Q2</v>
      </c>
      <c r="AW86" t="str">
        <f>TEXT(HRDataset_v14[[#This Row],[DateofHire]],"MMM")</f>
        <v>Apr</v>
      </c>
      <c r="AX86" t="str">
        <f>TEXT(HRDataset_v14[[#This Row],[DateofHire]],"YYYY-MM")</f>
        <v>2012-04</v>
      </c>
      <c r="AY86">
        <f>IF(ISBLANK(HRDataset_v14[[#This Row],[DateofTermination]]),"N/A",YEAR(HRDataset_v14[[#This Row],[DateofTermination]]))</f>
        <v>2018</v>
      </c>
      <c r="AZ86" t="str" cm="1">
        <f t="array" ref="AZ86">INDEX(_xlfn.UNIQUE(Z86:Z396),MATCH(MAX(COUNTIF(Z86:Z396,_xlfn.UNIQUE(Z86:Z396))),COUNTIF(Z86:Z396,_xlfn.UNIQUE(Z86:Z396)),0))</f>
        <v xml:space="preserve">Production       </v>
      </c>
      <c r="BA86">
        <f t="shared" si="16"/>
        <v>50</v>
      </c>
      <c r="BB86">
        <f t="shared" si="17"/>
        <v>6</v>
      </c>
      <c r="BC86" t="str">
        <f t="shared" si="12"/>
        <v>High</v>
      </c>
      <c r="BD86" t="str">
        <f t="shared" si="13"/>
        <v/>
      </c>
      <c r="BE86">
        <f t="shared" si="14"/>
        <v>5</v>
      </c>
      <c r="BF86">
        <f>COUNTIF(U:U,"*Hispanic*")/COUNTA(U:U)*100</f>
        <v>0.32051282051282048</v>
      </c>
      <c r="BG86" t="s">
        <v>744</v>
      </c>
      <c r="BT86" t="str">
        <f t="shared" si="15"/>
        <v/>
      </c>
      <c r="BV86">
        <v>4.4000000000000004</v>
      </c>
      <c r="BW86">
        <v>3.8</v>
      </c>
    </row>
    <row r="87" spans="1:75" x14ac:dyDescent="0.3">
      <c r="A87" t="s">
        <v>278</v>
      </c>
      <c r="B87">
        <v>10296</v>
      </c>
      <c r="C87">
        <v>0</v>
      </c>
      <c r="D87">
        <v>0</v>
      </c>
      <c r="E87">
        <v>0</v>
      </c>
      <c r="F87">
        <v>4</v>
      </c>
      <c r="G87">
        <v>5</v>
      </c>
      <c r="H87">
        <v>2</v>
      </c>
      <c r="I87">
        <v>0</v>
      </c>
      <c r="J87">
        <v>59124</v>
      </c>
      <c r="K87">
        <v>1</v>
      </c>
      <c r="L87">
        <v>19</v>
      </c>
      <c r="M87" t="s">
        <v>37</v>
      </c>
      <c r="N87" t="s">
        <v>38</v>
      </c>
      <c r="O87">
        <v>2458</v>
      </c>
      <c r="P87">
        <v>32634</v>
      </c>
      <c r="Q87" t="s">
        <v>64</v>
      </c>
      <c r="R87" t="s">
        <v>40</v>
      </c>
      <c r="S87" t="s">
        <v>41</v>
      </c>
      <c r="T87" t="s">
        <v>42</v>
      </c>
      <c r="U87" t="s">
        <v>43</v>
      </c>
      <c r="V87">
        <v>41687</v>
      </c>
      <c r="W87">
        <v>43156</v>
      </c>
      <c r="X87" t="s">
        <v>279</v>
      </c>
      <c r="Y87" t="s">
        <v>121</v>
      </c>
      <c r="Z87" t="s">
        <v>46</v>
      </c>
      <c r="AA87" t="s">
        <v>69</v>
      </c>
      <c r="AB87">
        <v>16</v>
      </c>
      <c r="AC87" t="s">
        <v>75</v>
      </c>
      <c r="AD87" t="s">
        <v>141</v>
      </c>
      <c r="AE87">
        <v>2.2999999999999998</v>
      </c>
      <c r="AF87">
        <v>3</v>
      </c>
      <c r="AG87">
        <v>0</v>
      </c>
      <c r="AH87" t="s">
        <v>280</v>
      </c>
      <c r="AI87">
        <v>5</v>
      </c>
      <c r="AJ87">
        <v>19</v>
      </c>
      <c r="AK87" t="str">
        <f t="shared" si="10"/>
        <v>Normal</v>
      </c>
      <c r="AL87" t="str">
        <f t="shared" si="11"/>
        <v>low Outlier</v>
      </c>
      <c r="AM87">
        <f ca="1">INT((TODAY()-HRDataset_v14[[#This Row],[DOB]])/365.25)</f>
        <v>36</v>
      </c>
      <c r="AN87">
        <f ca="1">DATEDIF(HRDataset_v14[[#This Row],[DateofHire]],TODAY(),"Y")</f>
        <v>12</v>
      </c>
      <c r="AO87">
        <f ca="1">IF(ISBLANK(HRDataset_v14[[#This Row],[DateofTermination]]),DATEDIF(HRDataset_v14[[#This Row],[DateofHire]],TODAY(),"Y"),DATEDIF(HRDataset_v14[[#This Row],[DateofHire]],HRDataset_v14[[#This Row],[DateofTermination]],"Y"))</f>
        <v>4</v>
      </c>
      <c r="AP87" t="str">
        <f ca="1">IF(HRDataset_v14[[#This Row],[Tenure in Years
]]&lt;1,"0-1 Year",IF(HRDataset_v14[[#This Row],[Tenure in Years
]]&lt;3,"1-3 Years",IF(HRDataset_v14[[#This Row],[Tenure in Years
]]&lt;5,"3-5 Years",IF(HRDataset_v14[[#This Row],[Tenure in Years
]]&lt;10,"5-10 Years","10+ Years"))))</f>
        <v>10+ Years</v>
      </c>
      <c r="AQ87" t="str">
        <f ca="1">IF(HRDataset_v14[[#This Row],[Age Calculation
]]&lt;26,"18-25",IF(HRDataset_v14[[#This Row],[Age Calculation
]]&lt;36,"26-35",IF(HRDataset_v14[[#This Row],[Age Calculation
]]&lt;46,"36-45",IF(HRDataset_v14[[#This Row],[Age Calculation
]]&lt;56,"46-55","55+"))))</f>
        <v>36-45</v>
      </c>
      <c r="AR87" t="str">
        <f>IF(HRDataset_v14[[#This Row],[Salary]]&lt;40000,"Entry (&lt;40K)",IF(HRDataset_v14[[#This Row],[Salary]]&lt;70000,"Mid (40-70K)",IF(HRDataset_v14[[#This Row],[Salary]]&lt;100000,"Senior (70-100K)","Executive (100K+)")))</f>
        <v>Mid (40-70K)</v>
      </c>
      <c r="AS87">
        <f>IF(HRDataset_v14[[#This Row],[EmploymentStatus]]="Active",1,0)</f>
        <v>0</v>
      </c>
      <c r="AT87">
        <f>YEAR(HRDataset_v14[[#This Row],[DateofHire]])</f>
        <v>2014</v>
      </c>
      <c r="AU87">
        <f>MONTH(HRDataset_v14[[#This Row],[DateofHire]])</f>
        <v>2</v>
      </c>
      <c r="AV87" t="str">
        <f>"Q"&amp;ROUNDUP(MONTH(HRDataset_v14[[#This Row],[DateofHire]])/3,0)</f>
        <v>Q1</v>
      </c>
      <c r="AW87" t="str">
        <f>TEXT(HRDataset_v14[[#This Row],[DateofHire]],"MMM")</f>
        <v>Feb</v>
      </c>
      <c r="AX87" t="str">
        <f>TEXT(HRDataset_v14[[#This Row],[DateofHire]],"YYYY-MM")</f>
        <v>2014-02</v>
      </c>
      <c r="AY87">
        <f>IF(ISBLANK(HRDataset_v14[[#This Row],[DateofTermination]]),"N/A",YEAR(HRDataset_v14[[#This Row],[DateofTermination]]))</f>
        <v>2018</v>
      </c>
      <c r="AZ87" t="str" cm="1">
        <f t="array" ref="AZ87">INDEX(_xlfn.UNIQUE(Z87:Z397),MATCH(MAX(COUNTIF(Z87:Z397,_xlfn.UNIQUE(Z87:Z397))),COUNTIF(Z87:Z397,_xlfn.UNIQUE(Z87:Z397)),0))</f>
        <v xml:space="preserve">Production       </v>
      </c>
      <c r="BA87">
        <f t="shared" si="16"/>
        <v>41.17647058823529</v>
      </c>
      <c r="BB87">
        <f t="shared" si="17"/>
        <v>4</v>
      </c>
      <c r="BC87" t="str">
        <f t="shared" si="12"/>
        <v>High</v>
      </c>
      <c r="BD87" t="str">
        <f t="shared" si="13"/>
        <v/>
      </c>
      <c r="BE87">
        <f t="shared" si="14"/>
        <v>2.2999999999999998</v>
      </c>
      <c r="BF87" t="s">
        <v>686</v>
      </c>
      <c r="BG87" t="s">
        <v>747</v>
      </c>
      <c r="BT87" t="str">
        <f t="shared" si="15"/>
        <v/>
      </c>
      <c r="BV87">
        <v>4.0999999999999996</v>
      </c>
      <c r="BW87">
        <v>4.0999999999999996</v>
      </c>
    </row>
    <row r="88" spans="1:75" x14ac:dyDescent="0.3">
      <c r="A88" t="s">
        <v>281</v>
      </c>
      <c r="B88">
        <v>10290</v>
      </c>
      <c r="C88">
        <v>1</v>
      </c>
      <c r="D88">
        <v>1</v>
      </c>
      <c r="E88">
        <v>0</v>
      </c>
      <c r="F88">
        <v>4</v>
      </c>
      <c r="G88">
        <v>4</v>
      </c>
      <c r="H88">
        <v>2</v>
      </c>
      <c r="I88">
        <v>0</v>
      </c>
      <c r="J88">
        <v>99280</v>
      </c>
      <c r="K88">
        <v>1</v>
      </c>
      <c r="L88">
        <v>24</v>
      </c>
      <c r="M88" t="s">
        <v>81</v>
      </c>
      <c r="N88" t="s">
        <v>38</v>
      </c>
      <c r="O88">
        <v>1749</v>
      </c>
      <c r="P88">
        <v>31912</v>
      </c>
      <c r="Q88" t="s">
        <v>64</v>
      </c>
      <c r="R88" t="s">
        <v>53</v>
      </c>
      <c r="S88" t="s">
        <v>41</v>
      </c>
      <c r="T88" t="s">
        <v>42</v>
      </c>
      <c r="U88" t="s">
        <v>91</v>
      </c>
      <c r="V88">
        <v>40665</v>
      </c>
      <c r="W88">
        <v>41430</v>
      </c>
      <c r="X88" t="s">
        <v>120</v>
      </c>
      <c r="Y88" t="s">
        <v>121</v>
      </c>
      <c r="Z88" t="s">
        <v>82</v>
      </c>
      <c r="AA88" t="s">
        <v>83</v>
      </c>
      <c r="AB88">
        <v>10</v>
      </c>
      <c r="AC88" t="s">
        <v>59</v>
      </c>
      <c r="AD88" t="s">
        <v>141</v>
      </c>
      <c r="AE88">
        <v>2.1</v>
      </c>
      <c r="AF88">
        <v>5</v>
      </c>
      <c r="AG88">
        <v>4</v>
      </c>
      <c r="AH88" t="s">
        <v>282</v>
      </c>
      <c r="AI88">
        <v>4</v>
      </c>
      <c r="AJ88">
        <v>19</v>
      </c>
      <c r="AK88" t="str">
        <f t="shared" si="10"/>
        <v>Normal</v>
      </c>
      <c r="AL88" t="str">
        <f t="shared" si="11"/>
        <v>low Outlier</v>
      </c>
      <c r="AM88">
        <f ca="1">INT((TODAY()-HRDataset_v14[[#This Row],[DOB]])/365.25)</f>
        <v>38</v>
      </c>
      <c r="AN88">
        <f ca="1">DATEDIF(HRDataset_v14[[#This Row],[DateofHire]],TODAY(),"Y")</f>
        <v>14</v>
      </c>
      <c r="AO88">
        <f ca="1">IF(ISBLANK(HRDataset_v14[[#This Row],[DateofTermination]]),DATEDIF(HRDataset_v14[[#This Row],[DateofHire]],TODAY(),"Y"),DATEDIF(HRDataset_v14[[#This Row],[DateofHire]],HRDataset_v14[[#This Row],[DateofTermination]],"Y"))</f>
        <v>2</v>
      </c>
      <c r="AP88" t="str">
        <f ca="1">IF(HRDataset_v14[[#This Row],[Tenure in Years
]]&lt;1,"0-1 Year",IF(HRDataset_v14[[#This Row],[Tenure in Years
]]&lt;3,"1-3 Years",IF(HRDataset_v14[[#This Row],[Tenure in Years
]]&lt;5,"3-5 Years",IF(HRDataset_v14[[#This Row],[Tenure in Years
]]&lt;10,"5-10 Years","10+ Years"))))</f>
        <v>10+ Years</v>
      </c>
      <c r="AQ88" t="str">
        <f ca="1">IF(HRDataset_v14[[#This Row],[Age Calculation
]]&lt;26,"18-25",IF(HRDataset_v14[[#This Row],[Age Calculation
]]&lt;36,"26-35",IF(HRDataset_v14[[#This Row],[Age Calculation
]]&lt;46,"36-45",IF(HRDataset_v14[[#This Row],[Age Calculation
]]&lt;56,"46-55","55+"))))</f>
        <v>36-45</v>
      </c>
      <c r="AR88" t="str">
        <f>IF(HRDataset_v14[[#This Row],[Salary]]&lt;40000,"Entry (&lt;40K)",IF(HRDataset_v14[[#This Row],[Salary]]&lt;70000,"Mid (40-70K)",IF(HRDataset_v14[[#This Row],[Salary]]&lt;100000,"Senior (70-100K)","Executive (100K+)")))</f>
        <v>Senior (70-100K)</v>
      </c>
      <c r="AS88">
        <f>IF(HRDataset_v14[[#This Row],[EmploymentStatus]]="Active",1,0)</f>
        <v>0</v>
      </c>
      <c r="AT88">
        <f>YEAR(HRDataset_v14[[#This Row],[DateofHire]])</f>
        <v>2011</v>
      </c>
      <c r="AU88">
        <f>MONTH(HRDataset_v14[[#This Row],[DateofHire]])</f>
        <v>5</v>
      </c>
      <c r="AV88" t="str">
        <f>"Q"&amp;ROUNDUP(MONTH(HRDataset_v14[[#This Row],[DateofHire]])/3,0)</f>
        <v>Q2</v>
      </c>
      <c r="AW88" t="str">
        <f>TEXT(HRDataset_v14[[#This Row],[DateofHire]],"MMM")</f>
        <v>May</v>
      </c>
      <c r="AX88" t="str">
        <f>TEXT(HRDataset_v14[[#This Row],[DateofHire]],"YYYY-MM")</f>
        <v>2011-05</v>
      </c>
      <c r="AY88">
        <f>IF(ISBLANK(HRDataset_v14[[#This Row],[DateofTermination]]),"N/A",YEAR(HRDataset_v14[[#This Row],[DateofTermination]]))</f>
        <v>2013</v>
      </c>
      <c r="AZ88" t="str" cm="1">
        <f t="array" ref="AZ88">INDEX(_xlfn.UNIQUE(Z88:Z398),MATCH(MAX(COUNTIF(Z88:Z398,_xlfn.UNIQUE(Z88:Z398))),COUNTIF(Z88:Z398,_xlfn.UNIQUE(Z88:Z398)),0))</f>
        <v xml:space="preserve">Production       </v>
      </c>
      <c r="BA88">
        <f t="shared" si="16"/>
        <v>50</v>
      </c>
      <c r="BB88">
        <f t="shared" si="17"/>
        <v>5</v>
      </c>
      <c r="BC88" t="str">
        <f t="shared" si="12"/>
        <v>High</v>
      </c>
      <c r="BD88" t="str">
        <f t="shared" si="13"/>
        <v/>
      </c>
      <c r="BE88">
        <f t="shared" si="14"/>
        <v>2.1</v>
      </c>
      <c r="BF88">
        <f>COUNTIF(U:U,"*Indian*")/COUNTA(U:U)*100</f>
        <v>0.96153846153846156</v>
      </c>
      <c r="BT88" t="str">
        <f t="shared" si="15"/>
        <v/>
      </c>
      <c r="BV88">
        <v>4.63</v>
      </c>
      <c r="BW88">
        <v>4.5</v>
      </c>
    </row>
    <row r="89" spans="1:75" x14ac:dyDescent="0.3">
      <c r="A89" t="s">
        <v>283</v>
      </c>
      <c r="B89">
        <v>10263</v>
      </c>
      <c r="C89">
        <v>1</v>
      </c>
      <c r="D89">
        <v>1</v>
      </c>
      <c r="E89">
        <v>0</v>
      </c>
      <c r="F89">
        <v>1</v>
      </c>
      <c r="G89">
        <v>5</v>
      </c>
      <c r="H89">
        <v>3</v>
      </c>
      <c r="I89">
        <v>0</v>
      </c>
      <c r="J89">
        <v>71776</v>
      </c>
      <c r="K89">
        <v>0</v>
      </c>
      <c r="L89">
        <v>20</v>
      </c>
      <c r="M89" t="s">
        <v>63</v>
      </c>
      <c r="N89" t="s">
        <v>38</v>
      </c>
      <c r="O89">
        <v>1824</v>
      </c>
      <c r="P89">
        <v>28755</v>
      </c>
      <c r="Q89" t="s">
        <v>64</v>
      </c>
      <c r="R89" t="s">
        <v>53</v>
      </c>
      <c r="S89" t="s">
        <v>41</v>
      </c>
      <c r="T89" t="s">
        <v>42</v>
      </c>
      <c r="U89" t="s">
        <v>91</v>
      </c>
      <c r="V89">
        <v>41827</v>
      </c>
      <c r="X89" t="s">
        <v>44</v>
      </c>
      <c r="Y89" t="s">
        <v>45</v>
      </c>
      <c r="Z89" t="s">
        <v>46</v>
      </c>
      <c r="AA89" t="s">
        <v>69</v>
      </c>
      <c r="AB89">
        <v>16</v>
      </c>
      <c r="AC89" t="s">
        <v>48</v>
      </c>
      <c r="AD89" t="s">
        <v>60</v>
      </c>
      <c r="AE89">
        <v>4.4000000000000004</v>
      </c>
      <c r="AF89">
        <v>5</v>
      </c>
      <c r="AG89">
        <v>0</v>
      </c>
      <c r="AH89" t="s">
        <v>182</v>
      </c>
      <c r="AI89">
        <v>0</v>
      </c>
      <c r="AJ89">
        <v>17</v>
      </c>
      <c r="AK89" t="str">
        <f t="shared" si="10"/>
        <v>Normal</v>
      </c>
      <c r="AL89" t="str">
        <f t="shared" si="11"/>
        <v>low Outlier</v>
      </c>
      <c r="AM89">
        <f ca="1">INT((TODAY()-HRDataset_v14[[#This Row],[DOB]])/365.25)</f>
        <v>47</v>
      </c>
      <c r="AN89">
        <f ca="1">DATEDIF(HRDataset_v14[[#This Row],[DateofHire]],TODAY(),"Y")</f>
        <v>11</v>
      </c>
      <c r="AO89">
        <f ca="1">IF(ISBLANK(HRDataset_v14[[#This Row],[DateofTermination]]),DATEDIF(HRDataset_v14[[#This Row],[DateofHire]],TODAY(),"Y"),DATEDIF(HRDataset_v14[[#This Row],[DateofHire]],HRDataset_v14[[#This Row],[DateofTermination]],"Y"))</f>
        <v>11</v>
      </c>
      <c r="AP89" t="str">
        <f ca="1">IF(HRDataset_v14[[#This Row],[Tenure in Years
]]&lt;1,"0-1 Year",IF(HRDataset_v14[[#This Row],[Tenure in Years
]]&lt;3,"1-3 Years",IF(HRDataset_v14[[#This Row],[Tenure in Years
]]&lt;5,"3-5 Years",IF(HRDataset_v14[[#This Row],[Tenure in Years
]]&lt;10,"5-10 Years","10+ Years"))))</f>
        <v>10+ Years</v>
      </c>
      <c r="AQ89" t="str">
        <f ca="1">IF(HRDataset_v14[[#This Row],[Age Calculation
]]&lt;26,"18-25",IF(HRDataset_v14[[#This Row],[Age Calculation
]]&lt;36,"26-35",IF(HRDataset_v14[[#This Row],[Age Calculation
]]&lt;46,"36-45",IF(HRDataset_v14[[#This Row],[Age Calculation
]]&lt;56,"46-55","55+"))))</f>
        <v>46-55</v>
      </c>
      <c r="AR89" t="str">
        <f>IF(HRDataset_v14[[#This Row],[Salary]]&lt;40000,"Entry (&lt;40K)",IF(HRDataset_v14[[#This Row],[Salary]]&lt;70000,"Mid (40-70K)",IF(HRDataset_v14[[#This Row],[Salary]]&lt;100000,"Senior (70-100K)","Executive (100K+)")))</f>
        <v>Senior (70-100K)</v>
      </c>
      <c r="AS89">
        <f>IF(HRDataset_v14[[#This Row],[EmploymentStatus]]="Active",1,0)</f>
        <v>1</v>
      </c>
      <c r="AT89">
        <f>YEAR(HRDataset_v14[[#This Row],[DateofHire]])</f>
        <v>2014</v>
      </c>
      <c r="AU89">
        <f>MONTH(HRDataset_v14[[#This Row],[DateofHire]])</f>
        <v>7</v>
      </c>
      <c r="AV89" t="str">
        <f>"Q"&amp;ROUNDUP(MONTH(HRDataset_v14[[#This Row],[DateofHire]])/3,0)</f>
        <v>Q3</v>
      </c>
      <c r="AW89" t="str">
        <f>TEXT(HRDataset_v14[[#This Row],[DateofHire]],"MMM")</f>
        <v>Jul</v>
      </c>
      <c r="AX89" t="str">
        <f>TEXT(HRDataset_v14[[#This Row],[DateofHire]],"YYYY-MM")</f>
        <v>2014-07</v>
      </c>
      <c r="AY89" t="str">
        <f>IF(ISBLANK(HRDataset_v14[[#This Row],[DateofTermination]]),"N/A",YEAR(HRDataset_v14[[#This Row],[DateofTermination]]))</f>
        <v>N/A</v>
      </c>
      <c r="AZ89" t="str" cm="1">
        <f t="array" ref="AZ89">INDEX(_xlfn.UNIQUE(Z89:Z399),MATCH(MAX(COUNTIF(Z89:Z399,_xlfn.UNIQUE(Z89:Z399))),COUNTIF(Z89:Z399,_xlfn.UNIQUE(Z89:Z399)),0))</f>
        <v xml:space="preserve">Production       </v>
      </c>
      <c r="BA89">
        <f t="shared" si="16"/>
        <v>37.5</v>
      </c>
      <c r="BB89">
        <f t="shared" si="17"/>
        <v>0</v>
      </c>
      <c r="BC89" t="str">
        <f t="shared" si="12"/>
        <v>Medium</v>
      </c>
      <c r="BD89">
        <f t="shared" si="13"/>
        <v>4.4000000000000004</v>
      </c>
      <c r="BE89" t="str">
        <f t="shared" si="14"/>
        <v/>
      </c>
      <c r="BT89">
        <f t="shared" si="15"/>
        <v>4.4000000000000004</v>
      </c>
      <c r="BV89">
        <v>4.2</v>
      </c>
      <c r="BW89">
        <v>3.93</v>
      </c>
    </row>
    <row r="90" spans="1:75" x14ac:dyDescent="0.3">
      <c r="A90" t="s">
        <v>284</v>
      </c>
      <c r="B90">
        <v>10136</v>
      </c>
      <c r="C90">
        <v>0</v>
      </c>
      <c r="D90">
        <v>0</v>
      </c>
      <c r="E90">
        <v>0</v>
      </c>
      <c r="F90">
        <v>1</v>
      </c>
      <c r="G90">
        <v>5</v>
      </c>
      <c r="H90">
        <v>3</v>
      </c>
      <c r="I90">
        <v>0</v>
      </c>
      <c r="J90">
        <v>65902</v>
      </c>
      <c r="K90">
        <v>0</v>
      </c>
      <c r="L90">
        <v>20</v>
      </c>
      <c r="M90" t="s">
        <v>63</v>
      </c>
      <c r="N90" t="s">
        <v>38</v>
      </c>
      <c r="O90">
        <v>2324</v>
      </c>
      <c r="P90">
        <v>32047</v>
      </c>
      <c r="Q90" t="s">
        <v>64</v>
      </c>
      <c r="R90" t="s">
        <v>40</v>
      </c>
      <c r="S90" t="s">
        <v>41</v>
      </c>
      <c r="T90" t="s">
        <v>42</v>
      </c>
      <c r="U90" t="s">
        <v>91</v>
      </c>
      <c r="V90">
        <v>41687</v>
      </c>
      <c r="X90" t="s">
        <v>44</v>
      </c>
      <c r="Y90" t="s">
        <v>45</v>
      </c>
      <c r="Z90" t="s">
        <v>46</v>
      </c>
      <c r="AA90" t="s">
        <v>74</v>
      </c>
      <c r="AC90" t="s">
        <v>48</v>
      </c>
      <c r="AD90" t="s">
        <v>60</v>
      </c>
      <c r="AE90">
        <v>4</v>
      </c>
      <c r="AF90">
        <v>4</v>
      </c>
      <c r="AG90">
        <v>0</v>
      </c>
      <c r="AH90" t="s">
        <v>79</v>
      </c>
      <c r="AI90">
        <v>0</v>
      </c>
      <c r="AJ90">
        <v>7</v>
      </c>
      <c r="AK90" t="str">
        <f t="shared" si="10"/>
        <v>Normal</v>
      </c>
      <c r="AL90" t="str">
        <f t="shared" si="11"/>
        <v>low Outlier</v>
      </c>
      <c r="AM90">
        <f ca="1">INT((TODAY()-HRDataset_v14[[#This Row],[DOB]])/365.25)</f>
        <v>38</v>
      </c>
      <c r="AN90">
        <f ca="1">DATEDIF(HRDataset_v14[[#This Row],[DateofHire]],TODAY(),"Y")</f>
        <v>12</v>
      </c>
      <c r="AO90">
        <f ca="1">IF(ISBLANK(HRDataset_v14[[#This Row],[DateofTermination]]),DATEDIF(HRDataset_v14[[#This Row],[DateofHire]],TODAY(),"Y"),DATEDIF(HRDataset_v14[[#This Row],[DateofHire]],HRDataset_v14[[#This Row],[DateofTermination]],"Y"))</f>
        <v>12</v>
      </c>
      <c r="AP90" t="str">
        <f ca="1">IF(HRDataset_v14[[#This Row],[Tenure in Years
]]&lt;1,"0-1 Year",IF(HRDataset_v14[[#This Row],[Tenure in Years
]]&lt;3,"1-3 Years",IF(HRDataset_v14[[#This Row],[Tenure in Years
]]&lt;5,"3-5 Years",IF(HRDataset_v14[[#This Row],[Tenure in Years
]]&lt;10,"5-10 Years","10+ Years"))))</f>
        <v>10+ Years</v>
      </c>
      <c r="AQ90" t="str">
        <f ca="1">IF(HRDataset_v14[[#This Row],[Age Calculation
]]&lt;26,"18-25",IF(HRDataset_v14[[#This Row],[Age Calculation
]]&lt;36,"26-35",IF(HRDataset_v14[[#This Row],[Age Calculation
]]&lt;46,"36-45",IF(HRDataset_v14[[#This Row],[Age Calculation
]]&lt;56,"46-55","55+"))))</f>
        <v>36-45</v>
      </c>
      <c r="AR90" t="str">
        <f>IF(HRDataset_v14[[#This Row],[Salary]]&lt;40000,"Entry (&lt;40K)",IF(HRDataset_v14[[#This Row],[Salary]]&lt;70000,"Mid (40-70K)",IF(HRDataset_v14[[#This Row],[Salary]]&lt;100000,"Senior (70-100K)","Executive (100K+)")))</f>
        <v>Mid (40-70K)</v>
      </c>
      <c r="AS90">
        <f>IF(HRDataset_v14[[#This Row],[EmploymentStatus]]="Active",1,0)</f>
        <v>1</v>
      </c>
      <c r="AT90">
        <f>YEAR(HRDataset_v14[[#This Row],[DateofHire]])</f>
        <v>2014</v>
      </c>
      <c r="AU90">
        <f>MONTH(HRDataset_v14[[#This Row],[DateofHire]])</f>
        <v>2</v>
      </c>
      <c r="AV90" t="str">
        <f>"Q"&amp;ROUNDUP(MONTH(HRDataset_v14[[#This Row],[DateofHire]])/3,0)</f>
        <v>Q1</v>
      </c>
      <c r="AW90" t="str">
        <f>TEXT(HRDataset_v14[[#This Row],[DateofHire]],"MMM")</f>
        <v>Feb</v>
      </c>
      <c r="AX90" t="str">
        <f>TEXT(HRDataset_v14[[#This Row],[DateofHire]],"YYYY-MM")</f>
        <v>2014-02</v>
      </c>
      <c r="AY90" t="str">
        <f>IF(ISBLANK(HRDataset_v14[[#This Row],[DateofTermination]]),"N/A",YEAR(HRDataset_v14[[#This Row],[DateofTermination]]))</f>
        <v>N/A</v>
      </c>
      <c r="AZ90" t="str" cm="1">
        <f t="array" ref="AZ90">INDEX(_xlfn.UNIQUE(Z90:Z400),MATCH(MAX(COUNTIF(Z90:Z400,_xlfn.UNIQUE(Z90:Z400))),COUNTIF(Z90:Z400,_xlfn.UNIQUE(Z90:Z400)),0))</f>
        <v xml:space="preserve">Production       </v>
      </c>
      <c r="BA90">
        <f t="shared" si="16"/>
        <v>68.75</v>
      </c>
      <c r="BB90">
        <f t="shared" si="17"/>
        <v>0</v>
      </c>
      <c r="BC90" t="str">
        <f t="shared" si="12"/>
        <v>Medium</v>
      </c>
      <c r="BD90">
        <f t="shared" si="13"/>
        <v>4</v>
      </c>
      <c r="BE90" t="str">
        <f t="shared" si="14"/>
        <v/>
      </c>
      <c r="BF90" t="s">
        <v>687</v>
      </c>
      <c r="BT90">
        <f t="shared" si="15"/>
        <v>4</v>
      </c>
      <c r="BV90">
        <v>4.2</v>
      </c>
      <c r="BW90">
        <v>3.98</v>
      </c>
    </row>
    <row r="91" spans="1:75" x14ac:dyDescent="0.3">
      <c r="A91" t="s">
        <v>285</v>
      </c>
      <c r="B91">
        <v>10189</v>
      </c>
      <c r="C91">
        <v>1</v>
      </c>
      <c r="D91">
        <v>1</v>
      </c>
      <c r="E91">
        <v>0</v>
      </c>
      <c r="F91">
        <v>5</v>
      </c>
      <c r="G91">
        <v>5</v>
      </c>
      <c r="H91">
        <v>3</v>
      </c>
      <c r="I91">
        <v>0</v>
      </c>
      <c r="J91">
        <v>57748</v>
      </c>
      <c r="K91">
        <v>1</v>
      </c>
      <c r="L91">
        <v>19</v>
      </c>
      <c r="M91" t="s">
        <v>37</v>
      </c>
      <c r="N91" t="s">
        <v>38</v>
      </c>
      <c r="O91">
        <v>2176</v>
      </c>
      <c r="P91">
        <v>20193</v>
      </c>
      <c r="Q91" t="s">
        <v>64</v>
      </c>
      <c r="R91" t="s">
        <v>53</v>
      </c>
      <c r="S91" t="s">
        <v>41</v>
      </c>
      <c r="T91" t="s">
        <v>42</v>
      </c>
      <c r="U91" t="s">
        <v>43</v>
      </c>
      <c r="V91">
        <v>40854</v>
      </c>
      <c r="W91">
        <v>42507</v>
      </c>
      <c r="X91" t="s">
        <v>270</v>
      </c>
      <c r="Y91" t="s">
        <v>56</v>
      </c>
      <c r="Z91" t="s">
        <v>46</v>
      </c>
      <c r="AA91" t="s">
        <v>74</v>
      </c>
      <c r="AB91">
        <v>39</v>
      </c>
      <c r="AC91" t="s">
        <v>75</v>
      </c>
      <c r="AD91" t="s">
        <v>60</v>
      </c>
      <c r="AE91">
        <v>3.13</v>
      </c>
      <c r="AF91">
        <v>3</v>
      </c>
      <c r="AG91">
        <v>0</v>
      </c>
      <c r="AH91" t="s">
        <v>286</v>
      </c>
      <c r="AI91">
        <v>0</v>
      </c>
      <c r="AJ91">
        <v>16</v>
      </c>
      <c r="AK91" t="str">
        <f t="shared" si="10"/>
        <v>Normal</v>
      </c>
      <c r="AL91" t="str">
        <f t="shared" si="11"/>
        <v>low Outlier</v>
      </c>
      <c r="AM91">
        <f ca="1">INT((TODAY()-HRDataset_v14[[#This Row],[DOB]])/365.25)</f>
        <v>70</v>
      </c>
      <c r="AN91">
        <f ca="1">DATEDIF(HRDataset_v14[[#This Row],[DateofHire]],TODAY(),"Y")</f>
        <v>14</v>
      </c>
      <c r="AO91">
        <f ca="1">IF(ISBLANK(HRDataset_v14[[#This Row],[DateofTermination]]),DATEDIF(HRDataset_v14[[#This Row],[DateofHire]],TODAY(),"Y"),DATEDIF(HRDataset_v14[[#This Row],[DateofHire]],HRDataset_v14[[#This Row],[DateofTermination]],"Y"))</f>
        <v>4</v>
      </c>
      <c r="AP91" t="str">
        <f ca="1">IF(HRDataset_v14[[#This Row],[Tenure in Years
]]&lt;1,"0-1 Year",IF(HRDataset_v14[[#This Row],[Tenure in Years
]]&lt;3,"1-3 Years",IF(HRDataset_v14[[#This Row],[Tenure in Years
]]&lt;5,"3-5 Years",IF(HRDataset_v14[[#This Row],[Tenure in Years
]]&lt;10,"5-10 Years","10+ Years"))))</f>
        <v>10+ Years</v>
      </c>
      <c r="AQ91" t="str">
        <f ca="1">IF(HRDataset_v14[[#This Row],[Age Calculation
]]&lt;26,"18-25",IF(HRDataset_v14[[#This Row],[Age Calculation
]]&lt;36,"26-35",IF(HRDataset_v14[[#This Row],[Age Calculation
]]&lt;46,"36-45",IF(HRDataset_v14[[#This Row],[Age Calculation
]]&lt;56,"46-55","55+"))))</f>
        <v>55+</v>
      </c>
      <c r="AR91" t="str">
        <f>IF(HRDataset_v14[[#This Row],[Salary]]&lt;40000,"Entry (&lt;40K)",IF(HRDataset_v14[[#This Row],[Salary]]&lt;70000,"Mid (40-70K)",IF(HRDataset_v14[[#This Row],[Salary]]&lt;100000,"Senior (70-100K)","Executive (100K+)")))</f>
        <v>Mid (40-70K)</v>
      </c>
      <c r="AS91">
        <f>IF(HRDataset_v14[[#This Row],[EmploymentStatus]]="Active",1,0)</f>
        <v>0</v>
      </c>
      <c r="AT91">
        <f>YEAR(HRDataset_v14[[#This Row],[DateofHire]])</f>
        <v>2011</v>
      </c>
      <c r="AU91">
        <f>MONTH(HRDataset_v14[[#This Row],[DateofHire]])</f>
        <v>11</v>
      </c>
      <c r="AV91" t="str">
        <f>"Q"&amp;ROUNDUP(MONTH(HRDataset_v14[[#This Row],[DateofHire]])/3,0)</f>
        <v>Q4</v>
      </c>
      <c r="AW91" t="str">
        <f>TEXT(HRDataset_v14[[#This Row],[DateofHire]],"MMM")</f>
        <v>Nov</v>
      </c>
      <c r="AX91" t="str">
        <f>TEXT(HRDataset_v14[[#This Row],[DateofHire]],"YYYY-MM")</f>
        <v>2011-11</v>
      </c>
      <c r="AY91">
        <f>IF(ISBLANK(HRDataset_v14[[#This Row],[DateofTermination]]),"N/A",YEAR(HRDataset_v14[[#This Row],[DateofTermination]]))</f>
        <v>2016</v>
      </c>
      <c r="AZ91" t="str" cm="1">
        <f t="array" ref="AZ91">INDEX(_xlfn.UNIQUE(Z91:Z401),MATCH(MAX(COUNTIF(Z91:Z401,_xlfn.UNIQUE(Z91:Z401))),COUNTIF(Z91:Z401,_xlfn.UNIQUE(Z91:Z401)),0))</f>
        <v xml:space="preserve">Production       </v>
      </c>
      <c r="BA91">
        <f t="shared" si="16"/>
        <v>73.333333333333329</v>
      </c>
      <c r="BB91">
        <f t="shared" si="17"/>
        <v>3</v>
      </c>
      <c r="BC91" t="str">
        <f t="shared" si="12"/>
        <v>Medium</v>
      </c>
      <c r="BD91" t="str">
        <f t="shared" si="13"/>
        <v/>
      </c>
      <c r="BE91">
        <f t="shared" si="14"/>
        <v>3.13</v>
      </c>
      <c r="BF91">
        <f>COUNTIF(T:T,"Yes")</f>
        <v>28</v>
      </c>
      <c r="BT91" t="str">
        <f t="shared" si="15"/>
        <v/>
      </c>
      <c r="BV91">
        <v>5</v>
      </c>
      <c r="BW91">
        <v>4.0999999999999996</v>
      </c>
    </row>
    <row r="92" spans="1:75" x14ac:dyDescent="0.3">
      <c r="A92" t="s">
        <v>287</v>
      </c>
      <c r="B92">
        <v>10308</v>
      </c>
      <c r="C92">
        <v>1</v>
      </c>
      <c r="D92">
        <v>1</v>
      </c>
      <c r="E92">
        <v>1</v>
      </c>
      <c r="F92">
        <v>1</v>
      </c>
      <c r="G92">
        <v>5</v>
      </c>
      <c r="H92">
        <v>1</v>
      </c>
      <c r="I92">
        <v>0</v>
      </c>
      <c r="J92">
        <v>64057</v>
      </c>
      <c r="K92">
        <v>0</v>
      </c>
      <c r="L92">
        <v>19</v>
      </c>
      <c r="M92" t="s">
        <v>37</v>
      </c>
      <c r="N92" t="s">
        <v>38</v>
      </c>
      <c r="O92">
        <v>2132</v>
      </c>
      <c r="P92">
        <v>32799</v>
      </c>
      <c r="Q92" t="s">
        <v>39</v>
      </c>
      <c r="R92" t="s">
        <v>53</v>
      </c>
      <c r="S92" t="s">
        <v>41</v>
      </c>
      <c r="T92" t="s">
        <v>42</v>
      </c>
      <c r="U92" t="s">
        <v>43</v>
      </c>
      <c r="V92">
        <v>42135</v>
      </c>
      <c r="X92" t="s">
        <v>44</v>
      </c>
      <c r="Y92" t="s">
        <v>45</v>
      </c>
      <c r="Z92" t="s">
        <v>46</v>
      </c>
      <c r="AA92" t="s">
        <v>78</v>
      </c>
      <c r="AB92">
        <v>11</v>
      </c>
      <c r="AC92" t="s">
        <v>59</v>
      </c>
      <c r="AD92" t="s">
        <v>241</v>
      </c>
      <c r="AE92">
        <v>1.56</v>
      </c>
      <c r="AF92">
        <v>5</v>
      </c>
      <c r="AG92">
        <v>0</v>
      </c>
      <c r="AH92" t="s">
        <v>70</v>
      </c>
      <c r="AI92">
        <v>6</v>
      </c>
      <c r="AJ92">
        <v>15</v>
      </c>
      <c r="AK92" t="str">
        <f t="shared" si="10"/>
        <v>Normal</v>
      </c>
      <c r="AL92" t="str">
        <f t="shared" si="11"/>
        <v>low Outlier</v>
      </c>
      <c r="AM92">
        <f ca="1">INT((TODAY()-HRDataset_v14[[#This Row],[DOB]])/365.25)</f>
        <v>36</v>
      </c>
      <c r="AN92">
        <f ca="1">DATEDIF(HRDataset_v14[[#This Row],[DateofHire]],TODAY(),"Y")</f>
        <v>10</v>
      </c>
      <c r="AO92">
        <f ca="1">IF(ISBLANK(HRDataset_v14[[#This Row],[DateofTermination]]),DATEDIF(HRDataset_v14[[#This Row],[DateofHire]],TODAY(),"Y"),DATEDIF(HRDataset_v14[[#This Row],[DateofHire]],HRDataset_v14[[#This Row],[DateofTermination]],"Y"))</f>
        <v>10</v>
      </c>
      <c r="AP92" t="str">
        <f ca="1">IF(HRDataset_v14[[#This Row],[Tenure in Years
]]&lt;1,"0-1 Year",IF(HRDataset_v14[[#This Row],[Tenure in Years
]]&lt;3,"1-3 Years",IF(HRDataset_v14[[#This Row],[Tenure in Years
]]&lt;5,"3-5 Years",IF(HRDataset_v14[[#This Row],[Tenure in Years
]]&lt;10,"5-10 Years","10+ Years"))))</f>
        <v>10+ Years</v>
      </c>
      <c r="AQ92" t="str">
        <f ca="1">IF(HRDataset_v14[[#This Row],[Age Calculation
]]&lt;26,"18-25",IF(HRDataset_v14[[#This Row],[Age Calculation
]]&lt;36,"26-35",IF(HRDataset_v14[[#This Row],[Age Calculation
]]&lt;46,"36-45",IF(HRDataset_v14[[#This Row],[Age Calculation
]]&lt;56,"46-55","55+"))))</f>
        <v>36-45</v>
      </c>
      <c r="AR92" t="str">
        <f>IF(HRDataset_v14[[#This Row],[Salary]]&lt;40000,"Entry (&lt;40K)",IF(HRDataset_v14[[#This Row],[Salary]]&lt;70000,"Mid (40-70K)",IF(HRDataset_v14[[#This Row],[Salary]]&lt;100000,"Senior (70-100K)","Executive (100K+)")))</f>
        <v>Mid (40-70K)</v>
      </c>
      <c r="AS92">
        <f>IF(HRDataset_v14[[#This Row],[EmploymentStatus]]="Active",1,0)</f>
        <v>1</v>
      </c>
      <c r="AT92">
        <f>YEAR(HRDataset_v14[[#This Row],[DateofHire]])</f>
        <v>2015</v>
      </c>
      <c r="AU92">
        <f>MONTH(HRDataset_v14[[#This Row],[DateofHire]])</f>
        <v>5</v>
      </c>
      <c r="AV92" t="str">
        <f>"Q"&amp;ROUNDUP(MONTH(HRDataset_v14[[#This Row],[DateofHire]])/3,0)</f>
        <v>Q2</v>
      </c>
      <c r="AW92" t="str">
        <f>TEXT(HRDataset_v14[[#This Row],[DateofHire]],"MMM")</f>
        <v>May</v>
      </c>
      <c r="AX92" t="str">
        <f>TEXT(HRDataset_v14[[#This Row],[DateofHire]],"YYYY-MM")</f>
        <v>2015-05</v>
      </c>
      <c r="AY92" t="str">
        <f>IF(ISBLANK(HRDataset_v14[[#This Row],[DateofTermination]]),"N/A",YEAR(HRDataset_v14[[#This Row],[DateofTermination]]))</f>
        <v>N/A</v>
      </c>
      <c r="AZ92" t="str" cm="1">
        <f t="array" ref="AZ92">INDEX(_xlfn.UNIQUE(Z92:Z402),MATCH(MAX(COUNTIF(Z92:Z402,_xlfn.UNIQUE(Z92:Z402))),COUNTIF(Z92:Z402,_xlfn.UNIQUE(Z92:Z402)),0))</f>
        <v xml:space="preserve">Production       </v>
      </c>
      <c r="BA92">
        <f t="shared" si="16"/>
        <v>75</v>
      </c>
      <c r="BB92">
        <f t="shared" si="17"/>
        <v>0</v>
      </c>
      <c r="BC92" t="str">
        <f t="shared" si="12"/>
        <v>High</v>
      </c>
      <c r="BD92">
        <f t="shared" si="13"/>
        <v>1.56</v>
      </c>
      <c r="BE92" t="str">
        <f t="shared" si="14"/>
        <v/>
      </c>
      <c r="BF92">
        <f>COUNTIF(T:T,"No")</f>
        <v>283</v>
      </c>
      <c r="BT92">
        <f t="shared" si="15"/>
        <v>1.56</v>
      </c>
      <c r="BV92">
        <v>4.76</v>
      </c>
      <c r="BW92">
        <v>5</v>
      </c>
    </row>
    <row r="93" spans="1:75" x14ac:dyDescent="0.3">
      <c r="A93" t="s">
        <v>288</v>
      </c>
      <c r="B93">
        <v>10309</v>
      </c>
      <c r="C93">
        <v>0</v>
      </c>
      <c r="D93">
        <v>0</v>
      </c>
      <c r="E93">
        <v>1</v>
      </c>
      <c r="F93">
        <v>1</v>
      </c>
      <c r="G93">
        <v>3</v>
      </c>
      <c r="H93">
        <v>1</v>
      </c>
      <c r="I93">
        <v>0</v>
      </c>
      <c r="J93">
        <v>53366</v>
      </c>
      <c r="K93">
        <v>0</v>
      </c>
      <c r="L93">
        <v>15</v>
      </c>
      <c r="M93" t="s">
        <v>289</v>
      </c>
      <c r="N93" t="s">
        <v>38</v>
      </c>
      <c r="O93">
        <v>2138</v>
      </c>
      <c r="P93">
        <v>31946</v>
      </c>
      <c r="Q93" t="s">
        <v>39</v>
      </c>
      <c r="R93" t="s">
        <v>40</v>
      </c>
      <c r="S93" t="s">
        <v>41</v>
      </c>
      <c r="T93" t="s">
        <v>42</v>
      </c>
      <c r="U93" t="s">
        <v>43</v>
      </c>
      <c r="V93">
        <v>42093</v>
      </c>
      <c r="X93" t="s">
        <v>44</v>
      </c>
      <c r="Y93" t="s">
        <v>45</v>
      </c>
      <c r="Z93" t="s">
        <v>57</v>
      </c>
      <c r="AA93" t="s">
        <v>97</v>
      </c>
      <c r="AB93">
        <v>7</v>
      </c>
      <c r="AC93" t="s">
        <v>48</v>
      </c>
      <c r="AD93" t="s">
        <v>241</v>
      </c>
      <c r="AE93">
        <v>1.2</v>
      </c>
      <c r="AF93">
        <v>3</v>
      </c>
      <c r="AG93">
        <v>6</v>
      </c>
      <c r="AH93" t="s">
        <v>218</v>
      </c>
      <c r="AI93">
        <v>3</v>
      </c>
      <c r="AJ93">
        <v>2</v>
      </c>
      <c r="AK93" t="str">
        <f t="shared" si="10"/>
        <v>Normal</v>
      </c>
      <c r="AL93" t="str">
        <f t="shared" si="11"/>
        <v>low Outlier</v>
      </c>
      <c r="AM93">
        <f ca="1">INT((TODAY()-HRDataset_v14[[#This Row],[DOB]])/365.25)</f>
        <v>38</v>
      </c>
      <c r="AN93">
        <f ca="1">DATEDIF(HRDataset_v14[[#This Row],[DateofHire]],TODAY(),"Y")</f>
        <v>11</v>
      </c>
      <c r="AO93">
        <f ca="1">IF(ISBLANK(HRDataset_v14[[#This Row],[DateofTermination]]),DATEDIF(HRDataset_v14[[#This Row],[DateofHire]],TODAY(),"Y"),DATEDIF(HRDataset_v14[[#This Row],[DateofHire]],HRDataset_v14[[#This Row],[DateofTermination]],"Y"))</f>
        <v>11</v>
      </c>
      <c r="AP93" t="str">
        <f ca="1">IF(HRDataset_v14[[#This Row],[Tenure in Years
]]&lt;1,"0-1 Year",IF(HRDataset_v14[[#This Row],[Tenure in Years
]]&lt;3,"1-3 Years",IF(HRDataset_v14[[#This Row],[Tenure in Years
]]&lt;5,"3-5 Years",IF(HRDataset_v14[[#This Row],[Tenure in Years
]]&lt;10,"5-10 Years","10+ Years"))))</f>
        <v>10+ Years</v>
      </c>
      <c r="AQ93" t="str">
        <f ca="1">IF(HRDataset_v14[[#This Row],[Age Calculation
]]&lt;26,"18-25",IF(HRDataset_v14[[#This Row],[Age Calculation
]]&lt;36,"26-35",IF(HRDataset_v14[[#This Row],[Age Calculation
]]&lt;46,"36-45",IF(HRDataset_v14[[#This Row],[Age Calculation
]]&lt;56,"46-55","55+"))))</f>
        <v>36-45</v>
      </c>
      <c r="AR93" t="str">
        <f>IF(HRDataset_v14[[#This Row],[Salary]]&lt;40000,"Entry (&lt;40K)",IF(HRDataset_v14[[#This Row],[Salary]]&lt;70000,"Mid (40-70K)",IF(HRDataset_v14[[#This Row],[Salary]]&lt;100000,"Senior (70-100K)","Executive (100K+)")))</f>
        <v>Mid (40-70K)</v>
      </c>
      <c r="AS93">
        <f>IF(HRDataset_v14[[#This Row],[EmploymentStatus]]="Active",1,0)</f>
        <v>1</v>
      </c>
      <c r="AT93">
        <f>YEAR(HRDataset_v14[[#This Row],[DateofHire]])</f>
        <v>2015</v>
      </c>
      <c r="AU93">
        <f>MONTH(HRDataset_v14[[#This Row],[DateofHire]])</f>
        <v>3</v>
      </c>
      <c r="AV93" t="str">
        <f>"Q"&amp;ROUNDUP(MONTH(HRDataset_v14[[#This Row],[DateofHire]])/3,0)</f>
        <v>Q1</v>
      </c>
      <c r="AW93" t="str">
        <f>TEXT(HRDataset_v14[[#This Row],[DateofHire]],"MMM")</f>
        <v>Mar</v>
      </c>
      <c r="AX93" t="str">
        <f>TEXT(HRDataset_v14[[#This Row],[DateofHire]],"YYYY-MM")</f>
        <v>2015-03</v>
      </c>
      <c r="AY93" t="str">
        <f>IF(ISBLANK(HRDataset_v14[[#This Row],[DateofTermination]]),"N/A",YEAR(HRDataset_v14[[#This Row],[DateofTermination]]))</f>
        <v>N/A</v>
      </c>
      <c r="AZ93" t="str" cm="1">
        <f t="array" ref="AZ93">INDEX(_xlfn.UNIQUE(Z93:Z403),MATCH(MAX(COUNTIF(Z93:Z403,_xlfn.UNIQUE(Z93:Z403))),COUNTIF(Z93:Z403,_xlfn.UNIQUE(Z93:Z403)),0))</f>
        <v xml:space="preserve">Production       </v>
      </c>
      <c r="BA93">
        <f t="shared" si="16"/>
        <v>10</v>
      </c>
      <c r="BB93">
        <f t="shared" si="17"/>
        <v>0</v>
      </c>
      <c r="BC93" t="str">
        <f t="shared" si="12"/>
        <v>High</v>
      </c>
      <c r="BD93">
        <f t="shared" si="13"/>
        <v>1.2</v>
      </c>
      <c r="BE93" t="str">
        <f t="shared" si="14"/>
        <v/>
      </c>
      <c r="BF93" t="s">
        <v>688</v>
      </c>
      <c r="BT93">
        <f t="shared" si="15"/>
        <v>1.2</v>
      </c>
      <c r="BV93">
        <v>4.17</v>
      </c>
      <c r="BW93">
        <v>4.5999999999999996</v>
      </c>
    </row>
    <row r="94" spans="1:75" x14ac:dyDescent="0.3">
      <c r="A94" t="s">
        <v>290</v>
      </c>
      <c r="B94">
        <v>10049</v>
      </c>
      <c r="C94">
        <v>1</v>
      </c>
      <c r="D94">
        <v>1</v>
      </c>
      <c r="E94">
        <v>0</v>
      </c>
      <c r="F94">
        <v>1</v>
      </c>
      <c r="G94">
        <v>5</v>
      </c>
      <c r="H94">
        <v>3</v>
      </c>
      <c r="I94">
        <v>0</v>
      </c>
      <c r="J94">
        <v>58530</v>
      </c>
      <c r="K94">
        <v>0</v>
      </c>
      <c r="L94">
        <v>19</v>
      </c>
      <c r="M94" t="s">
        <v>37</v>
      </c>
      <c r="N94" t="s">
        <v>38</v>
      </c>
      <c r="O94">
        <v>2155</v>
      </c>
      <c r="P94">
        <v>29661</v>
      </c>
      <c r="Q94" t="s">
        <v>64</v>
      </c>
      <c r="R94" t="s">
        <v>53</v>
      </c>
      <c r="S94" t="s">
        <v>41</v>
      </c>
      <c r="T94" t="s">
        <v>42</v>
      </c>
      <c r="U94" t="s">
        <v>43</v>
      </c>
      <c r="V94">
        <v>40917</v>
      </c>
      <c r="X94" t="s">
        <v>44</v>
      </c>
      <c r="Y94" t="s">
        <v>45</v>
      </c>
      <c r="Z94" t="s">
        <v>46</v>
      </c>
      <c r="AA94" t="s">
        <v>92</v>
      </c>
      <c r="AB94">
        <v>12</v>
      </c>
      <c r="AC94" t="s">
        <v>75</v>
      </c>
      <c r="AD94" t="s">
        <v>60</v>
      </c>
      <c r="AE94">
        <v>5</v>
      </c>
      <c r="AF94">
        <v>5</v>
      </c>
      <c r="AG94">
        <v>0</v>
      </c>
      <c r="AH94" t="s">
        <v>255</v>
      </c>
      <c r="AI94">
        <v>0</v>
      </c>
      <c r="AJ94">
        <v>19</v>
      </c>
      <c r="AK94" t="str">
        <f t="shared" si="10"/>
        <v>Normal</v>
      </c>
      <c r="AL94" t="str">
        <f t="shared" si="11"/>
        <v>low Outlier</v>
      </c>
      <c r="AM94">
        <f ca="1">INT((TODAY()-HRDataset_v14[[#This Row],[DOB]])/365.25)</f>
        <v>45</v>
      </c>
      <c r="AN94">
        <f ca="1">DATEDIF(HRDataset_v14[[#This Row],[DateofHire]],TODAY(),"Y")</f>
        <v>14</v>
      </c>
      <c r="AO94">
        <f ca="1">IF(ISBLANK(HRDataset_v14[[#This Row],[DateofTermination]]),DATEDIF(HRDataset_v14[[#This Row],[DateofHire]],TODAY(),"Y"),DATEDIF(HRDataset_v14[[#This Row],[DateofHire]],HRDataset_v14[[#This Row],[DateofTermination]],"Y"))</f>
        <v>14</v>
      </c>
      <c r="AP94" t="str">
        <f ca="1">IF(HRDataset_v14[[#This Row],[Tenure in Years
]]&lt;1,"0-1 Year",IF(HRDataset_v14[[#This Row],[Tenure in Years
]]&lt;3,"1-3 Years",IF(HRDataset_v14[[#This Row],[Tenure in Years
]]&lt;5,"3-5 Years",IF(HRDataset_v14[[#This Row],[Tenure in Years
]]&lt;10,"5-10 Years","10+ Years"))))</f>
        <v>10+ Years</v>
      </c>
      <c r="AQ94" t="str">
        <f ca="1">IF(HRDataset_v14[[#This Row],[Age Calculation
]]&lt;26,"18-25",IF(HRDataset_v14[[#This Row],[Age Calculation
]]&lt;36,"26-35",IF(HRDataset_v14[[#This Row],[Age Calculation
]]&lt;46,"36-45",IF(HRDataset_v14[[#This Row],[Age Calculation
]]&lt;56,"46-55","55+"))))</f>
        <v>36-45</v>
      </c>
      <c r="AR94" t="str">
        <f>IF(HRDataset_v14[[#This Row],[Salary]]&lt;40000,"Entry (&lt;40K)",IF(HRDataset_v14[[#This Row],[Salary]]&lt;70000,"Mid (40-70K)",IF(HRDataset_v14[[#This Row],[Salary]]&lt;100000,"Senior (70-100K)","Executive (100K+)")))</f>
        <v>Mid (40-70K)</v>
      </c>
      <c r="AS94">
        <f>IF(HRDataset_v14[[#This Row],[EmploymentStatus]]="Active",1,0)</f>
        <v>1</v>
      </c>
      <c r="AT94">
        <f>YEAR(HRDataset_v14[[#This Row],[DateofHire]])</f>
        <v>2012</v>
      </c>
      <c r="AU94">
        <f>MONTH(HRDataset_v14[[#This Row],[DateofHire]])</f>
        <v>1</v>
      </c>
      <c r="AV94" t="str">
        <f>"Q"&amp;ROUNDUP(MONTH(HRDataset_v14[[#This Row],[DateofHire]])/3,0)</f>
        <v>Q1</v>
      </c>
      <c r="AW94" t="str">
        <f>TEXT(HRDataset_v14[[#This Row],[DateofHire]],"MMM")</f>
        <v>Jan</v>
      </c>
      <c r="AX94" t="str">
        <f>TEXT(HRDataset_v14[[#This Row],[DateofHire]],"YYYY-MM")</f>
        <v>2012-01</v>
      </c>
      <c r="AY94" t="str">
        <f>IF(ISBLANK(HRDataset_v14[[#This Row],[DateofTermination]]),"N/A",YEAR(HRDataset_v14[[#This Row],[DateofTermination]]))</f>
        <v>N/A</v>
      </c>
      <c r="AZ94" t="str" cm="1">
        <f t="array" ref="AZ94">INDEX(_xlfn.UNIQUE(Z94:Z404),MATCH(MAX(COUNTIF(Z94:Z404,_xlfn.UNIQUE(Z94:Z404))),COUNTIF(Z94:Z404,_xlfn.UNIQUE(Z94:Z404)),0))</f>
        <v xml:space="preserve">Production       </v>
      </c>
      <c r="BA94">
        <f t="shared" si="16"/>
        <v>31.25</v>
      </c>
      <c r="BB94">
        <f t="shared" si="17"/>
        <v>0</v>
      </c>
      <c r="BC94" t="str">
        <f t="shared" si="12"/>
        <v>Medium</v>
      </c>
      <c r="BD94">
        <f t="shared" si="13"/>
        <v>5</v>
      </c>
      <c r="BE94" t="str">
        <f t="shared" si="14"/>
        <v/>
      </c>
      <c r="BF94">
        <f>COUNTIF(I:I,1)/COUNTA(B:B)*100</f>
        <v>9.2948717948717956</v>
      </c>
      <c r="BT94">
        <f t="shared" si="15"/>
        <v>5</v>
      </c>
      <c r="BV94">
        <v>3.6</v>
      </c>
      <c r="BW94">
        <v>4.4000000000000004</v>
      </c>
    </row>
    <row r="95" spans="1:75" x14ac:dyDescent="0.3">
      <c r="A95" t="s">
        <v>291</v>
      </c>
      <c r="B95">
        <v>10093</v>
      </c>
      <c r="C95">
        <v>0</v>
      </c>
      <c r="D95">
        <v>0</v>
      </c>
      <c r="E95">
        <v>1</v>
      </c>
      <c r="F95">
        <v>5</v>
      </c>
      <c r="G95">
        <v>5</v>
      </c>
      <c r="H95">
        <v>3</v>
      </c>
      <c r="I95">
        <v>0</v>
      </c>
      <c r="J95">
        <v>72609</v>
      </c>
      <c r="K95">
        <v>1</v>
      </c>
      <c r="L95">
        <v>20</v>
      </c>
      <c r="M95" t="s">
        <v>63</v>
      </c>
      <c r="N95" t="s">
        <v>38</v>
      </c>
      <c r="O95">
        <v>2143</v>
      </c>
      <c r="P95">
        <v>29860</v>
      </c>
      <c r="Q95" t="s">
        <v>39</v>
      </c>
      <c r="R95" t="s">
        <v>40</v>
      </c>
      <c r="S95" t="s">
        <v>41</v>
      </c>
      <c r="T95" t="s">
        <v>100</v>
      </c>
      <c r="U95" t="s">
        <v>43</v>
      </c>
      <c r="V95">
        <v>40679</v>
      </c>
      <c r="W95">
        <v>41449</v>
      </c>
      <c r="X95" t="s">
        <v>65</v>
      </c>
      <c r="Y95" t="s">
        <v>56</v>
      </c>
      <c r="Z95" t="s">
        <v>46</v>
      </c>
      <c r="AA95" t="s">
        <v>78</v>
      </c>
      <c r="AB95">
        <v>11</v>
      </c>
      <c r="AC95" t="s">
        <v>75</v>
      </c>
      <c r="AD95" t="s">
        <v>60</v>
      </c>
      <c r="AE95">
        <v>4.76</v>
      </c>
      <c r="AF95">
        <v>5</v>
      </c>
      <c r="AG95">
        <v>0</v>
      </c>
      <c r="AH95" t="s">
        <v>292</v>
      </c>
      <c r="AI95">
        <v>0</v>
      </c>
      <c r="AJ95">
        <v>20</v>
      </c>
      <c r="AK95" t="str">
        <f t="shared" si="10"/>
        <v>Normal</v>
      </c>
      <c r="AL95" t="str">
        <f t="shared" si="11"/>
        <v>low Outlier</v>
      </c>
      <c r="AM95">
        <f ca="1">INT((TODAY()-HRDataset_v14[[#This Row],[DOB]])/365.25)</f>
        <v>44</v>
      </c>
      <c r="AN95">
        <f ca="1">DATEDIF(HRDataset_v14[[#This Row],[DateofHire]],TODAY(),"Y")</f>
        <v>14</v>
      </c>
      <c r="AO95">
        <f ca="1">IF(ISBLANK(HRDataset_v14[[#This Row],[DateofTermination]]),DATEDIF(HRDataset_v14[[#This Row],[DateofHire]],TODAY(),"Y"),DATEDIF(HRDataset_v14[[#This Row],[DateofHire]],HRDataset_v14[[#This Row],[DateofTermination]],"Y"))</f>
        <v>2</v>
      </c>
      <c r="AP95" t="str">
        <f ca="1">IF(HRDataset_v14[[#This Row],[Tenure in Years
]]&lt;1,"0-1 Year",IF(HRDataset_v14[[#This Row],[Tenure in Years
]]&lt;3,"1-3 Years",IF(HRDataset_v14[[#This Row],[Tenure in Years
]]&lt;5,"3-5 Years",IF(HRDataset_v14[[#This Row],[Tenure in Years
]]&lt;10,"5-10 Years","10+ Years"))))</f>
        <v>10+ Years</v>
      </c>
      <c r="AQ95" t="str">
        <f ca="1">IF(HRDataset_v14[[#This Row],[Age Calculation
]]&lt;26,"18-25",IF(HRDataset_v14[[#This Row],[Age Calculation
]]&lt;36,"26-35",IF(HRDataset_v14[[#This Row],[Age Calculation
]]&lt;46,"36-45",IF(HRDataset_v14[[#This Row],[Age Calculation
]]&lt;56,"46-55","55+"))))</f>
        <v>36-45</v>
      </c>
      <c r="AR95" t="str">
        <f>IF(HRDataset_v14[[#This Row],[Salary]]&lt;40000,"Entry (&lt;40K)",IF(HRDataset_v14[[#This Row],[Salary]]&lt;70000,"Mid (40-70K)",IF(HRDataset_v14[[#This Row],[Salary]]&lt;100000,"Senior (70-100K)","Executive (100K+)")))</f>
        <v>Senior (70-100K)</v>
      </c>
      <c r="AS95">
        <f>IF(HRDataset_v14[[#This Row],[EmploymentStatus]]="Active",1,0)</f>
        <v>0</v>
      </c>
      <c r="AT95">
        <f>YEAR(HRDataset_v14[[#This Row],[DateofHire]])</f>
        <v>2011</v>
      </c>
      <c r="AU95">
        <f>MONTH(HRDataset_v14[[#This Row],[DateofHire]])</f>
        <v>5</v>
      </c>
      <c r="AV95" t="str">
        <f>"Q"&amp;ROUNDUP(MONTH(HRDataset_v14[[#This Row],[DateofHire]])/3,0)</f>
        <v>Q2</v>
      </c>
      <c r="AW95" t="str">
        <f>TEXT(HRDataset_v14[[#This Row],[DateofHire]],"MMM")</f>
        <v>May</v>
      </c>
      <c r="AX95" t="str">
        <f>TEXT(HRDataset_v14[[#This Row],[DateofHire]],"YYYY-MM")</f>
        <v>2011-05</v>
      </c>
      <c r="AY95">
        <f>IF(ISBLANK(HRDataset_v14[[#This Row],[DateofTermination]]),"N/A",YEAR(HRDataset_v14[[#This Row],[DateofTermination]]))</f>
        <v>2013</v>
      </c>
      <c r="AZ95" t="str" cm="1">
        <f t="array" ref="AZ95">INDEX(_xlfn.UNIQUE(Z95:Z405),MATCH(MAX(COUNTIF(Z95:Z405,_xlfn.UNIQUE(Z95:Z405))),COUNTIF(Z95:Z405,_xlfn.UNIQUE(Z95:Z405)),0))</f>
        <v xml:space="preserve">Production       </v>
      </c>
      <c r="BA95">
        <f t="shared" si="16"/>
        <v>80</v>
      </c>
      <c r="BB95">
        <f t="shared" si="17"/>
        <v>7</v>
      </c>
      <c r="BC95" t="str">
        <f t="shared" si="12"/>
        <v>Medium</v>
      </c>
      <c r="BD95" t="str">
        <f t="shared" si="13"/>
        <v/>
      </c>
      <c r="BE95">
        <f t="shared" si="14"/>
        <v>4.76</v>
      </c>
      <c r="BF95" t="s">
        <v>689</v>
      </c>
      <c r="BT95" t="str">
        <f t="shared" si="15"/>
        <v/>
      </c>
      <c r="BV95">
        <v>4.4800000000000004</v>
      </c>
      <c r="BW95">
        <v>4.5</v>
      </c>
    </row>
    <row r="96" spans="1:75" x14ac:dyDescent="0.3">
      <c r="A96" t="s">
        <v>293</v>
      </c>
      <c r="B96">
        <v>10163</v>
      </c>
      <c r="C96">
        <v>1</v>
      </c>
      <c r="D96">
        <v>1</v>
      </c>
      <c r="E96">
        <v>0</v>
      </c>
      <c r="F96">
        <v>5</v>
      </c>
      <c r="G96">
        <v>5</v>
      </c>
      <c r="H96">
        <v>3</v>
      </c>
      <c r="I96">
        <v>0</v>
      </c>
      <c r="J96">
        <v>55965</v>
      </c>
      <c r="K96">
        <v>1</v>
      </c>
      <c r="L96">
        <v>20</v>
      </c>
      <c r="M96" t="s">
        <v>63</v>
      </c>
      <c r="N96" t="s">
        <v>38</v>
      </c>
      <c r="O96">
        <v>2170</v>
      </c>
      <c r="P96">
        <v>30628</v>
      </c>
      <c r="Q96" t="s">
        <v>64</v>
      </c>
      <c r="R96" t="s">
        <v>53</v>
      </c>
      <c r="S96" t="s">
        <v>41</v>
      </c>
      <c r="T96" t="s">
        <v>42</v>
      </c>
      <c r="U96" t="s">
        <v>43</v>
      </c>
      <c r="V96">
        <v>40637</v>
      </c>
      <c r="W96">
        <v>41283</v>
      </c>
      <c r="X96" t="s">
        <v>55</v>
      </c>
      <c r="Y96" t="s">
        <v>56</v>
      </c>
      <c r="Z96" t="s">
        <v>46</v>
      </c>
      <c r="AA96" t="s">
        <v>87</v>
      </c>
      <c r="AB96">
        <v>19</v>
      </c>
      <c r="AC96" t="s">
        <v>75</v>
      </c>
      <c r="AD96" t="s">
        <v>60</v>
      </c>
      <c r="AE96">
        <v>3.66</v>
      </c>
      <c r="AF96">
        <v>3</v>
      </c>
      <c r="AG96">
        <v>0</v>
      </c>
      <c r="AH96" t="s">
        <v>294</v>
      </c>
      <c r="AI96">
        <v>0</v>
      </c>
      <c r="AJ96">
        <v>6</v>
      </c>
      <c r="AK96" t="str">
        <f t="shared" si="10"/>
        <v>Normal</v>
      </c>
      <c r="AL96" t="str">
        <f t="shared" si="11"/>
        <v>low Outlier</v>
      </c>
      <c r="AM96">
        <f ca="1">INT((TODAY()-HRDataset_v14[[#This Row],[DOB]])/365.25)</f>
        <v>42</v>
      </c>
      <c r="AN96">
        <f ca="1">DATEDIF(HRDataset_v14[[#This Row],[DateofHire]],TODAY(),"Y")</f>
        <v>14</v>
      </c>
      <c r="AO96">
        <f ca="1">IF(ISBLANK(HRDataset_v14[[#This Row],[DateofTermination]]),DATEDIF(HRDataset_v14[[#This Row],[DateofHire]],TODAY(),"Y"),DATEDIF(HRDataset_v14[[#This Row],[DateofHire]],HRDataset_v14[[#This Row],[DateofTermination]],"Y"))</f>
        <v>1</v>
      </c>
      <c r="AP96" t="str">
        <f ca="1">IF(HRDataset_v14[[#This Row],[Tenure in Years
]]&lt;1,"0-1 Year",IF(HRDataset_v14[[#This Row],[Tenure in Years
]]&lt;3,"1-3 Years",IF(HRDataset_v14[[#This Row],[Tenure in Years
]]&lt;5,"3-5 Years",IF(HRDataset_v14[[#This Row],[Tenure in Years
]]&lt;10,"5-10 Years","10+ Years"))))</f>
        <v>10+ Years</v>
      </c>
      <c r="AQ96" t="str">
        <f ca="1">IF(HRDataset_v14[[#This Row],[Age Calculation
]]&lt;26,"18-25",IF(HRDataset_v14[[#This Row],[Age Calculation
]]&lt;36,"26-35",IF(HRDataset_v14[[#This Row],[Age Calculation
]]&lt;46,"36-45",IF(HRDataset_v14[[#This Row],[Age Calculation
]]&lt;56,"46-55","55+"))))</f>
        <v>36-45</v>
      </c>
      <c r="AR96" t="str">
        <f>IF(HRDataset_v14[[#This Row],[Salary]]&lt;40000,"Entry (&lt;40K)",IF(HRDataset_v14[[#This Row],[Salary]]&lt;70000,"Mid (40-70K)",IF(HRDataset_v14[[#This Row],[Salary]]&lt;100000,"Senior (70-100K)","Executive (100K+)")))</f>
        <v>Mid (40-70K)</v>
      </c>
      <c r="AS96">
        <f>IF(HRDataset_v14[[#This Row],[EmploymentStatus]]="Active",1,0)</f>
        <v>0</v>
      </c>
      <c r="AT96">
        <f>YEAR(HRDataset_v14[[#This Row],[DateofHire]])</f>
        <v>2011</v>
      </c>
      <c r="AU96">
        <f>MONTH(HRDataset_v14[[#This Row],[DateofHire]])</f>
        <v>4</v>
      </c>
      <c r="AV96" t="str">
        <f>"Q"&amp;ROUNDUP(MONTH(HRDataset_v14[[#This Row],[DateofHire]])/3,0)</f>
        <v>Q2</v>
      </c>
      <c r="AW96" t="str">
        <f>TEXT(HRDataset_v14[[#This Row],[DateofHire]],"MMM")</f>
        <v>Apr</v>
      </c>
      <c r="AX96" t="str">
        <f>TEXT(HRDataset_v14[[#This Row],[DateofHire]],"YYYY-MM")</f>
        <v>2011-04</v>
      </c>
      <c r="AY96">
        <f>IF(ISBLANK(HRDataset_v14[[#This Row],[DateofTermination]]),"N/A",YEAR(HRDataset_v14[[#This Row],[DateofTermination]]))</f>
        <v>2013</v>
      </c>
      <c r="AZ96" t="str" cm="1">
        <f t="array" ref="AZ96">INDEX(_xlfn.UNIQUE(Z96:Z406),MATCH(MAX(COUNTIF(Z96:Z406,_xlfn.UNIQUE(Z96:Z406))),COUNTIF(Z96:Z406,_xlfn.UNIQUE(Z96:Z406)),0))</f>
        <v xml:space="preserve">Production       </v>
      </c>
      <c r="BA96">
        <f t="shared" si="16"/>
        <v>33.333333333333329</v>
      </c>
      <c r="BB96">
        <f t="shared" si="17"/>
        <v>6</v>
      </c>
      <c r="BC96" t="str">
        <f t="shared" si="12"/>
        <v>Medium</v>
      </c>
      <c r="BD96" t="str">
        <f t="shared" si="13"/>
        <v/>
      </c>
      <c r="BE96">
        <f t="shared" si="14"/>
        <v>3.66</v>
      </c>
      <c r="BF96">
        <f>1-((COUNTIF(U:U,"White")/COUNTA(U:U))^2
+(COUNTIF(U:U,"Black")/COUNTA(U:U))^2
+(COUNTIF(U:U,"Asian")/COUNTA(U:U))^2)</f>
        <v>0.63212935568704798</v>
      </c>
      <c r="BT96" t="str">
        <f t="shared" si="15"/>
        <v/>
      </c>
      <c r="BV96">
        <v>4.5</v>
      </c>
      <c r="BW96">
        <v>4.33</v>
      </c>
    </row>
    <row r="97" spans="1:75" x14ac:dyDescent="0.3">
      <c r="A97" t="s">
        <v>295</v>
      </c>
      <c r="B97">
        <v>10305</v>
      </c>
      <c r="C97">
        <v>1</v>
      </c>
      <c r="D97">
        <v>1</v>
      </c>
      <c r="E97">
        <v>1</v>
      </c>
      <c r="F97">
        <v>1</v>
      </c>
      <c r="G97">
        <v>6</v>
      </c>
      <c r="H97">
        <v>3</v>
      </c>
      <c r="I97">
        <v>0</v>
      </c>
      <c r="J97">
        <v>70187</v>
      </c>
      <c r="K97">
        <v>1</v>
      </c>
      <c r="L97">
        <v>3</v>
      </c>
      <c r="M97" t="s">
        <v>169</v>
      </c>
      <c r="N97" t="s">
        <v>38</v>
      </c>
      <c r="O97">
        <v>2330</v>
      </c>
      <c r="P97">
        <v>27582</v>
      </c>
      <c r="Q97" t="s">
        <v>39</v>
      </c>
      <c r="R97" t="s">
        <v>53</v>
      </c>
      <c r="S97" t="s">
        <v>41</v>
      </c>
      <c r="T97" t="s">
        <v>42</v>
      </c>
      <c r="U97" t="s">
        <v>43</v>
      </c>
      <c r="V97">
        <v>41911</v>
      </c>
      <c r="W97">
        <v>43331</v>
      </c>
      <c r="X97" t="s">
        <v>296</v>
      </c>
      <c r="Y97" t="s">
        <v>121</v>
      </c>
      <c r="Z97" t="s">
        <v>171</v>
      </c>
      <c r="AA97" t="s">
        <v>197</v>
      </c>
      <c r="AB97">
        <v>21</v>
      </c>
      <c r="AC97" t="s">
        <v>88</v>
      </c>
      <c r="AD97" t="s">
        <v>241</v>
      </c>
      <c r="AE97">
        <v>2</v>
      </c>
      <c r="AF97">
        <v>5</v>
      </c>
      <c r="AG97">
        <v>0</v>
      </c>
      <c r="AH97" t="s">
        <v>223</v>
      </c>
      <c r="AI97">
        <v>4</v>
      </c>
      <c r="AJ97">
        <v>7</v>
      </c>
      <c r="AK97" t="str">
        <f t="shared" si="10"/>
        <v>Normal</v>
      </c>
      <c r="AL97" t="str">
        <f t="shared" si="11"/>
        <v>low Outlier</v>
      </c>
      <c r="AM97">
        <f ca="1">INT((TODAY()-HRDataset_v14[[#This Row],[DOB]])/365.25)</f>
        <v>50</v>
      </c>
      <c r="AN97">
        <f ca="1">DATEDIF(HRDataset_v14[[#This Row],[DateofHire]],TODAY(),"Y")</f>
        <v>11</v>
      </c>
      <c r="AO97">
        <f ca="1">IF(ISBLANK(HRDataset_v14[[#This Row],[DateofTermination]]),DATEDIF(HRDataset_v14[[#This Row],[DateofHire]],TODAY(),"Y"),DATEDIF(HRDataset_v14[[#This Row],[DateofHire]],HRDataset_v14[[#This Row],[DateofTermination]],"Y"))</f>
        <v>3</v>
      </c>
      <c r="AP97" t="str">
        <f ca="1">IF(HRDataset_v14[[#This Row],[Tenure in Years
]]&lt;1,"0-1 Year",IF(HRDataset_v14[[#This Row],[Tenure in Years
]]&lt;3,"1-3 Years",IF(HRDataset_v14[[#This Row],[Tenure in Years
]]&lt;5,"3-5 Years",IF(HRDataset_v14[[#This Row],[Tenure in Years
]]&lt;10,"5-10 Years","10+ Years"))))</f>
        <v>10+ Years</v>
      </c>
      <c r="AQ97" t="str">
        <f ca="1">IF(HRDataset_v14[[#This Row],[Age Calculation
]]&lt;26,"18-25",IF(HRDataset_v14[[#This Row],[Age Calculation
]]&lt;36,"26-35",IF(HRDataset_v14[[#This Row],[Age Calculation
]]&lt;46,"36-45",IF(HRDataset_v14[[#This Row],[Age Calculation
]]&lt;56,"46-55","55+"))))</f>
        <v>46-55</v>
      </c>
      <c r="AR97" t="str">
        <f>IF(HRDataset_v14[[#This Row],[Salary]]&lt;40000,"Entry (&lt;40K)",IF(HRDataset_v14[[#This Row],[Salary]]&lt;70000,"Mid (40-70K)",IF(HRDataset_v14[[#This Row],[Salary]]&lt;100000,"Senior (70-100K)","Executive (100K+)")))</f>
        <v>Senior (70-100K)</v>
      </c>
      <c r="AS97">
        <f>IF(HRDataset_v14[[#This Row],[EmploymentStatus]]="Active",1,0)</f>
        <v>0</v>
      </c>
      <c r="AT97">
        <f>YEAR(HRDataset_v14[[#This Row],[DateofHire]])</f>
        <v>2014</v>
      </c>
      <c r="AU97">
        <f>MONTH(HRDataset_v14[[#This Row],[DateofHire]])</f>
        <v>9</v>
      </c>
      <c r="AV97" t="str">
        <f>"Q"&amp;ROUNDUP(MONTH(HRDataset_v14[[#This Row],[DateofHire]])/3,0)</f>
        <v>Q3</v>
      </c>
      <c r="AW97" t="str">
        <f>TEXT(HRDataset_v14[[#This Row],[DateofHire]],"MMM")</f>
        <v>Sep</v>
      </c>
      <c r="AX97" t="str">
        <f>TEXT(HRDataset_v14[[#This Row],[DateofHire]],"YYYY-MM")</f>
        <v>2014-09</v>
      </c>
      <c r="AY97">
        <f>IF(ISBLANK(HRDataset_v14[[#This Row],[DateofTermination]]),"N/A",YEAR(HRDataset_v14[[#This Row],[DateofTermination]]))</f>
        <v>2018</v>
      </c>
      <c r="AZ97" t="str" cm="1">
        <f t="array" ref="AZ97">INDEX(_xlfn.UNIQUE(Z97:Z407),MATCH(MAX(COUNTIF(Z97:Z407,_xlfn.UNIQUE(Z97:Z407))),COUNTIF(Z97:Z407,_xlfn.UNIQUE(Z97:Z407)),0))</f>
        <v xml:space="preserve">Production       </v>
      </c>
      <c r="BA97">
        <f t="shared" si="16"/>
        <v>9.0909090909090917</v>
      </c>
      <c r="BB97">
        <f t="shared" si="17"/>
        <v>1</v>
      </c>
      <c r="BC97" t="str">
        <f t="shared" si="12"/>
        <v>High</v>
      </c>
      <c r="BD97" t="str">
        <f t="shared" si="13"/>
        <v/>
      </c>
      <c r="BE97">
        <f t="shared" si="14"/>
        <v>2</v>
      </c>
      <c r="BT97" t="str">
        <f t="shared" si="15"/>
        <v/>
      </c>
      <c r="BV97">
        <v>4.8</v>
      </c>
      <c r="BW97">
        <v>4.3</v>
      </c>
    </row>
    <row r="98" spans="1:75" x14ac:dyDescent="0.3">
      <c r="A98" t="s">
        <v>297</v>
      </c>
      <c r="B98">
        <v>10015</v>
      </c>
      <c r="C98">
        <v>0</v>
      </c>
      <c r="D98">
        <v>0</v>
      </c>
      <c r="E98">
        <v>1</v>
      </c>
      <c r="F98">
        <v>1</v>
      </c>
      <c r="G98">
        <v>3</v>
      </c>
      <c r="H98">
        <v>4</v>
      </c>
      <c r="I98">
        <v>0</v>
      </c>
      <c r="J98">
        <v>178000</v>
      </c>
      <c r="K98">
        <v>0</v>
      </c>
      <c r="L98">
        <v>12</v>
      </c>
      <c r="M98" t="s">
        <v>298</v>
      </c>
      <c r="N98" t="s">
        <v>38</v>
      </c>
      <c r="O98">
        <v>1460</v>
      </c>
      <c r="P98">
        <v>29407</v>
      </c>
      <c r="Q98" t="s">
        <v>39</v>
      </c>
      <c r="R98" t="s">
        <v>40</v>
      </c>
      <c r="S98" t="s">
        <v>41</v>
      </c>
      <c r="T98" t="s">
        <v>42</v>
      </c>
      <c r="U98" t="s">
        <v>91</v>
      </c>
      <c r="V98">
        <v>40648</v>
      </c>
      <c r="X98" t="s">
        <v>44</v>
      </c>
      <c r="Y98" t="s">
        <v>45</v>
      </c>
      <c r="Z98" t="s">
        <v>57</v>
      </c>
      <c r="AA98" t="s">
        <v>180</v>
      </c>
      <c r="AB98">
        <v>5</v>
      </c>
      <c r="AC98" t="s">
        <v>59</v>
      </c>
      <c r="AD98" t="s">
        <v>49</v>
      </c>
      <c r="AE98">
        <v>5</v>
      </c>
      <c r="AF98">
        <v>5</v>
      </c>
      <c r="AG98">
        <v>5</v>
      </c>
      <c r="AH98" t="s">
        <v>79</v>
      </c>
      <c r="AI98">
        <v>0</v>
      </c>
      <c r="AJ98">
        <v>15</v>
      </c>
      <c r="AK98" t="str">
        <f t="shared" si="10"/>
        <v xml:space="preserve"> high Outlier</v>
      </c>
      <c r="AL98" t="str">
        <f t="shared" si="11"/>
        <v>low Outlier</v>
      </c>
      <c r="AM98">
        <f ca="1">INT((TODAY()-HRDataset_v14[[#This Row],[DOB]])/365.25)</f>
        <v>45</v>
      </c>
      <c r="AN98">
        <f ca="1">DATEDIF(HRDataset_v14[[#This Row],[DateofHire]],TODAY(),"Y")</f>
        <v>14</v>
      </c>
      <c r="AO98">
        <f ca="1">IF(ISBLANK(HRDataset_v14[[#This Row],[DateofTermination]]),DATEDIF(HRDataset_v14[[#This Row],[DateofHire]],TODAY(),"Y"),DATEDIF(HRDataset_v14[[#This Row],[DateofHire]],HRDataset_v14[[#This Row],[DateofTermination]],"Y"))</f>
        <v>14</v>
      </c>
      <c r="AP98" t="str">
        <f ca="1">IF(HRDataset_v14[[#This Row],[Tenure in Years
]]&lt;1,"0-1 Year",IF(HRDataset_v14[[#This Row],[Tenure in Years
]]&lt;3,"1-3 Years",IF(HRDataset_v14[[#This Row],[Tenure in Years
]]&lt;5,"3-5 Years",IF(HRDataset_v14[[#This Row],[Tenure in Years
]]&lt;10,"5-10 Years","10+ Years"))))</f>
        <v>10+ Years</v>
      </c>
      <c r="AQ98" t="str">
        <f ca="1">IF(HRDataset_v14[[#This Row],[Age Calculation
]]&lt;26,"18-25",IF(HRDataset_v14[[#This Row],[Age Calculation
]]&lt;36,"26-35",IF(HRDataset_v14[[#This Row],[Age Calculation
]]&lt;46,"36-45",IF(HRDataset_v14[[#This Row],[Age Calculation
]]&lt;56,"46-55","55+"))))</f>
        <v>36-45</v>
      </c>
      <c r="AR98" t="str">
        <f>IF(HRDataset_v14[[#This Row],[Salary]]&lt;40000,"Entry (&lt;40K)",IF(HRDataset_v14[[#This Row],[Salary]]&lt;70000,"Mid (40-70K)",IF(HRDataset_v14[[#This Row],[Salary]]&lt;100000,"Senior (70-100K)","Executive (100K+)")))</f>
        <v>Executive (100K+)</v>
      </c>
      <c r="AS98">
        <f>IF(HRDataset_v14[[#This Row],[EmploymentStatus]]="Active",1,0)</f>
        <v>1</v>
      </c>
      <c r="AT98">
        <f>YEAR(HRDataset_v14[[#This Row],[DateofHire]])</f>
        <v>2011</v>
      </c>
      <c r="AU98">
        <f>MONTH(HRDataset_v14[[#This Row],[DateofHire]])</f>
        <v>4</v>
      </c>
      <c r="AV98" t="str">
        <f>"Q"&amp;ROUNDUP(MONTH(HRDataset_v14[[#This Row],[DateofHire]])/3,0)</f>
        <v>Q2</v>
      </c>
      <c r="AW98" t="str">
        <f>TEXT(HRDataset_v14[[#This Row],[DateofHire]],"MMM")</f>
        <v>Apr</v>
      </c>
      <c r="AX98" t="str">
        <f>TEXT(HRDataset_v14[[#This Row],[DateofHire]],"YYYY-MM")</f>
        <v>2011-04</v>
      </c>
      <c r="AY98" t="str">
        <f>IF(ISBLANK(HRDataset_v14[[#This Row],[DateofTermination]]),"N/A",YEAR(HRDataset_v14[[#This Row],[DateofTermination]]))</f>
        <v>N/A</v>
      </c>
      <c r="AZ98" t="str" cm="1">
        <f t="array" ref="AZ98">INDEX(_xlfn.UNIQUE(Z98:Z408),MATCH(MAX(COUNTIF(Z98:Z408,_xlfn.UNIQUE(Z98:Z408))),COUNTIF(Z98:Z408,_xlfn.UNIQUE(Z98:Z408)),0))</f>
        <v xml:space="preserve">Production       </v>
      </c>
      <c r="BA98">
        <f t="shared" si="16"/>
        <v>25</v>
      </c>
      <c r="BB98">
        <f t="shared" si="17"/>
        <v>0</v>
      </c>
      <c r="BC98" t="str">
        <f t="shared" si="12"/>
        <v>Low</v>
      </c>
      <c r="BD98">
        <f t="shared" si="13"/>
        <v>5</v>
      </c>
      <c r="BE98" t="str">
        <f t="shared" si="14"/>
        <v/>
      </c>
      <c r="BT98">
        <f t="shared" si="15"/>
        <v>5</v>
      </c>
      <c r="BV98">
        <v>3</v>
      </c>
      <c r="BW98">
        <v>4.5</v>
      </c>
    </row>
    <row r="99" spans="1:75" x14ac:dyDescent="0.3">
      <c r="A99" t="s">
        <v>299</v>
      </c>
      <c r="B99">
        <v>10080</v>
      </c>
      <c r="C99">
        <v>1</v>
      </c>
      <c r="D99">
        <v>1</v>
      </c>
      <c r="E99">
        <v>0</v>
      </c>
      <c r="F99">
        <v>1</v>
      </c>
      <c r="G99">
        <v>1</v>
      </c>
      <c r="H99">
        <v>3</v>
      </c>
      <c r="I99">
        <v>0</v>
      </c>
      <c r="J99">
        <v>99351</v>
      </c>
      <c r="K99">
        <v>0</v>
      </c>
      <c r="L99">
        <v>26</v>
      </c>
      <c r="M99" t="s">
        <v>150</v>
      </c>
      <c r="N99" t="s">
        <v>38</v>
      </c>
      <c r="O99">
        <v>2050</v>
      </c>
      <c r="P99">
        <v>28961</v>
      </c>
      <c r="Q99" t="s">
        <v>64</v>
      </c>
      <c r="R99" t="s">
        <v>53</v>
      </c>
      <c r="S99" t="s">
        <v>41</v>
      </c>
      <c r="T99" t="s">
        <v>300</v>
      </c>
      <c r="U99" t="s">
        <v>43</v>
      </c>
      <c r="V99">
        <v>39818</v>
      </c>
      <c r="X99" t="s">
        <v>44</v>
      </c>
      <c r="Y99" t="s">
        <v>45</v>
      </c>
      <c r="Z99" t="s">
        <v>151</v>
      </c>
      <c r="AA99" t="s">
        <v>301</v>
      </c>
      <c r="AB99">
        <v>9</v>
      </c>
      <c r="AC99" t="s">
        <v>302</v>
      </c>
      <c r="AD99" t="s">
        <v>60</v>
      </c>
      <c r="AE99">
        <v>5</v>
      </c>
      <c r="AF99">
        <v>3</v>
      </c>
      <c r="AG99">
        <v>2</v>
      </c>
      <c r="AH99" t="s">
        <v>303</v>
      </c>
      <c r="AI99">
        <v>0</v>
      </c>
      <c r="AJ99">
        <v>3</v>
      </c>
      <c r="AK99" t="str">
        <f t="shared" si="10"/>
        <v>Normal</v>
      </c>
      <c r="AL99" t="str">
        <f t="shared" si="11"/>
        <v>low Outlier</v>
      </c>
      <c r="AM99">
        <f ca="1">INT((TODAY()-HRDataset_v14[[#This Row],[DOB]])/365.25)</f>
        <v>46</v>
      </c>
      <c r="AN99">
        <f ca="1">DATEDIF(HRDataset_v14[[#This Row],[DateofHire]],TODAY(),"Y")</f>
        <v>17</v>
      </c>
      <c r="AO99">
        <f ca="1">IF(ISBLANK(HRDataset_v14[[#This Row],[DateofTermination]]),DATEDIF(HRDataset_v14[[#This Row],[DateofHire]],TODAY(),"Y"),DATEDIF(HRDataset_v14[[#This Row],[DateofHire]],HRDataset_v14[[#This Row],[DateofTermination]],"Y"))</f>
        <v>17</v>
      </c>
      <c r="AP99" t="str">
        <f ca="1">IF(HRDataset_v14[[#This Row],[Tenure in Years
]]&lt;1,"0-1 Year",IF(HRDataset_v14[[#This Row],[Tenure in Years
]]&lt;3,"1-3 Years",IF(HRDataset_v14[[#This Row],[Tenure in Years
]]&lt;5,"3-5 Years",IF(HRDataset_v14[[#This Row],[Tenure in Years
]]&lt;10,"5-10 Years","10+ Years"))))</f>
        <v>10+ Years</v>
      </c>
      <c r="AQ99" t="str">
        <f ca="1">IF(HRDataset_v14[[#This Row],[Age Calculation
]]&lt;26,"18-25",IF(HRDataset_v14[[#This Row],[Age Calculation
]]&lt;36,"26-35",IF(HRDataset_v14[[#This Row],[Age Calculation
]]&lt;46,"36-45",IF(HRDataset_v14[[#This Row],[Age Calculation
]]&lt;56,"46-55","55+"))))</f>
        <v>46-55</v>
      </c>
      <c r="AR99" t="str">
        <f>IF(HRDataset_v14[[#This Row],[Salary]]&lt;40000,"Entry (&lt;40K)",IF(HRDataset_v14[[#This Row],[Salary]]&lt;70000,"Mid (40-70K)",IF(HRDataset_v14[[#This Row],[Salary]]&lt;100000,"Senior (70-100K)","Executive (100K+)")))</f>
        <v>Senior (70-100K)</v>
      </c>
      <c r="AS99">
        <f>IF(HRDataset_v14[[#This Row],[EmploymentStatus]]="Active",1,0)</f>
        <v>1</v>
      </c>
      <c r="AT99">
        <f>YEAR(HRDataset_v14[[#This Row],[DateofHire]])</f>
        <v>2009</v>
      </c>
      <c r="AU99">
        <f>MONTH(HRDataset_v14[[#This Row],[DateofHire]])</f>
        <v>1</v>
      </c>
      <c r="AV99" t="str">
        <f>"Q"&amp;ROUNDUP(MONTH(HRDataset_v14[[#This Row],[DateofHire]])/3,0)</f>
        <v>Q1</v>
      </c>
      <c r="AW99" t="str">
        <f>TEXT(HRDataset_v14[[#This Row],[DateofHire]],"MMM")</f>
        <v>Jan</v>
      </c>
      <c r="AX99" t="str">
        <f>TEXT(HRDataset_v14[[#This Row],[DateofHire]],"YYYY-MM")</f>
        <v>2009-01</v>
      </c>
      <c r="AY99" t="str">
        <f>IF(ISBLANK(HRDataset_v14[[#This Row],[DateofTermination]]),"N/A",YEAR(HRDataset_v14[[#This Row],[DateofTermination]]))</f>
        <v>N/A</v>
      </c>
      <c r="AZ99" t="str" cm="1">
        <f t="array" ref="AZ99">INDEX(_xlfn.UNIQUE(Z99:Z409),MATCH(MAX(COUNTIF(Z99:Z409,_xlfn.UNIQUE(Z99:Z409))),COUNTIF(Z99:Z409,_xlfn.UNIQUE(Z99:Z409)),0))</f>
        <v xml:space="preserve">Production       </v>
      </c>
      <c r="BA99">
        <f t="shared" si="16"/>
        <v>0</v>
      </c>
      <c r="BB99">
        <f t="shared" si="17"/>
        <v>0</v>
      </c>
      <c r="BC99" t="str">
        <f t="shared" si="12"/>
        <v>Medium</v>
      </c>
      <c r="BD99">
        <f t="shared" si="13"/>
        <v>5</v>
      </c>
      <c r="BE99" t="str">
        <f t="shared" si="14"/>
        <v/>
      </c>
      <c r="BF99" t="s">
        <v>690</v>
      </c>
      <c r="BT99">
        <f t="shared" si="15"/>
        <v>5</v>
      </c>
      <c r="BV99">
        <v>4.5</v>
      </c>
      <c r="BW99">
        <v>2.5</v>
      </c>
    </row>
    <row r="100" spans="1:75" x14ac:dyDescent="0.3">
      <c r="A100" t="s">
        <v>304</v>
      </c>
      <c r="B100">
        <v>10258</v>
      </c>
      <c r="C100">
        <v>0</v>
      </c>
      <c r="D100">
        <v>0</v>
      </c>
      <c r="E100">
        <v>1</v>
      </c>
      <c r="F100">
        <v>1</v>
      </c>
      <c r="G100">
        <v>6</v>
      </c>
      <c r="H100">
        <v>3</v>
      </c>
      <c r="I100">
        <v>0</v>
      </c>
      <c r="J100">
        <v>67251</v>
      </c>
      <c r="K100">
        <v>0</v>
      </c>
      <c r="L100">
        <v>3</v>
      </c>
      <c r="M100" t="s">
        <v>169</v>
      </c>
      <c r="N100" t="s">
        <v>146</v>
      </c>
      <c r="O100">
        <v>6050</v>
      </c>
      <c r="P100">
        <v>23251</v>
      </c>
      <c r="Q100" t="s">
        <v>39</v>
      </c>
      <c r="R100" t="s">
        <v>40</v>
      </c>
      <c r="S100" t="s">
        <v>41</v>
      </c>
      <c r="T100" t="s">
        <v>42</v>
      </c>
      <c r="U100" t="s">
        <v>91</v>
      </c>
      <c r="V100">
        <v>40792</v>
      </c>
      <c r="X100" t="s">
        <v>44</v>
      </c>
      <c r="Y100" t="s">
        <v>45</v>
      </c>
      <c r="Z100" t="s">
        <v>171</v>
      </c>
      <c r="AA100" t="s">
        <v>197</v>
      </c>
      <c r="AB100">
        <v>21</v>
      </c>
      <c r="AC100" t="s">
        <v>140</v>
      </c>
      <c r="AD100" t="s">
        <v>60</v>
      </c>
      <c r="AE100">
        <v>4.3</v>
      </c>
      <c r="AF100">
        <v>3</v>
      </c>
      <c r="AG100">
        <v>0</v>
      </c>
      <c r="AH100" t="s">
        <v>266</v>
      </c>
      <c r="AI100">
        <v>2</v>
      </c>
      <c r="AJ100">
        <v>7</v>
      </c>
      <c r="AK100" t="str">
        <f t="shared" si="10"/>
        <v>Normal</v>
      </c>
      <c r="AL100" t="str">
        <f t="shared" si="11"/>
        <v>low Outlier</v>
      </c>
      <c r="AM100">
        <f ca="1">INT((TODAY()-HRDataset_v14[[#This Row],[DOB]])/365.25)</f>
        <v>62</v>
      </c>
      <c r="AN100">
        <f ca="1">DATEDIF(HRDataset_v14[[#This Row],[DateofHire]],TODAY(),"Y")</f>
        <v>14</v>
      </c>
      <c r="AO100">
        <f ca="1">IF(ISBLANK(HRDataset_v14[[#This Row],[DateofTermination]]),DATEDIF(HRDataset_v14[[#This Row],[DateofHire]],TODAY(),"Y"),DATEDIF(HRDataset_v14[[#This Row],[DateofHire]],HRDataset_v14[[#This Row],[DateofTermination]],"Y"))</f>
        <v>14</v>
      </c>
      <c r="AP100" t="str">
        <f ca="1">IF(HRDataset_v14[[#This Row],[Tenure in Years
]]&lt;1,"0-1 Year",IF(HRDataset_v14[[#This Row],[Tenure in Years
]]&lt;3,"1-3 Years",IF(HRDataset_v14[[#This Row],[Tenure in Years
]]&lt;5,"3-5 Years",IF(HRDataset_v14[[#This Row],[Tenure in Years
]]&lt;10,"5-10 Years","10+ Years"))))</f>
        <v>10+ Years</v>
      </c>
      <c r="AQ100" t="str">
        <f ca="1">IF(HRDataset_v14[[#This Row],[Age Calculation
]]&lt;26,"18-25",IF(HRDataset_v14[[#This Row],[Age Calculation
]]&lt;36,"26-35",IF(HRDataset_v14[[#This Row],[Age Calculation
]]&lt;46,"36-45",IF(HRDataset_v14[[#This Row],[Age Calculation
]]&lt;56,"46-55","55+"))))</f>
        <v>55+</v>
      </c>
      <c r="AR100" t="str">
        <f>IF(HRDataset_v14[[#This Row],[Salary]]&lt;40000,"Entry (&lt;40K)",IF(HRDataset_v14[[#This Row],[Salary]]&lt;70000,"Mid (40-70K)",IF(HRDataset_v14[[#This Row],[Salary]]&lt;100000,"Senior (70-100K)","Executive (100K+)")))</f>
        <v>Mid (40-70K)</v>
      </c>
      <c r="AS100">
        <f>IF(HRDataset_v14[[#This Row],[EmploymentStatus]]="Active",1,0)</f>
        <v>1</v>
      </c>
      <c r="AT100">
        <f>YEAR(HRDataset_v14[[#This Row],[DateofHire]])</f>
        <v>2011</v>
      </c>
      <c r="AU100">
        <f>MONTH(HRDataset_v14[[#This Row],[DateofHire]])</f>
        <v>9</v>
      </c>
      <c r="AV100" t="str">
        <f>"Q"&amp;ROUNDUP(MONTH(HRDataset_v14[[#This Row],[DateofHire]])/3,0)</f>
        <v>Q3</v>
      </c>
      <c r="AW100" t="str">
        <f>TEXT(HRDataset_v14[[#This Row],[DateofHire]],"MMM")</f>
        <v>Sep</v>
      </c>
      <c r="AX100" t="str">
        <f>TEXT(HRDataset_v14[[#This Row],[DateofHire]],"YYYY-MM")</f>
        <v>2011-09</v>
      </c>
      <c r="AY100" t="str">
        <f>IF(ISBLANK(HRDataset_v14[[#This Row],[DateofTermination]]),"N/A",YEAR(HRDataset_v14[[#This Row],[DateofTermination]]))</f>
        <v>N/A</v>
      </c>
      <c r="AZ100" t="str" cm="1">
        <f t="array" ref="AZ100">INDEX(_xlfn.UNIQUE(Z100:Z410),MATCH(MAX(COUNTIF(Z100:Z410,_xlfn.UNIQUE(Z100:Z410))),COUNTIF(Z100:Z410,_xlfn.UNIQUE(Z100:Z410)),0))</f>
        <v xml:space="preserve">Production       </v>
      </c>
      <c r="BA100">
        <f t="shared" si="16"/>
        <v>0</v>
      </c>
      <c r="BB100">
        <f t="shared" si="17"/>
        <v>0</v>
      </c>
      <c r="BC100" t="str">
        <f t="shared" si="12"/>
        <v>Medium</v>
      </c>
      <c r="BD100">
        <f t="shared" si="13"/>
        <v>4.3</v>
      </c>
      <c r="BE100" t="str">
        <f t="shared" si="14"/>
        <v/>
      </c>
      <c r="BF100" t="s">
        <v>691</v>
      </c>
      <c r="BT100">
        <f t="shared" si="15"/>
        <v>4.3</v>
      </c>
      <c r="BV100">
        <v>3.99</v>
      </c>
      <c r="BW100">
        <v>5</v>
      </c>
    </row>
    <row r="101" spans="1:75" x14ac:dyDescent="0.3">
      <c r="A101" t="s">
        <v>305</v>
      </c>
      <c r="B101">
        <v>10273</v>
      </c>
      <c r="C101">
        <v>0</v>
      </c>
      <c r="D101">
        <v>0</v>
      </c>
      <c r="E101">
        <v>0</v>
      </c>
      <c r="F101">
        <v>1</v>
      </c>
      <c r="G101">
        <v>3</v>
      </c>
      <c r="H101">
        <v>3</v>
      </c>
      <c r="I101">
        <v>0</v>
      </c>
      <c r="J101">
        <v>65707</v>
      </c>
      <c r="K101">
        <v>0</v>
      </c>
      <c r="L101">
        <v>14</v>
      </c>
      <c r="M101" t="s">
        <v>96</v>
      </c>
      <c r="N101" t="s">
        <v>146</v>
      </c>
      <c r="O101">
        <v>6040</v>
      </c>
      <c r="P101">
        <v>25025</v>
      </c>
      <c r="Q101" t="s">
        <v>64</v>
      </c>
      <c r="R101" t="s">
        <v>40</v>
      </c>
      <c r="S101" t="s">
        <v>41</v>
      </c>
      <c r="T101" t="s">
        <v>42</v>
      </c>
      <c r="U101" t="s">
        <v>43</v>
      </c>
      <c r="V101">
        <v>40299</v>
      </c>
      <c r="X101" t="s">
        <v>44</v>
      </c>
      <c r="Y101" t="s">
        <v>45</v>
      </c>
      <c r="Z101" t="s">
        <v>57</v>
      </c>
      <c r="AA101" t="s">
        <v>205</v>
      </c>
      <c r="AB101">
        <v>6</v>
      </c>
      <c r="AC101" t="s">
        <v>48</v>
      </c>
      <c r="AD101" t="s">
        <v>60</v>
      </c>
      <c r="AE101">
        <v>4.7</v>
      </c>
      <c r="AF101">
        <v>4</v>
      </c>
      <c r="AG101">
        <v>5</v>
      </c>
      <c r="AH101" t="s">
        <v>164</v>
      </c>
      <c r="AI101">
        <v>0</v>
      </c>
      <c r="AJ101">
        <v>1</v>
      </c>
      <c r="AK101" t="str">
        <f t="shared" si="10"/>
        <v>Normal</v>
      </c>
      <c r="AL101" t="str">
        <f t="shared" si="11"/>
        <v>low Outlier</v>
      </c>
      <c r="AM101">
        <f ca="1">INT((TODAY()-HRDataset_v14[[#This Row],[DOB]])/365.25)</f>
        <v>57</v>
      </c>
      <c r="AN101">
        <f ca="1">DATEDIF(HRDataset_v14[[#This Row],[DateofHire]],TODAY(),"Y")</f>
        <v>15</v>
      </c>
      <c r="AO101">
        <f ca="1">IF(ISBLANK(HRDataset_v14[[#This Row],[DateofTermination]]),DATEDIF(HRDataset_v14[[#This Row],[DateofHire]],TODAY(),"Y"),DATEDIF(HRDataset_v14[[#This Row],[DateofHire]],HRDataset_v14[[#This Row],[DateofTermination]],"Y"))</f>
        <v>15</v>
      </c>
      <c r="AP101" t="str">
        <f ca="1">IF(HRDataset_v14[[#This Row],[Tenure in Years
]]&lt;1,"0-1 Year",IF(HRDataset_v14[[#This Row],[Tenure in Years
]]&lt;3,"1-3 Years",IF(HRDataset_v14[[#This Row],[Tenure in Years
]]&lt;5,"3-5 Years",IF(HRDataset_v14[[#This Row],[Tenure in Years
]]&lt;10,"5-10 Years","10+ Years"))))</f>
        <v>10+ Years</v>
      </c>
      <c r="AQ101" t="str">
        <f ca="1">IF(HRDataset_v14[[#This Row],[Age Calculation
]]&lt;26,"18-25",IF(HRDataset_v14[[#This Row],[Age Calculation
]]&lt;36,"26-35",IF(HRDataset_v14[[#This Row],[Age Calculation
]]&lt;46,"36-45",IF(HRDataset_v14[[#This Row],[Age Calculation
]]&lt;56,"46-55","55+"))))</f>
        <v>55+</v>
      </c>
      <c r="AR101" t="str">
        <f>IF(HRDataset_v14[[#This Row],[Salary]]&lt;40000,"Entry (&lt;40K)",IF(HRDataset_v14[[#This Row],[Salary]]&lt;70000,"Mid (40-70K)",IF(HRDataset_v14[[#This Row],[Salary]]&lt;100000,"Senior (70-100K)","Executive (100K+)")))</f>
        <v>Mid (40-70K)</v>
      </c>
      <c r="AS101">
        <f>IF(HRDataset_v14[[#This Row],[EmploymentStatus]]="Active",1,0)</f>
        <v>1</v>
      </c>
      <c r="AT101">
        <f>YEAR(HRDataset_v14[[#This Row],[DateofHire]])</f>
        <v>2010</v>
      </c>
      <c r="AU101">
        <f>MONTH(HRDataset_v14[[#This Row],[DateofHire]])</f>
        <v>5</v>
      </c>
      <c r="AV101" t="str">
        <f>"Q"&amp;ROUNDUP(MONTH(HRDataset_v14[[#This Row],[DateofHire]])/3,0)</f>
        <v>Q2</v>
      </c>
      <c r="AW101" t="str">
        <f>TEXT(HRDataset_v14[[#This Row],[DateofHire]],"MMM")</f>
        <v>May</v>
      </c>
      <c r="AX101" t="str">
        <f>TEXT(HRDataset_v14[[#This Row],[DateofHire]],"YYYY-MM")</f>
        <v>2010-05</v>
      </c>
      <c r="AY101" t="str">
        <f>IF(ISBLANK(HRDataset_v14[[#This Row],[DateofTermination]]),"N/A",YEAR(HRDataset_v14[[#This Row],[DateofTermination]]))</f>
        <v>N/A</v>
      </c>
      <c r="AZ101" t="str" cm="1">
        <f t="array" ref="AZ101">INDEX(_xlfn.UNIQUE(Z101:Z411),MATCH(MAX(COUNTIF(Z101:Z411,_xlfn.UNIQUE(Z101:Z411))),COUNTIF(Z101:Z411,_xlfn.UNIQUE(Z101:Z411)),0))</f>
        <v xml:space="preserve">Production       </v>
      </c>
      <c r="BA101">
        <f t="shared" si="16"/>
        <v>0</v>
      </c>
      <c r="BB101">
        <f t="shared" si="17"/>
        <v>0</v>
      </c>
      <c r="BC101" t="str">
        <f t="shared" si="12"/>
        <v>Medium</v>
      </c>
      <c r="BD101">
        <f t="shared" si="13"/>
        <v>4.7</v>
      </c>
      <c r="BE101" t="str">
        <f t="shared" si="14"/>
        <v/>
      </c>
      <c r="BF101">
        <f>COUNTIF(R:R,"Single")</f>
        <v>137</v>
      </c>
      <c r="BT101">
        <f t="shared" si="15"/>
        <v>4.7</v>
      </c>
      <c r="BV101">
        <v>4.0999999999999996</v>
      </c>
      <c r="BW101">
        <v>5</v>
      </c>
    </row>
    <row r="102" spans="1:75" x14ac:dyDescent="0.3">
      <c r="A102" t="s">
        <v>306</v>
      </c>
      <c r="B102">
        <v>10111</v>
      </c>
      <c r="C102">
        <v>0</v>
      </c>
      <c r="D102">
        <v>0</v>
      </c>
      <c r="E102">
        <v>1</v>
      </c>
      <c r="F102">
        <v>1</v>
      </c>
      <c r="G102">
        <v>5</v>
      </c>
      <c r="H102">
        <v>3</v>
      </c>
      <c r="I102">
        <v>0</v>
      </c>
      <c r="J102">
        <v>52249</v>
      </c>
      <c r="K102">
        <v>0</v>
      </c>
      <c r="L102">
        <v>19</v>
      </c>
      <c r="M102" t="s">
        <v>37</v>
      </c>
      <c r="N102" t="s">
        <v>38</v>
      </c>
      <c r="O102">
        <v>1905</v>
      </c>
      <c r="P102">
        <v>31305</v>
      </c>
      <c r="Q102" t="s">
        <v>39</v>
      </c>
      <c r="R102" t="s">
        <v>40</v>
      </c>
      <c r="S102" t="s">
        <v>41</v>
      </c>
      <c r="T102" t="s">
        <v>100</v>
      </c>
      <c r="U102" t="s">
        <v>43</v>
      </c>
      <c r="V102">
        <v>42093</v>
      </c>
      <c r="X102" t="s">
        <v>44</v>
      </c>
      <c r="Y102" t="s">
        <v>45</v>
      </c>
      <c r="Z102" t="s">
        <v>46</v>
      </c>
      <c r="AA102" t="s">
        <v>102</v>
      </c>
      <c r="AB102">
        <v>14</v>
      </c>
      <c r="AC102" t="s">
        <v>88</v>
      </c>
      <c r="AD102" t="s">
        <v>60</v>
      </c>
      <c r="AE102">
        <v>4.5</v>
      </c>
      <c r="AF102">
        <v>3</v>
      </c>
      <c r="AG102">
        <v>0</v>
      </c>
      <c r="AH102" t="s">
        <v>98</v>
      </c>
      <c r="AI102">
        <v>0</v>
      </c>
      <c r="AJ102">
        <v>5</v>
      </c>
      <c r="AK102" t="str">
        <f t="shared" si="10"/>
        <v>Normal</v>
      </c>
      <c r="AL102" t="str">
        <f t="shared" si="11"/>
        <v>low Outlier</v>
      </c>
      <c r="AM102">
        <f ca="1">INT((TODAY()-HRDataset_v14[[#This Row],[DOB]])/365.25)</f>
        <v>40</v>
      </c>
      <c r="AN102">
        <f ca="1">DATEDIF(HRDataset_v14[[#This Row],[DateofHire]],TODAY(),"Y")</f>
        <v>11</v>
      </c>
      <c r="AO102">
        <f ca="1">IF(ISBLANK(HRDataset_v14[[#This Row],[DateofTermination]]),DATEDIF(HRDataset_v14[[#This Row],[DateofHire]],TODAY(),"Y"),DATEDIF(HRDataset_v14[[#This Row],[DateofHire]],HRDataset_v14[[#This Row],[DateofTermination]],"Y"))</f>
        <v>11</v>
      </c>
      <c r="AP102" t="str">
        <f ca="1">IF(HRDataset_v14[[#This Row],[Tenure in Years
]]&lt;1,"0-1 Year",IF(HRDataset_v14[[#This Row],[Tenure in Years
]]&lt;3,"1-3 Years",IF(HRDataset_v14[[#This Row],[Tenure in Years
]]&lt;5,"3-5 Years",IF(HRDataset_v14[[#This Row],[Tenure in Years
]]&lt;10,"5-10 Years","10+ Years"))))</f>
        <v>10+ Years</v>
      </c>
      <c r="AQ102" t="str">
        <f ca="1">IF(HRDataset_v14[[#This Row],[Age Calculation
]]&lt;26,"18-25",IF(HRDataset_v14[[#This Row],[Age Calculation
]]&lt;36,"26-35",IF(HRDataset_v14[[#This Row],[Age Calculation
]]&lt;46,"36-45",IF(HRDataset_v14[[#This Row],[Age Calculation
]]&lt;56,"46-55","55+"))))</f>
        <v>36-45</v>
      </c>
      <c r="AR102" t="str">
        <f>IF(HRDataset_v14[[#This Row],[Salary]]&lt;40000,"Entry (&lt;40K)",IF(HRDataset_v14[[#This Row],[Salary]]&lt;70000,"Mid (40-70K)",IF(HRDataset_v14[[#This Row],[Salary]]&lt;100000,"Senior (70-100K)","Executive (100K+)")))</f>
        <v>Mid (40-70K)</v>
      </c>
      <c r="AS102">
        <f>IF(HRDataset_v14[[#This Row],[EmploymentStatus]]="Active",1,0)</f>
        <v>1</v>
      </c>
      <c r="AT102">
        <f>YEAR(HRDataset_v14[[#This Row],[DateofHire]])</f>
        <v>2015</v>
      </c>
      <c r="AU102">
        <f>MONTH(HRDataset_v14[[#This Row],[DateofHire]])</f>
        <v>3</v>
      </c>
      <c r="AV102" t="str">
        <f>"Q"&amp;ROUNDUP(MONTH(HRDataset_v14[[#This Row],[DateofHire]])/3,0)</f>
        <v>Q1</v>
      </c>
      <c r="AW102" t="str">
        <f>TEXT(HRDataset_v14[[#This Row],[DateofHire]],"MMM")</f>
        <v>Mar</v>
      </c>
      <c r="AX102" t="str">
        <f>TEXT(HRDataset_v14[[#This Row],[DateofHire]],"YYYY-MM")</f>
        <v>2015-03</v>
      </c>
      <c r="AY102" t="str">
        <f>IF(ISBLANK(HRDataset_v14[[#This Row],[DateofTermination]]),"N/A",YEAR(HRDataset_v14[[#This Row],[DateofTermination]]))</f>
        <v>N/A</v>
      </c>
      <c r="AZ102" t="str" cm="1">
        <f t="array" ref="AZ102">INDEX(_xlfn.UNIQUE(Z102:Z412),MATCH(MAX(COUNTIF(Z102:Z412,_xlfn.UNIQUE(Z102:Z412))),COUNTIF(Z102:Z412,_xlfn.UNIQUE(Z102:Z412)),0))</f>
        <v xml:space="preserve">Production       </v>
      </c>
      <c r="BA102">
        <f t="shared" si="16"/>
        <v>18.75</v>
      </c>
      <c r="BB102">
        <f t="shared" si="17"/>
        <v>0</v>
      </c>
      <c r="BC102" t="str">
        <f t="shared" si="12"/>
        <v>Medium</v>
      </c>
      <c r="BD102">
        <f t="shared" si="13"/>
        <v>4.5</v>
      </c>
      <c r="BE102" t="str">
        <f t="shared" si="14"/>
        <v/>
      </c>
      <c r="BF102" t="s">
        <v>692</v>
      </c>
      <c r="BT102">
        <f t="shared" si="15"/>
        <v>4.5</v>
      </c>
      <c r="BV102">
        <v>4.3</v>
      </c>
      <c r="BW102">
        <v>3.6</v>
      </c>
    </row>
    <row r="103" spans="1:75" x14ac:dyDescent="0.3">
      <c r="A103" t="s">
        <v>307</v>
      </c>
      <c r="B103">
        <v>10257</v>
      </c>
      <c r="C103">
        <v>0</v>
      </c>
      <c r="D103">
        <v>0</v>
      </c>
      <c r="E103">
        <v>0</v>
      </c>
      <c r="F103">
        <v>1</v>
      </c>
      <c r="G103">
        <v>5</v>
      </c>
      <c r="H103">
        <v>3</v>
      </c>
      <c r="I103">
        <v>0</v>
      </c>
      <c r="J103">
        <v>53171</v>
      </c>
      <c r="K103">
        <v>0</v>
      </c>
      <c r="L103">
        <v>19</v>
      </c>
      <c r="M103" t="s">
        <v>37</v>
      </c>
      <c r="N103" t="s">
        <v>38</v>
      </c>
      <c r="O103">
        <v>2121</v>
      </c>
      <c r="P103">
        <v>30652</v>
      </c>
      <c r="Q103" t="s">
        <v>64</v>
      </c>
      <c r="R103" t="s">
        <v>40</v>
      </c>
      <c r="S103" t="s">
        <v>41</v>
      </c>
      <c r="T103" t="s">
        <v>100</v>
      </c>
      <c r="U103" t="s">
        <v>91</v>
      </c>
      <c r="V103">
        <v>40679</v>
      </c>
      <c r="X103" t="s">
        <v>44</v>
      </c>
      <c r="Y103" t="s">
        <v>45</v>
      </c>
      <c r="Z103" t="s">
        <v>46</v>
      </c>
      <c r="AA103" t="s">
        <v>113</v>
      </c>
      <c r="AB103">
        <v>18</v>
      </c>
      <c r="AC103" t="s">
        <v>48</v>
      </c>
      <c r="AD103" t="s">
        <v>60</v>
      </c>
      <c r="AE103">
        <v>4.2</v>
      </c>
      <c r="AF103">
        <v>4</v>
      </c>
      <c r="AG103">
        <v>0</v>
      </c>
      <c r="AH103" t="s">
        <v>308</v>
      </c>
      <c r="AI103">
        <v>0</v>
      </c>
      <c r="AJ103">
        <v>12</v>
      </c>
      <c r="AK103" t="str">
        <f t="shared" si="10"/>
        <v>Normal</v>
      </c>
      <c r="AL103" t="str">
        <f t="shared" si="11"/>
        <v>low Outlier</v>
      </c>
      <c r="AM103">
        <f ca="1">INT((TODAY()-HRDataset_v14[[#This Row],[DOB]])/365.25)</f>
        <v>42</v>
      </c>
      <c r="AN103">
        <f ca="1">DATEDIF(HRDataset_v14[[#This Row],[DateofHire]],TODAY(),"Y")</f>
        <v>14</v>
      </c>
      <c r="AO103">
        <f ca="1">IF(ISBLANK(HRDataset_v14[[#This Row],[DateofTermination]]),DATEDIF(HRDataset_v14[[#This Row],[DateofHire]],TODAY(),"Y"),DATEDIF(HRDataset_v14[[#This Row],[DateofHire]],HRDataset_v14[[#This Row],[DateofTermination]],"Y"))</f>
        <v>14</v>
      </c>
      <c r="AP103" t="str">
        <f ca="1">IF(HRDataset_v14[[#This Row],[Tenure in Years
]]&lt;1,"0-1 Year",IF(HRDataset_v14[[#This Row],[Tenure in Years
]]&lt;3,"1-3 Years",IF(HRDataset_v14[[#This Row],[Tenure in Years
]]&lt;5,"3-5 Years",IF(HRDataset_v14[[#This Row],[Tenure in Years
]]&lt;10,"5-10 Years","10+ Years"))))</f>
        <v>10+ Years</v>
      </c>
      <c r="AQ103" t="str">
        <f ca="1">IF(HRDataset_v14[[#This Row],[Age Calculation
]]&lt;26,"18-25",IF(HRDataset_v14[[#This Row],[Age Calculation
]]&lt;36,"26-35",IF(HRDataset_v14[[#This Row],[Age Calculation
]]&lt;46,"36-45",IF(HRDataset_v14[[#This Row],[Age Calculation
]]&lt;56,"46-55","55+"))))</f>
        <v>36-45</v>
      </c>
      <c r="AR103" t="str">
        <f>IF(HRDataset_v14[[#This Row],[Salary]]&lt;40000,"Entry (&lt;40K)",IF(HRDataset_v14[[#This Row],[Salary]]&lt;70000,"Mid (40-70K)",IF(HRDataset_v14[[#This Row],[Salary]]&lt;100000,"Senior (70-100K)","Executive (100K+)")))</f>
        <v>Mid (40-70K)</v>
      </c>
      <c r="AS103">
        <f>IF(HRDataset_v14[[#This Row],[EmploymentStatus]]="Active",1,0)</f>
        <v>1</v>
      </c>
      <c r="AT103">
        <f>YEAR(HRDataset_v14[[#This Row],[DateofHire]])</f>
        <v>2011</v>
      </c>
      <c r="AU103">
        <f>MONTH(HRDataset_v14[[#This Row],[DateofHire]])</f>
        <v>5</v>
      </c>
      <c r="AV103" t="str">
        <f>"Q"&amp;ROUNDUP(MONTH(HRDataset_v14[[#This Row],[DateofHire]])/3,0)</f>
        <v>Q2</v>
      </c>
      <c r="AW103" t="str">
        <f>TEXT(HRDataset_v14[[#This Row],[DateofHire]],"MMM")</f>
        <v>May</v>
      </c>
      <c r="AX103" t="str">
        <f>TEXT(HRDataset_v14[[#This Row],[DateofHire]],"YYYY-MM")</f>
        <v>2011-05</v>
      </c>
      <c r="AY103" t="str">
        <f>IF(ISBLANK(HRDataset_v14[[#This Row],[DateofTermination]]),"N/A",YEAR(HRDataset_v14[[#This Row],[DateofTermination]]))</f>
        <v>N/A</v>
      </c>
      <c r="AZ103" t="str" cm="1">
        <f t="array" ref="AZ103">INDEX(_xlfn.UNIQUE(Z103:Z413),MATCH(MAX(COUNTIF(Z103:Z413,_xlfn.UNIQUE(Z103:Z413))),COUNTIF(Z103:Z413,_xlfn.UNIQUE(Z103:Z413)),0))</f>
        <v xml:space="preserve">Production       </v>
      </c>
      <c r="BA103">
        <f t="shared" si="16"/>
        <v>28.571428571428569</v>
      </c>
      <c r="BB103">
        <f t="shared" si="17"/>
        <v>0</v>
      </c>
      <c r="BC103" t="str">
        <f t="shared" si="12"/>
        <v>Medium</v>
      </c>
      <c r="BD103">
        <f t="shared" si="13"/>
        <v>4.2</v>
      </c>
      <c r="BE103" t="str">
        <f t="shared" si="14"/>
        <v/>
      </c>
      <c r="BF103">
        <f>COUNTIF(R:R,"Married")</f>
        <v>124</v>
      </c>
      <c r="BI103" t="s">
        <v>718</v>
      </c>
      <c r="BT103">
        <f t="shared" si="15"/>
        <v>4.2</v>
      </c>
      <c r="BV103">
        <v>4.5999999999999996</v>
      </c>
      <c r="BW103">
        <v>4.3</v>
      </c>
    </row>
    <row r="104" spans="1:75" x14ac:dyDescent="0.3">
      <c r="A104" t="s">
        <v>309</v>
      </c>
      <c r="B104">
        <v>10159</v>
      </c>
      <c r="C104">
        <v>1</v>
      </c>
      <c r="D104">
        <v>1</v>
      </c>
      <c r="E104">
        <v>0</v>
      </c>
      <c r="F104">
        <v>1</v>
      </c>
      <c r="G104">
        <v>5</v>
      </c>
      <c r="H104">
        <v>3</v>
      </c>
      <c r="I104">
        <v>0</v>
      </c>
      <c r="J104">
        <v>51337</v>
      </c>
      <c r="K104">
        <v>0</v>
      </c>
      <c r="L104">
        <v>19</v>
      </c>
      <c r="M104" t="s">
        <v>37</v>
      </c>
      <c r="N104" t="s">
        <v>38</v>
      </c>
      <c r="O104">
        <v>2145</v>
      </c>
      <c r="P104">
        <v>33147</v>
      </c>
      <c r="Q104" t="s">
        <v>64</v>
      </c>
      <c r="R104" t="s">
        <v>53</v>
      </c>
      <c r="S104" t="s">
        <v>41</v>
      </c>
      <c r="T104" t="s">
        <v>42</v>
      </c>
      <c r="U104" t="s">
        <v>91</v>
      </c>
      <c r="V104">
        <v>42093</v>
      </c>
      <c r="X104" t="s">
        <v>44</v>
      </c>
      <c r="Y104" t="s">
        <v>45</v>
      </c>
      <c r="Z104" t="s">
        <v>46</v>
      </c>
      <c r="AA104" t="s">
        <v>47</v>
      </c>
      <c r="AB104">
        <v>22</v>
      </c>
      <c r="AC104" t="s">
        <v>48</v>
      </c>
      <c r="AD104" t="s">
        <v>60</v>
      </c>
      <c r="AE104">
        <v>3.73</v>
      </c>
      <c r="AF104">
        <v>3</v>
      </c>
      <c r="AG104">
        <v>0</v>
      </c>
      <c r="AH104" t="s">
        <v>310</v>
      </c>
      <c r="AI104">
        <v>0</v>
      </c>
      <c r="AJ104">
        <v>19</v>
      </c>
      <c r="AK104" t="str">
        <f t="shared" si="10"/>
        <v>Normal</v>
      </c>
      <c r="AL104" t="str">
        <f t="shared" si="11"/>
        <v>low Outlier</v>
      </c>
      <c r="AM104">
        <f ca="1">INT((TODAY()-HRDataset_v14[[#This Row],[DOB]])/365.25)</f>
        <v>35</v>
      </c>
      <c r="AN104">
        <f ca="1">DATEDIF(HRDataset_v14[[#This Row],[DateofHire]],TODAY(),"Y")</f>
        <v>11</v>
      </c>
      <c r="AO104">
        <f ca="1">IF(ISBLANK(HRDataset_v14[[#This Row],[DateofTermination]]),DATEDIF(HRDataset_v14[[#This Row],[DateofHire]],TODAY(),"Y"),DATEDIF(HRDataset_v14[[#This Row],[DateofHire]],HRDataset_v14[[#This Row],[DateofTermination]],"Y"))</f>
        <v>11</v>
      </c>
      <c r="AP104" t="str">
        <f ca="1">IF(HRDataset_v14[[#This Row],[Tenure in Years
]]&lt;1,"0-1 Year",IF(HRDataset_v14[[#This Row],[Tenure in Years
]]&lt;3,"1-3 Years",IF(HRDataset_v14[[#This Row],[Tenure in Years
]]&lt;5,"3-5 Years",IF(HRDataset_v14[[#This Row],[Tenure in Years
]]&lt;10,"5-10 Years","10+ Years"))))</f>
        <v>10+ Years</v>
      </c>
      <c r="AQ104" t="str">
        <f ca="1">IF(HRDataset_v14[[#This Row],[Age Calculation
]]&lt;26,"18-25",IF(HRDataset_v14[[#This Row],[Age Calculation
]]&lt;36,"26-35",IF(HRDataset_v14[[#This Row],[Age Calculation
]]&lt;46,"36-45",IF(HRDataset_v14[[#This Row],[Age Calculation
]]&lt;56,"46-55","55+"))))</f>
        <v>26-35</v>
      </c>
      <c r="AR104" t="str">
        <f>IF(HRDataset_v14[[#This Row],[Salary]]&lt;40000,"Entry (&lt;40K)",IF(HRDataset_v14[[#This Row],[Salary]]&lt;70000,"Mid (40-70K)",IF(HRDataset_v14[[#This Row],[Salary]]&lt;100000,"Senior (70-100K)","Executive (100K+)")))</f>
        <v>Mid (40-70K)</v>
      </c>
      <c r="AS104">
        <f>IF(HRDataset_v14[[#This Row],[EmploymentStatus]]="Active",1,0)</f>
        <v>1</v>
      </c>
      <c r="AT104">
        <f>YEAR(HRDataset_v14[[#This Row],[DateofHire]])</f>
        <v>2015</v>
      </c>
      <c r="AU104">
        <f>MONTH(HRDataset_v14[[#This Row],[DateofHire]])</f>
        <v>3</v>
      </c>
      <c r="AV104" t="str">
        <f>"Q"&amp;ROUNDUP(MONTH(HRDataset_v14[[#This Row],[DateofHire]])/3,0)</f>
        <v>Q1</v>
      </c>
      <c r="AW104" t="str">
        <f>TEXT(HRDataset_v14[[#This Row],[DateofHire]],"MMM")</f>
        <v>Mar</v>
      </c>
      <c r="AX104" t="str">
        <f>TEXT(HRDataset_v14[[#This Row],[DateofHire]],"YYYY-MM")</f>
        <v>2015-03</v>
      </c>
      <c r="AY104" t="str">
        <f>IF(ISBLANK(HRDataset_v14[[#This Row],[DateofTermination]]),"N/A",YEAR(HRDataset_v14[[#This Row],[DateofTermination]]))</f>
        <v>N/A</v>
      </c>
      <c r="AZ104" t="str" cm="1">
        <f t="array" ref="AZ104">INDEX(_xlfn.UNIQUE(Z104:Z414),MATCH(MAX(COUNTIF(Z104:Z414,_xlfn.UNIQUE(Z104:Z414))),COUNTIF(Z104:Z414,_xlfn.UNIQUE(Z104:Z414)),0))</f>
        <v xml:space="preserve">Production       </v>
      </c>
      <c r="BA104">
        <f t="shared" si="16"/>
        <v>46.666666666666664</v>
      </c>
      <c r="BB104">
        <f t="shared" si="17"/>
        <v>0</v>
      </c>
      <c r="BC104" t="str">
        <f t="shared" si="12"/>
        <v>Medium</v>
      </c>
      <c r="BD104">
        <f t="shared" si="13"/>
        <v>3.73</v>
      </c>
      <c r="BE104" t="str">
        <f t="shared" si="14"/>
        <v/>
      </c>
      <c r="BF104" t="s">
        <v>72</v>
      </c>
      <c r="BT104">
        <f t="shared" si="15"/>
        <v>3.73</v>
      </c>
      <c r="BV104">
        <v>5</v>
      </c>
      <c r="BW104">
        <v>5</v>
      </c>
    </row>
    <row r="105" spans="1:75" x14ac:dyDescent="0.3">
      <c r="A105" t="s">
        <v>311</v>
      </c>
      <c r="B105">
        <v>10122</v>
      </c>
      <c r="C105">
        <v>0</v>
      </c>
      <c r="D105">
        <v>2</v>
      </c>
      <c r="E105">
        <v>0</v>
      </c>
      <c r="F105">
        <v>5</v>
      </c>
      <c r="G105">
        <v>5</v>
      </c>
      <c r="H105">
        <v>3</v>
      </c>
      <c r="I105">
        <v>1</v>
      </c>
      <c r="J105">
        <v>51505</v>
      </c>
      <c r="K105">
        <v>1</v>
      </c>
      <c r="L105">
        <v>19</v>
      </c>
      <c r="M105" t="s">
        <v>37</v>
      </c>
      <c r="N105" t="s">
        <v>38</v>
      </c>
      <c r="O105">
        <v>2330</v>
      </c>
      <c r="P105">
        <v>25703</v>
      </c>
      <c r="Q105" t="s">
        <v>64</v>
      </c>
      <c r="R105" t="s">
        <v>72</v>
      </c>
      <c r="S105" t="s">
        <v>41</v>
      </c>
      <c r="T105" t="s">
        <v>42</v>
      </c>
      <c r="U105" t="s">
        <v>91</v>
      </c>
      <c r="V105">
        <v>40854</v>
      </c>
      <c r="W105">
        <v>42689</v>
      </c>
      <c r="X105" t="s">
        <v>65</v>
      </c>
      <c r="Y105" t="s">
        <v>56</v>
      </c>
      <c r="Z105" t="s">
        <v>46</v>
      </c>
      <c r="AA105" t="s">
        <v>69</v>
      </c>
      <c r="AB105">
        <v>16</v>
      </c>
      <c r="AC105" t="s">
        <v>93</v>
      </c>
      <c r="AD105" t="s">
        <v>60</v>
      </c>
      <c r="AE105">
        <v>4.24</v>
      </c>
      <c r="AF105">
        <v>4</v>
      </c>
      <c r="AG105">
        <v>0</v>
      </c>
      <c r="AH105" t="s">
        <v>312</v>
      </c>
      <c r="AI105">
        <v>0</v>
      </c>
      <c r="AJ105">
        <v>2</v>
      </c>
      <c r="AK105" t="str">
        <f t="shared" si="10"/>
        <v>Normal</v>
      </c>
      <c r="AL105" t="str">
        <f t="shared" si="11"/>
        <v>low Outlier</v>
      </c>
      <c r="AM105">
        <f ca="1">INT((TODAY()-HRDataset_v14[[#This Row],[DOB]])/365.25)</f>
        <v>55</v>
      </c>
      <c r="AN105">
        <f ca="1">DATEDIF(HRDataset_v14[[#This Row],[DateofHire]],TODAY(),"Y")</f>
        <v>14</v>
      </c>
      <c r="AO105">
        <f ca="1">IF(ISBLANK(HRDataset_v14[[#This Row],[DateofTermination]]),DATEDIF(HRDataset_v14[[#This Row],[DateofHire]],TODAY(),"Y"),DATEDIF(HRDataset_v14[[#This Row],[DateofHire]],HRDataset_v14[[#This Row],[DateofTermination]],"Y"))</f>
        <v>5</v>
      </c>
      <c r="AP105" t="str">
        <f ca="1">IF(HRDataset_v14[[#This Row],[Tenure in Years
]]&lt;1,"0-1 Year",IF(HRDataset_v14[[#This Row],[Tenure in Years
]]&lt;3,"1-3 Years",IF(HRDataset_v14[[#This Row],[Tenure in Years
]]&lt;5,"3-5 Years",IF(HRDataset_v14[[#This Row],[Tenure in Years
]]&lt;10,"5-10 Years","10+ Years"))))</f>
        <v>10+ Years</v>
      </c>
      <c r="AQ105" t="str">
        <f ca="1">IF(HRDataset_v14[[#This Row],[Age Calculation
]]&lt;26,"18-25",IF(HRDataset_v14[[#This Row],[Age Calculation
]]&lt;36,"26-35",IF(HRDataset_v14[[#This Row],[Age Calculation
]]&lt;46,"36-45",IF(HRDataset_v14[[#This Row],[Age Calculation
]]&lt;56,"46-55","55+"))))</f>
        <v>46-55</v>
      </c>
      <c r="AR105" t="str">
        <f>IF(HRDataset_v14[[#This Row],[Salary]]&lt;40000,"Entry (&lt;40K)",IF(HRDataset_v14[[#This Row],[Salary]]&lt;70000,"Mid (40-70K)",IF(HRDataset_v14[[#This Row],[Salary]]&lt;100000,"Senior (70-100K)","Executive (100K+)")))</f>
        <v>Mid (40-70K)</v>
      </c>
      <c r="AS105">
        <f>IF(HRDataset_v14[[#This Row],[EmploymentStatus]]="Active",1,0)</f>
        <v>0</v>
      </c>
      <c r="AT105">
        <f>YEAR(HRDataset_v14[[#This Row],[DateofHire]])</f>
        <v>2011</v>
      </c>
      <c r="AU105">
        <f>MONTH(HRDataset_v14[[#This Row],[DateofHire]])</f>
        <v>11</v>
      </c>
      <c r="AV105" t="str">
        <f>"Q"&amp;ROUNDUP(MONTH(HRDataset_v14[[#This Row],[DateofHire]])/3,0)</f>
        <v>Q4</v>
      </c>
      <c r="AW105" t="str">
        <f>TEXT(HRDataset_v14[[#This Row],[DateofHire]],"MMM")</f>
        <v>Nov</v>
      </c>
      <c r="AX105" t="str">
        <f>TEXT(HRDataset_v14[[#This Row],[DateofHire]],"YYYY-MM")</f>
        <v>2011-11</v>
      </c>
      <c r="AY105">
        <f>IF(ISBLANK(HRDataset_v14[[#This Row],[DateofTermination]]),"N/A",YEAR(HRDataset_v14[[#This Row],[DateofTermination]]))</f>
        <v>2016</v>
      </c>
      <c r="AZ105" t="str" cm="1">
        <f t="array" ref="AZ105">INDEX(_xlfn.UNIQUE(Z105:Z415),MATCH(MAX(COUNTIF(Z105:Z415,_xlfn.UNIQUE(Z105:Z415))),COUNTIF(Z105:Z415,_xlfn.UNIQUE(Z105:Z415)),0))</f>
        <v xml:space="preserve">Production       </v>
      </c>
      <c r="BA105">
        <f t="shared" si="16"/>
        <v>40</v>
      </c>
      <c r="BB105">
        <f t="shared" si="17"/>
        <v>6</v>
      </c>
      <c r="BC105" t="str">
        <f t="shared" si="12"/>
        <v>Medium</v>
      </c>
      <c r="BD105" t="str">
        <f t="shared" si="13"/>
        <v/>
      </c>
      <c r="BE105">
        <f t="shared" si="14"/>
        <v>4.24</v>
      </c>
      <c r="BF105">
        <f>COUNTIF(R:R,"Divorced")</f>
        <v>30</v>
      </c>
      <c r="BT105" t="str">
        <f t="shared" si="15"/>
        <v/>
      </c>
      <c r="BV105">
        <v>3.75</v>
      </c>
      <c r="BW105">
        <v>3.2</v>
      </c>
    </row>
    <row r="106" spans="1:75" x14ac:dyDescent="0.3">
      <c r="A106" t="s">
        <v>313</v>
      </c>
      <c r="B106">
        <v>10142</v>
      </c>
      <c r="C106">
        <v>0</v>
      </c>
      <c r="D106">
        <v>4</v>
      </c>
      <c r="E106">
        <v>0</v>
      </c>
      <c r="F106">
        <v>4</v>
      </c>
      <c r="G106">
        <v>6</v>
      </c>
      <c r="H106">
        <v>3</v>
      </c>
      <c r="I106">
        <v>0</v>
      </c>
      <c r="J106">
        <v>59370</v>
      </c>
      <c r="K106">
        <v>1</v>
      </c>
      <c r="L106">
        <v>3</v>
      </c>
      <c r="M106" t="s">
        <v>169</v>
      </c>
      <c r="N106" t="s">
        <v>314</v>
      </c>
      <c r="O106">
        <v>43050</v>
      </c>
      <c r="P106">
        <v>26124</v>
      </c>
      <c r="Q106" t="s">
        <v>64</v>
      </c>
      <c r="R106" t="s">
        <v>86</v>
      </c>
      <c r="S106" t="s">
        <v>41</v>
      </c>
      <c r="T106" t="s">
        <v>42</v>
      </c>
      <c r="U106" t="s">
        <v>91</v>
      </c>
      <c r="V106">
        <v>41827</v>
      </c>
      <c r="W106">
        <v>42252</v>
      </c>
      <c r="X106" t="s">
        <v>120</v>
      </c>
      <c r="Y106" t="s">
        <v>121</v>
      </c>
      <c r="Z106" t="s">
        <v>171</v>
      </c>
      <c r="AA106" t="s">
        <v>172</v>
      </c>
      <c r="AB106">
        <v>17</v>
      </c>
      <c r="AC106" t="s">
        <v>140</v>
      </c>
      <c r="AD106" t="s">
        <v>60</v>
      </c>
      <c r="AE106">
        <v>3.97</v>
      </c>
      <c r="AF106">
        <v>4</v>
      </c>
      <c r="AG106">
        <v>0</v>
      </c>
      <c r="AH106" t="s">
        <v>315</v>
      </c>
      <c r="AI106">
        <v>0</v>
      </c>
      <c r="AJ106">
        <v>7</v>
      </c>
      <c r="AK106" t="str">
        <f t="shared" si="10"/>
        <v>Normal</v>
      </c>
      <c r="AL106" t="str">
        <f t="shared" si="11"/>
        <v>low Outlier</v>
      </c>
      <c r="AM106">
        <f ca="1">INT((TODAY()-HRDataset_v14[[#This Row],[DOB]])/365.25)</f>
        <v>54</v>
      </c>
      <c r="AN106">
        <f ca="1">DATEDIF(HRDataset_v14[[#This Row],[DateofHire]],TODAY(),"Y")</f>
        <v>11</v>
      </c>
      <c r="AO106">
        <f ca="1">IF(ISBLANK(HRDataset_v14[[#This Row],[DateofTermination]]),DATEDIF(HRDataset_v14[[#This Row],[DateofHire]],TODAY(),"Y"),DATEDIF(HRDataset_v14[[#This Row],[DateofHire]],HRDataset_v14[[#This Row],[DateofTermination]],"Y"))</f>
        <v>1</v>
      </c>
      <c r="AP106" t="str">
        <f ca="1">IF(HRDataset_v14[[#This Row],[Tenure in Years
]]&lt;1,"0-1 Year",IF(HRDataset_v14[[#This Row],[Tenure in Years
]]&lt;3,"1-3 Years",IF(HRDataset_v14[[#This Row],[Tenure in Years
]]&lt;5,"3-5 Years",IF(HRDataset_v14[[#This Row],[Tenure in Years
]]&lt;10,"5-10 Years","10+ Years"))))</f>
        <v>10+ Years</v>
      </c>
      <c r="AQ106" t="str">
        <f ca="1">IF(HRDataset_v14[[#This Row],[Age Calculation
]]&lt;26,"18-25",IF(HRDataset_v14[[#This Row],[Age Calculation
]]&lt;36,"26-35",IF(HRDataset_v14[[#This Row],[Age Calculation
]]&lt;46,"36-45",IF(HRDataset_v14[[#This Row],[Age Calculation
]]&lt;56,"46-55","55+"))))</f>
        <v>46-55</v>
      </c>
      <c r="AR106" t="str">
        <f>IF(HRDataset_v14[[#This Row],[Salary]]&lt;40000,"Entry (&lt;40K)",IF(HRDataset_v14[[#This Row],[Salary]]&lt;70000,"Mid (40-70K)",IF(HRDataset_v14[[#This Row],[Salary]]&lt;100000,"Senior (70-100K)","Executive (100K+)")))</f>
        <v>Mid (40-70K)</v>
      </c>
      <c r="AS106">
        <f>IF(HRDataset_v14[[#This Row],[EmploymentStatus]]="Active",1,0)</f>
        <v>0</v>
      </c>
      <c r="AT106">
        <f>YEAR(HRDataset_v14[[#This Row],[DateofHire]])</f>
        <v>2014</v>
      </c>
      <c r="AU106">
        <f>MONTH(HRDataset_v14[[#This Row],[DateofHire]])</f>
        <v>7</v>
      </c>
      <c r="AV106" t="str">
        <f>"Q"&amp;ROUNDUP(MONTH(HRDataset_v14[[#This Row],[DateofHire]])/3,0)</f>
        <v>Q3</v>
      </c>
      <c r="AW106" t="str">
        <f>TEXT(HRDataset_v14[[#This Row],[DateofHire]],"MMM")</f>
        <v>Jul</v>
      </c>
      <c r="AX106" t="str">
        <f>TEXT(HRDataset_v14[[#This Row],[DateofHire]],"YYYY-MM")</f>
        <v>2014-07</v>
      </c>
      <c r="AY106">
        <f>IF(ISBLANK(HRDataset_v14[[#This Row],[DateofTermination]]),"N/A",YEAR(HRDataset_v14[[#This Row],[DateofTermination]]))</f>
        <v>2015</v>
      </c>
      <c r="AZ106" t="str" cm="1">
        <f t="array" ref="AZ106">INDEX(_xlfn.UNIQUE(Z106:Z416),MATCH(MAX(COUNTIF(Z106:Z416,_xlfn.UNIQUE(Z106:Z416))),COUNTIF(Z106:Z416,_xlfn.UNIQUE(Z106:Z416)),0))</f>
        <v xml:space="preserve">Production       </v>
      </c>
      <c r="BA106">
        <f t="shared" si="16"/>
        <v>20</v>
      </c>
      <c r="BB106">
        <f t="shared" si="17"/>
        <v>4</v>
      </c>
      <c r="BC106" t="str">
        <f t="shared" si="12"/>
        <v>Medium</v>
      </c>
      <c r="BD106" t="str">
        <f t="shared" si="13"/>
        <v/>
      </c>
      <c r="BE106">
        <f t="shared" si="14"/>
        <v>3.97</v>
      </c>
      <c r="BF106" t="s">
        <v>693</v>
      </c>
      <c r="BT106" t="str">
        <f t="shared" si="15"/>
        <v/>
      </c>
      <c r="BV106">
        <v>4.3</v>
      </c>
    </row>
    <row r="107" spans="1:75" x14ac:dyDescent="0.3">
      <c r="A107" t="s">
        <v>316</v>
      </c>
      <c r="B107">
        <v>10283</v>
      </c>
      <c r="C107">
        <v>1</v>
      </c>
      <c r="D107">
        <v>1</v>
      </c>
      <c r="E107">
        <v>1</v>
      </c>
      <c r="F107">
        <v>5</v>
      </c>
      <c r="G107">
        <v>5</v>
      </c>
      <c r="H107">
        <v>2</v>
      </c>
      <c r="I107">
        <v>1</v>
      </c>
      <c r="J107">
        <v>54933</v>
      </c>
      <c r="K107">
        <v>1</v>
      </c>
      <c r="L107">
        <v>19</v>
      </c>
      <c r="M107" t="s">
        <v>37</v>
      </c>
      <c r="N107" t="s">
        <v>38</v>
      </c>
      <c r="O107">
        <v>2062</v>
      </c>
      <c r="P107">
        <v>27250</v>
      </c>
      <c r="Q107" t="s">
        <v>39</v>
      </c>
      <c r="R107" t="s">
        <v>53</v>
      </c>
      <c r="S107" t="s">
        <v>41</v>
      </c>
      <c r="T107" t="s">
        <v>42</v>
      </c>
      <c r="U107" t="s">
        <v>91</v>
      </c>
      <c r="V107">
        <v>41001</v>
      </c>
      <c r="W107">
        <v>42180</v>
      </c>
      <c r="X107" t="s">
        <v>270</v>
      </c>
      <c r="Y107" t="s">
        <v>56</v>
      </c>
      <c r="Z107" t="s">
        <v>46</v>
      </c>
      <c r="AA107" t="s">
        <v>74</v>
      </c>
      <c r="AB107">
        <v>39</v>
      </c>
      <c r="AC107" t="s">
        <v>93</v>
      </c>
      <c r="AD107" t="s">
        <v>141</v>
      </c>
      <c r="AE107">
        <v>3.97</v>
      </c>
      <c r="AF107">
        <v>4</v>
      </c>
      <c r="AG107">
        <v>0</v>
      </c>
      <c r="AH107" t="s">
        <v>317</v>
      </c>
      <c r="AI107">
        <v>3</v>
      </c>
      <c r="AJ107">
        <v>15</v>
      </c>
      <c r="AK107" t="str">
        <f t="shared" si="10"/>
        <v>Normal</v>
      </c>
      <c r="AL107" t="str">
        <f t="shared" si="11"/>
        <v>low Outlier</v>
      </c>
      <c r="AM107">
        <f ca="1">INT((TODAY()-HRDataset_v14[[#This Row],[DOB]])/365.25)</f>
        <v>51</v>
      </c>
      <c r="AN107">
        <f ca="1">DATEDIF(HRDataset_v14[[#This Row],[DateofHire]],TODAY(),"Y")</f>
        <v>14</v>
      </c>
      <c r="AO107">
        <f ca="1">IF(ISBLANK(HRDataset_v14[[#This Row],[DateofTermination]]),DATEDIF(HRDataset_v14[[#This Row],[DateofHire]],TODAY(),"Y"),DATEDIF(HRDataset_v14[[#This Row],[DateofHire]],HRDataset_v14[[#This Row],[DateofTermination]],"Y"))</f>
        <v>3</v>
      </c>
      <c r="AP107" t="str">
        <f ca="1">IF(HRDataset_v14[[#This Row],[Tenure in Years
]]&lt;1,"0-1 Year",IF(HRDataset_v14[[#This Row],[Tenure in Years
]]&lt;3,"1-3 Years",IF(HRDataset_v14[[#This Row],[Tenure in Years
]]&lt;5,"3-5 Years",IF(HRDataset_v14[[#This Row],[Tenure in Years
]]&lt;10,"5-10 Years","10+ Years"))))</f>
        <v>10+ Years</v>
      </c>
      <c r="AQ107" t="str">
        <f ca="1">IF(HRDataset_v14[[#This Row],[Age Calculation
]]&lt;26,"18-25",IF(HRDataset_v14[[#This Row],[Age Calculation
]]&lt;36,"26-35",IF(HRDataset_v14[[#This Row],[Age Calculation
]]&lt;46,"36-45",IF(HRDataset_v14[[#This Row],[Age Calculation
]]&lt;56,"46-55","55+"))))</f>
        <v>46-55</v>
      </c>
      <c r="AR107" t="str">
        <f>IF(HRDataset_v14[[#This Row],[Salary]]&lt;40000,"Entry (&lt;40K)",IF(HRDataset_v14[[#This Row],[Salary]]&lt;70000,"Mid (40-70K)",IF(HRDataset_v14[[#This Row],[Salary]]&lt;100000,"Senior (70-100K)","Executive (100K+)")))</f>
        <v>Mid (40-70K)</v>
      </c>
      <c r="AS107">
        <f>IF(HRDataset_v14[[#This Row],[EmploymentStatus]]="Active",1,0)</f>
        <v>0</v>
      </c>
      <c r="AT107">
        <f>YEAR(HRDataset_v14[[#This Row],[DateofHire]])</f>
        <v>2012</v>
      </c>
      <c r="AU107">
        <f>MONTH(HRDataset_v14[[#This Row],[DateofHire]])</f>
        <v>4</v>
      </c>
      <c r="AV107" t="str">
        <f>"Q"&amp;ROUNDUP(MONTH(HRDataset_v14[[#This Row],[DateofHire]])/3,0)</f>
        <v>Q2</v>
      </c>
      <c r="AW107" t="str">
        <f>TEXT(HRDataset_v14[[#This Row],[DateofHire]],"MMM")</f>
        <v>Apr</v>
      </c>
      <c r="AX107" t="str">
        <f>TEXT(HRDataset_v14[[#This Row],[DateofHire]],"YYYY-MM")</f>
        <v>2012-04</v>
      </c>
      <c r="AY107">
        <f>IF(ISBLANK(HRDataset_v14[[#This Row],[DateofTermination]]),"N/A",YEAR(HRDataset_v14[[#This Row],[DateofTermination]]))</f>
        <v>2015</v>
      </c>
      <c r="AZ107" t="str" cm="1">
        <f t="array" ref="AZ107">INDEX(_xlfn.UNIQUE(Z107:Z417),MATCH(MAX(COUNTIF(Z107:Z417,_xlfn.UNIQUE(Z107:Z417))),COUNTIF(Z107:Z417,_xlfn.UNIQUE(Z107:Z417)),0))</f>
        <v xml:space="preserve">Production       </v>
      </c>
      <c r="BA107">
        <f t="shared" si="16"/>
        <v>71.428571428571431</v>
      </c>
      <c r="BB107">
        <f t="shared" si="17"/>
        <v>2</v>
      </c>
      <c r="BC107" t="str">
        <f t="shared" si="12"/>
        <v>High</v>
      </c>
      <c r="BD107" t="str">
        <f t="shared" si="13"/>
        <v/>
      </c>
      <c r="BE107">
        <f t="shared" si="14"/>
        <v>3.97</v>
      </c>
      <c r="BF107">
        <f>COUNTIF(R:R,"Widowed")</f>
        <v>8</v>
      </c>
      <c r="BT107" t="str">
        <f t="shared" si="15"/>
        <v/>
      </c>
      <c r="BV107">
        <v>3.07</v>
      </c>
    </row>
    <row r="108" spans="1:75" x14ac:dyDescent="0.3">
      <c r="A108" t="s">
        <v>318</v>
      </c>
      <c r="B108">
        <v>10018</v>
      </c>
      <c r="C108">
        <v>0</v>
      </c>
      <c r="D108">
        <v>0</v>
      </c>
      <c r="E108">
        <v>0</v>
      </c>
      <c r="F108">
        <v>1</v>
      </c>
      <c r="G108">
        <v>5</v>
      </c>
      <c r="H108">
        <v>4</v>
      </c>
      <c r="I108">
        <v>0</v>
      </c>
      <c r="J108">
        <v>57815</v>
      </c>
      <c r="K108">
        <v>0</v>
      </c>
      <c r="L108">
        <v>19</v>
      </c>
      <c r="M108" t="s">
        <v>37</v>
      </c>
      <c r="N108" t="s">
        <v>38</v>
      </c>
      <c r="O108">
        <v>2451</v>
      </c>
      <c r="P108">
        <v>29349</v>
      </c>
      <c r="Q108" t="s">
        <v>64</v>
      </c>
      <c r="R108" t="s">
        <v>40</v>
      </c>
      <c r="S108" t="s">
        <v>41</v>
      </c>
      <c r="T108" t="s">
        <v>100</v>
      </c>
      <c r="U108" t="s">
        <v>111</v>
      </c>
      <c r="V108">
        <v>41911</v>
      </c>
      <c r="X108" t="s">
        <v>44</v>
      </c>
      <c r="Y108" t="s">
        <v>45</v>
      </c>
      <c r="Z108" t="s">
        <v>46</v>
      </c>
      <c r="AA108" t="s">
        <v>78</v>
      </c>
      <c r="AB108">
        <v>11</v>
      </c>
      <c r="AC108" t="s">
        <v>59</v>
      </c>
      <c r="AD108" t="s">
        <v>49</v>
      </c>
      <c r="AE108">
        <v>3.9</v>
      </c>
      <c r="AF108">
        <v>4</v>
      </c>
      <c r="AG108">
        <v>0</v>
      </c>
      <c r="AH108" t="s">
        <v>319</v>
      </c>
      <c r="AI108">
        <v>0</v>
      </c>
      <c r="AJ108">
        <v>3</v>
      </c>
      <c r="AK108" t="str">
        <f t="shared" si="10"/>
        <v>Normal</v>
      </c>
      <c r="AL108" t="str">
        <f t="shared" si="11"/>
        <v>low Outlier</v>
      </c>
      <c r="AM108">
        <f ca="1">INT((TODAY()-HRDataset_v14[[#This Row],[DOB]])/365.25)</f>
        <v>45</v>
      </c>
      <c r="AN108">
        <f ca="1">DATEDIF(HRDataset_v14[[#This Row],[DateofHire]],TODAY(),"Y")</f>
        <v>11</v>
      </c>
      <c r="AO108">
        <f ca="1">IF(ISBLANK(HRDataset_v14[[#This Row],[DateofTermination]]),DATEDIF(HRDataset_v14[[#This Row],[DateofHire]],TODAY(),"Y"),DATEDIF(HRDataset_v14[[#This Row],[DateofHire]],HRDataset_v14[[#This Row],[DateofTermination]],"Y"))</f>
        <v>11</v>
      </c>
      <c r="AP108" t="str">
        <f ca="1">IF(HRDataset_v14[[#This Row],[Tenure in Years
]]&lt;1,"0-1 Year",IF(HRDataset_v14[[#This Row],[Tenure in Years
]]&lt;3,"1-3 Years",IF(HRDataset_v14[[#This Row],[Tenure in Years
]]&lt;5,"3-5 Years",IF(HRDataset_v14[[#This Row],[Tenure in Years
]]&lt;10,"5-10 Years","10+ Years"))))</f>
        <v>10+ Years</v>
      </c>
      <c r="AQ108" t="str">
        <f ca="1">IF(HRDataset_v14[[#This Row],[Age Calculation
]]&lt;26,"18-25",IF(HRDataset_v14[[#This Row],[Age Calculation
]]&lt;36,"26-35",IF(HRDataset_v14[[#This Row],[Age Calculation
]]&lt;46,"36-45",IF(HRDataset_v14[[#This Row],[Age Calculation
]]&lt;56,"46-55","55+"))))</f>
        <v>36-45</v>
      </c>
      <c r="AR108" t="str">
        <f>IF(HRDataset_v14[[#This Row],[Salary]]&lt;40000,"Entry (&lt;40K)",IF(HRDataset_v14[[#This Row],[Salary]]&lt;70000,"Mid (40-70K)",IF(HRDataset_v14[[#This Row],[Salary]]&lt;100000,"Senior (70-100K)","Executive (100K+)")))</f>
        <v>Mid (40-70K)</v>
      </c>
      <c r="AS108">
        <f>IF(HRDataset_v14[[#This Row],[EmploymentStatus]]="Active",1,0)</f>
        <v>1</v>
      </c>
      <c r="AT108">
        <f>YEAR(HRDataset_v14[[#This Row],[DateofHire]])</f>
        <v>2014</v>
      </c>
      <c r="AU108">
        <f>MONTH(HRDataset_v14[[#This Row],[DateofHire]])</f>
        <v>9</v>
      </c>
      <c r="AV108" t="str">
        <f>"Q"&amp;ROUNDUP(MONTH(HRDataset_v14[[#This Row],[DateofHire]])/3,0)</f>
        <v>Q3</v>
      </c>
      <c r="AW108" t="str">
        <f>TEXT(HRDataset_v14[[#This Row],[DateofHire]],"MMM")</f>
        <v>Sep</v>
      </c>
      <c r="AX108" t="str">
        <f>TEXT(HRDataset_v14[[#This Row],[DateofHire]],"YYYY-MM")</f>
        <v>2014-09</v>
      </c>
      <c r="AY108" t="str">
        <f>IF(ISBLANK(HRDataset_v14[[#This Row],[DateofTermination]]),"N/A",YEAR(HRDataset_v14[[#This Row],[DateofTermination]]))</f>
        <v>N/A</v>
      </c>
      <c r="AZ108" t="str" cm="1">
        <f t="array" ref="AZ108">INDEX(_xlfn.UNIQUE(Z108:Z418),MATCH(MAX(COUNTIF(Z108:Z418,_xlfn.UNIQUE(Z108:Z418))),COUNTIF(Z108:Z418,_xlfn.UNIQUE(Z108:Z418)),0))</f>
        <v xml:space="preserve">Production       </v>
      </c>
      <c r="BA108">
        <f t="shared" si="16"/>
        <v>78.571428571428569</v>
      </c>
      <c r="BB108">
        <f t="shared" si="17"/>
        <v>0</v>
      </c>
      <c r="BC108" t="str">
        <f t="shared" si="12"/>
        <v>Medium</v>
      </c>
      <c r="BD108">
        <f t="shared" si="13"/>
        <v>3.9</v>
      </c>
      <c r="BE108" t="str">
        <f t="shared" si="14"/>
        <v/>
      </c>
      <c r="BT108">
        <f t="shared" si="15"/>
        <v>3.9</v>
      </c>
      <c r="BV108">
        <v>4.3</v>
      </c>
    </row>
    <row r="109" spans="1:75" x14ac:dyDescent="0.3">
      <c r="A109" t="s">
        <v>320</v>
      </c>
      <c r="B109">
        <v>10255</v>
      </c>
      <c r="C109">
        <v>0</v>
      </c>
      <c r="D109">
        <v>0</v>
      </c>
      <c r="E109">
        <v>0</v>
      </c>
      <c r="F109">
        <v>1</v>
      </c>
      <c r="G109">
        <v>6</v>
      </c>
      <c r="H109">
        <v>3</v>
      </c>
      <c r="I109">
        <v>0</v>
      </c>
      <c r="J109">
        <v>61555</v>
      </c>
      <c r="K109">
        <v>0</v>
      </c>
      <c r="L109">
        <v>3</v>
      </c>
      <c r="M109" t="s">
        <v>169</v>
      </c>
      <c r="N109" t="s">
        <v>321</v>
      </c>
      <c r="O109">
        <v>46204</v>
      </c>
      <c r="P109">
        <v>32773</v>
      </c>
      <c r="Q109" t="s">
        <v>64</v>
      </c>
      <c r="R109" t="s">
        <v>40</v>
      </c>
      <c r="S109" t="s">
        <v>41</v>
      </c>
      <c r="T109" t="s">
        <v>42</v>
      </c>
      <c r="U109" t="s">
        <v>43</v>
      </c>
      <c r="V109">
        <v>42051</v>
      </c>
      <c r="X109" t="s">
        <v>44</v>
      </c>
      <c r="Y109" t="s">
        <v>45</v>
      </c>
      <c r="Z109" t="s">
        <v>171</v>
      </c>
      <c r="AA109" t="s">
        <v>197</v>
      </c>
      <c r="AB109">
        <v>21</v>
      </c>
      <c r="AC109" t="s">
        <v>59</v>
      </c>
      <c r="AD109" t="s">
        <v>60</v>
      </c>
      <c r="AE109">
        <v>4.5</v>
      </c>
      <c r="AF109">
        <v>5</v>
      </c>
      <c r="AG109">
        <v>0</v>
      </c>
      <c r="AH109" t="s">
        <v>94</v>
      </c>
      <c r="AI109">
        <v>0</v>
      </c>
      <c r="AJ109">
        <v>20</v>
      </c>
      <c r="AK109" t="str">
        <f t="shared" si="10"/>
        <v>Normal</v>
      </c>
      <c r="AL109" t="str">
        <f t="shared" si="11"/>
        <v>low Outlier</v>
      </c>
      <c r="AM109">
        <f ca="1">INT((TODAY()-HRDataset_v14[[#This Row],[DOB]])/365.25)</f>
        <v>36</v>
      </c>
      <c r="AN109">
        <f ca="1">DATEDIF(HRDataset_v14[[#This Row],[DateofHire]],TODAY(),"Y")</f>
        <v>11</v>
      </c>
      <c r="AO109">
        <f ca="1">IF(ISBLANK(HRDataset_v14[[#This Row],[DateofTermination]]),DATEDIF(HRDataset_v14[[#This Row],[DateofHire]],TODAY(),"Y"),DATEDIF(HRDataset_v14[[#This Row],[DateofHire]],HRDataset_v14[[#This Row],[DateofTermination]],"Y"))</f>
        <v>11</v>
      </c>
      <c r="AP109" t="str">
        <f ca="1">IF(HRDataset_v14[[#This Row],[Tenure in Years
]]&lt;1,"0-1 Year",IF(HRDataset_v14[[#This Row],[Tenure in Years
]]&lt;3,"1-3 Years",IF(HRDataset_v14[[#This Row],[Tenure in Years
]]&lt;5,"3-5 Years",IF(HRDataset_v14[[#This Row],[Tenure in Years
]]&lt;10,"5-10 Years","10+ Years"))))</f>
        <v>10+ Years</v>
      </c>
      <c r="AQ109" t="str">
        <f ca="1">IF(HRDataset_v14[[#This Row],[Age Calculation
]]&lt;26,"18-25",IF(HRDataset_v14[[#This Row],[Age Calculation
]]&lt;36,"26-35",IF(HRDataset_v14[[#This Row],[Age Calculation
]]&lt;46,"36-45",IF(HRDataset_v14[[#This Row],[Age Calculation
]]&lt;56,"46-55","55+"))))</f>
        <v>36-45</v>
      </c>
      <c r="AR109" t="str">
        <f>IF(HRDataset_v14[[#This Row],[Salary]]&lt;40000,"Entry (&lt;40K)",IF(HRDataset_v14[[#This Row],[Salary]]&lt;70000,"Mid (40-70K)",IF(HRDataset_v14[[#This Row],[Salary]]&lt;100000,"Senior (70-100K)","Executive (100K+)")))</f>
        <v>Mid (40-70K)</v>
      </c>
      <c r="AS109">
        <f>IF(HRDataset_v14[[#This Row],[EmploymentStatus]]="Active",1,0)</f>
        <v>1</v>
      </c>
      <c r="AT109">
        <f>YEAR(HRDataset_v14[[#This Row],[DateofHire]])</f>
        <v>2015</v>
      </c>
      <c r="AU109">
        <f>MONTH(HRDataset_v14[[#This Row],[DateofHire]])</f>
        <v>2</v>
      </c>
      <c r="AV109" t="str">
        <f>"Q"&amp;ROUNDUP(MONTH(HRDataset_v14[[#This Row],[DateofHire]])/3,0)</f>
        <v>Q1</v>
      </c>
      <c r="AW109" t="str">
        <f>TEXT(HRDataset_v14[[#This Row],[DateofHire]],"MMM")</f>
        <v>Feb</v>
      </c>
      <c r="AX109" t="str">
        <f>TEXT(HRDataset_v14[[#This Row],[DateofHire]],"YYYY-MM")</f>
        <v>2015-02</v>
      </c>
      <c r="AY109" t="str">
        <f>IF(ISBLANK(HRDataset_v14[[#This Row],[DateofTermination]]),"N/A",YEAR(HRDataset_v14[[#This Row],[DateofTermination]]))</f>
        <v>N/A</v>
      </c>
      <c r="AZ109" t="str" cm="1">
        <f t="array" ref="AZ109">INDEX(_xlfn.UNIQUE(Z109:Z419),MATCH(MAX(COUNTIF(Z109:Z419,_xlfn.UNIQUE(Z109:Z419))),COUNTIF(Z109:Z419,_xlfn.UNIQUE(Z109:Z419)),0))</f>
        <v xml:space="preserve">Production       </v>
      </c>
      <c r="BA109">
        <f t="shared" si="16"/>
        <v>0</v>
      </c>
      <c r="BB109">
        <f t="shared" si="17"/>
        <v>0</v>
      </c>
      <c r="BC109" t="str">
        <f t="shared" si="12"/>
        <v>Medium</v>
      </c>
      <c r="BD109">
        <f t="shared" si="13"/>
        <v>4.5</v>
      </c>
      <c r="BE109" t="str">
        <f t="shared" si="14"/>
        <v/>
      </c>
      <c r="BF109" t="s">
        <v>694</v>
      </c>
      <c r="BT109">
        <f t="shared" si="15"/>
        <v>4.5</v>
      </c>
      <c r="BV109">
        <v>4.83</v>
      </c>
    </row>
    <row r="110" spans="1:75" x14ac:dyDescent="0.3">
      <c r="A110" t="s">
        <v>322</v>
      </c>
      <c r="B110">
        <v>10246</v>
      </c>
      <c r="C110">
        <v>0</v>
      </c>
      <c r="D110">
        <v>0</v>
      </c>
      <c r="E110">
        <v>0</v>
      </c>
      <c r="F110">
        <v>4</v>
      </c>
      <c r="G110">
        <v>3</v>
      </c>
      <c r="H110">
        <v>3</v>
      </c>
      <c r="I110">
        <v>0</v>
      </c>
      <c r="J110">
        <v>114800</v>
      </c>
      <c r="K110">
        <v>1</v>
      </c>
      <c r="L110">
        <v>8</v>
      </c>
      <c r="M110" t="s">
        <v>128</v>
      </c>
      <c r="N110" t="s">
        <v>38</v>
      </c>
      <c r="O110">
        <v>2127</v>
      </c>
      <c r="P110">
        <v>26229</v>
      </c>
      <c r="Q110" t="s">
        <v>64</v>
      </c>
      <c r="R110" t="s">
        <v>40</v>
      </c>
      <c r="S110" t="s">
        <v>41</v>
      </c>
      <c r="T110" t="s">
        <v>42</v>
      </c>
      <c r="U110" t="s">
        <v>43</v>
      </c>
      <c r="V110">
        <v>42051</v>
      </c>
      <c r="W110">
        <v>42078</v>
      </c>
      <c r="X110" t="s">
        <v>279</v>
      </c>
      <c r="Y110" t="s">
        <v>121</v>
      </c>
      <c r="Z110" t="s">
        <v>57</v>
      </c>
      <c r="AA110" t="s">
        <v>58</v>
      </c>
      <c r="AB110">
        <v>4</v>
      </c>
      <c r="AC110" t="s">
        <v>59</v>
      </c>
      <c r="AD110" t="s">
        <v>60</v>
      </c>
      <c r="AE110">
        <v>4.5999999999999996</v>
      </c>
      <c r="AF110">
        <v>4</v>
      </c>
      <c r="AG110">
        <v>4</v>
      </c>
      <c r="AH110" t="s">
        <v>317</v>
      </c>
      <c r="AI110">
        <v>0</v>
      </c>
      <c r="AJ110">
        <v>10</v>
      </c>
      <c r="AK110" t="str">
        <f t="shared" si="10"/>
        <v>Normal</v>
      </c>
      <c r="AL110" t="str">
        <f t="shared" si="11"/>
        <v>low Outlier</v>
      </c>
      <c r="AM110">
        <f ca="1">INT((TODAY()-HRDataset_v14[[#This Row],[DOB]])/365.25)</f>
        <v>54</v>
      </c>
      <c r="AN110">
        <f ca="1">DATEDIF(HRDataset_v14[[#This Row],[DateofHire]],TODAY(),"Y")</f>
        <v>11</v>
      </c>
      <c r="AO110">
        <f ca="1">IF(ISBLANK(HRDataset_v14[[#This Row],[DateofTermination]]),DATEDIF(HRDataset_v14[[#This Row],[DateofHire]],TODAY(),"Y"),DATEDIF(HRDataset_v14[[#This Row],[DateofHire]],HRDataset_v14[[#This Row],[DateofTermination]],"Y"))</f>
        <v>0</v>
      </c>
      <c r="AP110" t="str">
        <f ca="1">IF(HRDataset_v14[[#This Row],[Tenure in Years
]]&lt;1,"0-1 Year",IF(HRDataset_v14[[#This Row],[Tenure in Years
]]&lt;3,"1-3 Years",IF(HRDataset_v14[[#This Row],[Tenure in Years
]]&lt;5,"3-5 Years",IF(HRDataset_v14[[#This Row],[Tenure in Years
]]&lt;10,"5-10 Years","10+ Years"))))</f>
        <v>10+ Years</v>
      </c>
      <c r="AQ110" t="str">
        <f ca="1">IF(HRDataset_v14[[#This Row],[Age Calculation
]]&lt;26,"18-25",IF(HRDataset_v14[[#This Row],[Age Calculation
]]&lt;36,"26-35",IF(HRDataset_v14[[#This Row],[Age Calculation
]]&lt;46,"36-45",IF(HRDataset_v14[[#This Row],[Age Calculation
]]&lt;56,"46-55","55+"))))</f>
        <v>46-55</v>
      </c>
      <c r="AR110" t="str">
        <f>IF(HRDataset_v14[[#This Row],[Salary]]&lt;40000,"Entry (&lt;40K)",IF(HRDataset_v14[[#This Row],[Salary]]&lt;70000,"Mid (40-70K)",IF(HRDataset_v14[[#This Row],[Salary]]&lt;100000,"Senior (70-100K)","Executive (100K+)")))</f>
        <v>Executive (100K+)</v>
      </c>
      <c r="AS110">
        <f>IF(HRDataset_v14[[#This Row],[EmploymentStatus]]="Active",1,0)</f>
        <v>0</v>
      </c>
      <c r="AT110">
        <f>YEAR(HRDataset_v14[[#This Row],[DateofHire]])</f>
        <v>2015</v>
      </c>
      <c r="AU110">
        <f>MONTH(HRDataset_v14[[#This Row],[DateofHire]])</f>
        <v>2</v>
      </c>
      <c r="AV110" t="str">
        <f>"Q"&amp;ROUNDUP(MONTH(HRDataset_v14[[#This Row],[DateofHire]])/3,0)</f>
        <v>Q1</v>
      </c>
      <c r="AW110" t="str">
        <f>TEXT(HRDataset_v14[[#This Row],[DateofHire]],"MMM")</f>
        <v>Feb</v>
      </c>
      <c r="AX110" t="str">
        <f>TEXT(HRDataset_v14[[#This Row],[DateofHire]],"YYYY-MM")</f>
        <v>2015-02</v>
      </c>
      <c r="AY110">
        <f>IF(ISBLANK(HRDataset_v14[[#This Row],[DateofTermination]]),"N/A",YEAR(HRDataset_v14[[#This Row],[DateofTermination]]))</f>
        <v>2015</v>
      </c>
      <c r="AZ110" t="str" cm="1">
        <f t="array" ref="AZ110">INDEX(_xlfn.UNIQUE(Z110:Z420),MATCH(MAX(COUNTIF(Z110:Z420,_xlfn.UNIQUE(Z110:Z420))),COUNTIF(Z110:Z420,_xlfn.UNIQUE(Z110:Z420)),0))</f>
        <v xml:space="preserve">Production       </v>
      </c>
      <c r="BA110">
        <f t="shared" si="16"/>
        <v>45.454545454545453</v>
      </c>
      <c r="BB110">
        <f t="shared" si="17"/>
        <v>3</v>
      </c>
      <c r="BC110" t="str">
        <f t="shared" si="12"/>
        <v>Medium</v>
      </c>
      <c r="BD110" t="str">
        <f t="shared" si="13"/>
        <v/>
      </c>
      <c r="BE110">
        <f t="shared" si="14"/>
        <v>4.5999999999999996</v>
      </c>
      <c r="BF110">
        <f>COUNTIFS(R:R,"Married",Z:Z,"Sales")</f>
        <v>10</v>
      </c>
      <c r="BT110" t="str">
        <f t="shared" si="15"/>
        <v/>
      </c>
      <c r="BV110">
        <v>3.1</v>
      </c>
    </row>
    <row r="111" spans="1:75" x14ac:dyDescent="0.3">
      <c r="A111" t="s">
        <v>323</v>
      </c>
      <c r="B111">
        <v>10228</v>
      </c>
      <c r="C111">
        <v>1</v>
      </c>
      <c r="D111">
        <v>1</v>
      </c>
      <c r="E111">
        <v>1</v>
      </c>
      <c r="F111">
        <v>1</v>
      </c>
      <c r="G111">
        <v>3</v>
      </c>
      <c r="H111">
        <v>3</v>
      </c>
      <c r="I111">
        <v>0</v>
      </c>
      <c r="J111">
        <v>74679</v>
      </c>
      <c r="K111">
        <v>0</v>
      </c>
      <c r="L111">
        <v>14</v>
      </c>
      <c r="M111" t="s">
        <v>96</v>
      </c>
      <c r="N111" t="s">
        <v>38</v>
      </c>
      <c r="O111">
        <v>2135</v>
      </c>
      <c r="P111">
        <v>32836</v>
      </c>
      <c r="Q111" t="s">
        <v>39</v>
      </c>
      <c r="R111" t="s">
        <v>53</v>
      </c>
      <c r="S111" t="s">
        <v>41</v>
      </c>
      <c r="T111" t="s">
        <v>100</v>
      </c>
      <c r="U111" t="s">
        <v>43</v>
      </c>
      <c r="V111">
        <v>42093</v>
      </c>
      <c r="X111" t="s">
        <v>44</v>
      </c>
      <c r="Y111" t="s">
        <v>45</v>
      </c>
      <c r="Z111" t="s">
        <v>57</v>
      </c>
      <c r="AA111" t="s">
        <v>97</v>
      </c>
      <c r="AB111">
        <v>7</v>
      </c>
      <c r="AC111" t="s">
        <v>48</v>
      </c>
      <c r="AD111" t="s">
        <v>60</v>
      </c>
      <c r="AE111">
        <v>4.3</v>
      </c>
      <c r="AF111">
        <v>5</v>
      </c>
      <c r="AG111">
        <v>7</v>
      </c>
      <c r="AH111" t="s">
        <v>136</v>
      </c>
      <c r="AI111">
        <v>0</v>
      </c>
      <c r="AJ111">
        <v>20</v>
      </c>
      <c r="AK111" t="str">
        <f t="shared" si="10"/>
        <v>Normal</v>
      </c>
      <c r="AL111" t="str">
        <f t="shared" si="11"/>
        <v>low Outlier</v>
      </c>
      <c r="AM111">
        <f ca="1">INT((TODAY()-HRDataset_v14[[#This Row],[DOB]])/365.25)</f>
        <v>36</v>
      </c>
      <c r="AN111">
        <f ca="1">DATEDIF(HRDataset_v14[[#This Row],[DateofHire]],TODAY(),"Y")</f>
        <v>11</v>
      </c>
      <c r="AO111">
        <f ca="1">IF(ISBLANK(HRDataset_v14[[#This Row],[DateofTermination]]),DATEDIF(HRDataset_v14[[#This Row],[DateofHire]],TODAY(),"Y"),DATEDIF(HRDataset_v14[[#This Row],[DateofHire]],HRDataset_v14[[#This Row],[DateofTermination]],"Y"))</f>
        <v>11</v>
      </c>
      <c r="AP111" t="str">
        <f ca="1">IF(HRDataset_v14[[#This Row],[Tenure in Years
]]&lt;1,"0-1 Year",IF(HRDataset_v14[[#This Row],[Tenure in Years
]]&lt;3,"1-3 Years",IF(HRDataset_v14[[#This Row],[Tenure in Years
]]&lt;5,"3-5 Years",IF(HRDataset_v14[[#This Row],[Tenure in Years
]]&lt;10,"5-10 Years","10+ Years"))))</f>
        <v>10+ Years</v>
      </c>
      <c r="AQ111" t="str">
        <f ca="1">IF(HRDataset_v14[[#This Row],[Age Calculation
]]&lt;26,"18-25",IF(HRDataset_v14[[#This Row],[Age Calculation
]]&lt;36,"26-35",IF(HRDataset_v14[[#This Row],[Age Calculation
]]&lt;46,"36-45",IF(HRDataset_v14[[#This Row],[Age Calculation
]]&lt;56,"46-55","55+"))))</f>
        <v>36-45</v>
      </c>
      <c r="AR111" t="str">
        <f>IF(HRDataset_v14[[#This Row],[Salary]]&lt;40000,"Entry (&lt;40K)",IF(HRDataset_v14[[#This Row],[Salary]]&lt;70000,"Mid (40-70K)",IF(HRDataset_v14[[#This Row],[Salary]]&lt;100000,"Senior (70-100K)","Executive (100K+)")))</f>
        <v>Senior (70-100K)</v>
      </c>
      <c r="AS111">
        <f>IF(HRDataset_v14[[#This Row],[EmploymentStatus]]="Active",1,0)</f>
        <v>1</v>
      </c>
      <c r="AT111">
        <f>YEAR(HRDataset_v14[[#This Row],[DateofHire]])</f>
        <v>2015</v>
      </c>
      <c r="AU111">
        <f>MONTH(HRDataset_v14[[#This Row],[DateofHire]])</f>
        <v>3</v>
      </c>
      <c r="AV111" t="str">
        <f>"Q"&amp;ROUNDUP(MONTH(HRDataset_v14[[#This Row],[DateofHire]])/3,0)</f>
        <v>Q1</v>
      </c>
      <c r="AW111" t="str">
        <f>TEXT(HRDataset_v14[[#This Row],[DateofHire]],"MMM")</f>
        <v>Mar</v>
      </c>
      <c r="AX111" t="str">
        <f>TEXT(HRDataset_v14[[#This Row],[DateofHire]],"YYYY-MM")</f>
        <v>2015-03</v>
      </c>
      <c r="AY111" t="str">
        <f>IF(ISBLANK(HRDataset_v14[[#This Row],[DateofTermination]]),"N/A",YEAR(HRDataset_v14[[#This Row],[DateofTermination]]))</f>
        <v>N/A</v>
      </c>
      <c r="AZ111" t="str" cm="1">
        <f t="array" ref="AZ111">INDEX(_xlfn.UNIQUE(Z111:Z421),MATCH(MAX(COUNTIF(Z111:Z421,_xlfn.UNIQUE(Z111:Z421))),COUNTIF(Z111:Z421,_xlfn.UNIQUE(Z111:Z421)),0))</f>
        <v xml:space="preserve">Production       </v>
      </c>
      <c r="BA111">
        <f t="shared" si="16"/>
        <v>11.111111111111111</v>
      </c>
      <c r="BB111">
        <f t="shared" si="17"/>
        <v>0</v>
      </c>
      <c r="BC111" t="str">
        <f t="shared" si="12"/>
        <v>Medium</v>
      </c>
      <c r="BD111">
        <f t="shared" si="13"/>
        <v>4.3</v>
      </c>
      <c r="BE111" t="str">
        <f t="shared" si="14"/>
        <v/>
      </c>
      <c r="BF111" t="s">
        <v>57</v>
      </c>
      <c r="BT111">
        <f t="shared" si="15"/>
        <v>4.3</v>
      </c>
      <c r="BV111">
        <v>3.38</v>
      </c>
    </row>
    <row r="112" spans="1:75" x14ac:dyDescent="0.3">
      <c r="A112" t="s">
        <v>324</v>
      </c>
      <c r="B112">
        <v>10243</v>
      </c>
      <c r="C112">
        <v>0</v>
      </c>
      <c r="D112">
        <v>0</v>
      </c>
      <c r="E112">
        <v>0</v>
      </c>
      <c r="F112">
        <v>1</v>
      </c>
      <c r="G112">
        <v>5</v>
      </c>
      <c r="H112">
        <v>3</v>
      </c>
      <c r="I112">
        <v>0</v>
      </c>
      <c r="J112">
        <v>53018</v>
      </c>
      <c r="K112">
        <v>0</v>
      </c>
      <c r="L112">
        <v>19</v>
      </c>
      <c r="M112" t="s">
        <v>37</v>
      </c>
      <c r="N112" t="s">
        <v>38</v>
      </c>
      <c r="O112">
        <v>2451</v>
      </c>
      <c r="P112">
        <v>33773</v>
      </c>
      <c r="Q112" t="s">
        <v>64</v>
      </c>
      <c r="R112" t="s">
        <v>40</v>
      </c>
      <c r="S112" t="s">
        <v>41</v>
      </c>
      <c r="T112" t="s">
        <v>100</v>
      </c>
      <c r="U112" t="s">
        <v>43</v>
      </c>
      <c r="V112">
        <v>41589</v>
      </c>
      <c r="X112" t="s">
        <v>44</v>
      </c>
      <c r="Y112" t="s">
        <v>45</v>
      </c>
      <c r="Z112" t="s">
        <v>46</v>
      </c>
      <c r="AA112" t="s">
        <v>87</v>
      </c>
      <c r="AB112">
        <v>19</v>
      </c>
      <c r="AC112" t="s">
        <v>59</v>
      </c>
      <c r="AD112" t="s">
        <v>60</v>
      </c>
      <c r="AE112">
        <v>4.3</v>
      </c>
      <c r="AF112">
        <v>5</v>
      </c>
      <c r="AG112">
        <v>0</v>
      </c>
      <c r="AH112" t="s">
        <v>98</v>
      </c>
      <c r="AI112">
        <v>0</v>
      </c>
      <c r="AJ112">
        <v>7</v>
      </c>
      <c r="AK112" t="str">
        <f t="shared" si="10"/>
        <v>Normal</v>
      </c>
      <c r="AL112" t="str">
        <f t="shared" si="11"/>
        <v>low Outlier</v>
      </c>
      <c r="AM112">
        <f ca="1">INT((TODAY()-HRDataset_v14[[#This Row],[DOB]])/365.25)</f>
        <v>33</v>
      </c>
      <c r="AN112">
        <f ca="1">DATEDIF(HRDataset_v14[[#This Row],[DateofHire]],TODAY(),"Y")</f>
        <v>12</v>
      </c>
      <c r="AO112">
        <f ca="1">IF(ISBLANK(HRDataset_v14[[#This Row],[DateofTermination]]),DATEDIF(HRDataset_v14[[#This Row],[DateofHire]],TODAY(),"Y"),DATEDIF(HRDataset_v14[[#This Row],[DateofHire]],HRDataset_v14[[#This Row],[DateofTermination]],"Y"))</f>
        <v>12</v>
      </c>
      <c r="AP112" t="str">
        <f ca="1">IF(HRDataset_v14[[#This Row],[Tenure in Years
]]&lt;1,"0-1 Year",IF(HRDataset_v14[[#This Row],[Tenure in Years
]]&lt;3,"1-3 Years",IF(HRDataset_v14[[#This Row],[Tenure in Years
]]&lt;5,"3-5 Years",IF(HRDataset_v14[[#This Row],[Tenure in Years
]]&lt;10,"5-10 Years","10+ Years"))))</f>
        <v>10+ Years</v>
      </c>
      <c r="AQ112" t="str">
        <f ca="1">IF(HRDataset_v14[[#This Row],[Age Calculation
]]&lt;26,"18-25",IF(HRDataset_v14[[#This Row],[Age Calculation
]]&lt;36,"26-35",IF(HRDataset_v14[[#This Row],[Age Calculation
]]&lt;46,"36-45",IF(HRDataset_v14[[#This Row],[Age Calculation
]]&lt;56,"46-55","55+"))))</f>
        <v>26-35</v>
      </c>
      <c r="AR112" t="str">
        <f>IF(HRDataset_v14[[#This Row],[Salary]]&lt;40000,"Entry (&lt;40K)",IF(HRDataset_v14[[#This Row],[Salary]]&lt;70000,"Mid (40-70K)",IF(HRDataset_v14[[#This Row],[Salary]]&lt;100000,"Senior (70-100K)","Executive (100K+)")))</f>
        <v>Mid (40-70K)</v>
      </c>
      <c r="AS112">
        <f>IF(HRDataset_v14[[#This Row],[EmploymentStatus]]="Active",1,0)</f>
        <v>1</v>
      </c>
      <c r="AT112">
        <f>YEAR(HRDataset_v14[[#This Row],[DateofHire]])</f>
        <v>2013</v>
      </c>
      <c r="AU112">
        <f>MONTH(HRDataset_v14[[#This Row],[DateofHire]])</f>
        <v>11</v>
      </c>
      <c r="AV112" t="str">
        <f>"Q"&amp;ROUNDUP(MONTH(HRDataset_v14[[#This Row],[DateofHire]])/3,0)</f>
        <v>Q4</v>
      </c>
      <c r="AW112" t="str">
        <f>TEXT(HRDataset_v14[[#This Row],[DateofHire]],"MMM")</f>
        <v>Nov</v>
      </c>
      <c r="AX112" t="str">
        <f>TEXT(HRDataset_v14[[#This Row],[DateofHire]],"YYYY-MM")</f>
        <v>2013-11</v>
      </c>
      <c r="AY112" t="str">
        <f>IF(ISBLANK(HRDataset_v14[[#This Row],[DateofTermination]]),"N/A",YEAR(HRDataset_v14[[#This Row],[DateofTermination]]))</f>
        <v>N/A</v>
      </c>
      <c r="AZ112" t="str" cm="1">
        <f t="array" ref="AZ112">INDEX(_xlfn.UNIQUE(Z112:Z422),MATCH(MAX(COUNTIF(Z112:Z422,_xlfn.UNIQUE(Z112:Z422))),COUNTIF(Z112:Z422,_xlfn.UNIQUE(Z112:Z422)),0))</f>
        <v xml:space="preserve">Production       </v>
      </c>
      <c r="BA112">
        <f t="shared" si="16"/>
        <v>28.571428571428569</v>
      </c>
      <c r="BB112">
        <f t="shared" si="17"/>
        <v>0</v>
      </c>
      <c r="BC112" t="str">
        <f t="shared" si="12"/>
        <v>Medium</v>
      </c>
      <c r="BD112">
        <f t="shared" si="13"/>
        <v>4.3</v>
      </c>
      <c r="BE112" t="str">
        <f t="shared" si="14"/>
        <v/>
      </c>
      <c r="BF112">
        <f>COUNTIFS(R:R,"Married",Z:Z,"IT/IS")</f>
        <v>23</v>
      </c>
      <c r="BT112">
        <f t="shared" si="15"/>
        <v>4.3</v>
      </c>
      <c r="BV112">
        <v>3.65</v>
      </c>
    </row>
    <row r="113" spans="1:74" x14ac:dyDescent="0.3">
      <c r="A113" t="s">
        <v>325</v>
      </c>
      <c r="B113">
        <v>10031</v>
      </c>
      <c r="C113">
        <v>0</v>
      </c>
      <c r="D113">
        <v>2</v>
      </c>
      <c r="E113">
        <v>1</v>
      </c>
      <c r="F113">
        <v>1</v>
      </c>
      <c r="G113">
        <v>5</v>
      </c>
      <c r="H113">
        <v>4</v>
      </c>
      <c r="I113">
        <v>1</v>
      </c>
      <c r="J113">
        <v>59892</v>
      </c>
      <c r="K113">
        <v>0</v>
      </c>
      <c r="L113">
        <v>19</v>
      </c>
      <c r="M113" t="s">
        <v>37</v>
      </c>
      <c r="N113" t="s">
        <v>38</v>
      </c>
      <c r="O113">
        <v>2108</v>
      </c>
      <c r="P113">
        <v>25475</v>
      </c>
      <c r="Q113" t="s">
        <v>39</v>
      </c>
      <c r="R113" t="s">
        <v>72</v>
      </c>
      <c r="S113" t="s">
        <v>41</v>
      </c>
      <c r="T113" t="s">
        <v>42</v>
      </c>
      <c r="U113" t="s">
        <v>91</v>
      </c>
      <c r="V113">
        <v>40735</v>
      </c>
      <c r="X113" t="s">
        <v>44</v>
      </c>
      <c r="Y113" t="s">
        <v>45</v>
      </c>
      <c r="Z113" t="s">
        <v>46</v>
      </c>
      <c r="AA113" t="s">
        <v>92</v>
      </c>
      <c r="AB113">
        <v>12</v>
      </c>
      <c r="AC113" t="s">
        <v>93</v>
      </c>
      <c r="AD113" t="s">
        <v>49</v>
      </c>
      <c r="AE113">
        <v>4.5</v>
      </c>
      <c r="AF113">
        <v>4</v>
      </c>
      <c r="AG113">
        <v>0</v>
      </c>
      <c r="AH113" t="s">
        <v>98</v>
      </c>
      <c r="AI113">
        <v>0</v>
      </c>
      <c r="AJ113">
        <v>1</v>
      </c>
      <c r="AK113" t="str">
        <f t="shared" si="10"/>
        <v>Normal</v>
      </c>
      <c r="AL113" t="str">
        <f t="shared" si="11"/>
        <v>low Outlier</v>
      </c>
      <c r="AM113">
        <f ca="1">INT((TODAY()-HRDataset_v14[[#This Row],[DOB]])/365.25)</f>
        <v>56</v>
      </c>
      <c r="AN113">
        <f ca="1">DATEDIF(HRDataset_v14[[#This Row],[DateofHire]],TODAY(),"Y")</f>
        <v>14</v>
      </c>
      <c r="AO113">
        <f ca="1">IF(ISBLANK(HRDataset_v14[[#This Row],[DateofTermination]]),DATEDIF(HRDataset_v14[[#This Row],[DateofHire]],TODAY(),"Y"),DATEDIF(HRDataset_v14[[#This Row],[DateofHire]],HRDataset_v14[[#This Row],[DateofTermination]],"Y"))</f>
        <v>14</v>
      </c>
      <c r="AP113" t="str">
        <f ca="1">IF(HRDataset_v14[[#This Row],[Tenure in Years
]]&lt;1,"0-1 Year",IF(HRDataset_v14[[#This Row],[Tenure in Years
]]&lt;3,"1-3 Years",IF(HRDataset_v14[[#This Row],[Tenure in Years
]]&lt;5,"3-5 Years",IF(HRDataset_v14[[#This Row],[Tenure in Years
]]&lt;10,"5-10 Years","10+ Years"))))</f>
        <v>10+ Years</v>
      </c>
      <c r="AQ113" t="str">
        <f ca="1">IF(HRDataset_v14[[#This Row],[Age Calculation
]]&lt;26,"18-25",IF(HRDataset_v14[[#This Row],[Age Calculation
]]&lt;36,"26-35",IF(HRDataset_v14[[#This Row],[Age Calculation
]]&lt;46,"36-45",IF(HRDataset_v14[[#This Row],[Age Calculation
]]&lt;56,"46-55","55+"))))</f>
        <v>55+</v>
      </c>
      <c r="AR113" t="str">
        <f>IF(HRDataset_v14[[#This Row],[Salary]]&lt;40000,"Entry (&lt;40K)",IF(HRDataset_v14[[#This Row],[Salary]]&lt;70000,"Mid (40-70K)",IF(HRDataset_v14[[#This Row],[Salary]]&lt;100000,"Senior (70-100K)","Executive (100K+)")))</f>
        <v>Mid (40-70K)</v>
      </c>
      <c r="AS113">
        <f>IF(HRDataset_v14[[#This Row],[EmploymentStatus]]="Active",1,0)</f>
        <v>1</v>
      </c>
      <c r="AT113">
        <f>YEAR(HRDataset_v14[[#This Row],[DateofHire]])</f>
        <v>2011</v>
      </c>
      <c r="AU113">
        <f>MONTH(HRDataset_v14[[#This Row],[DateofHire]])</f>
        <v>7</v>
      </c>
      <c r="AV113" t="str">
        <f>"Q"&amp;ROUNDUP(MONTH(HRDataset_v14[[#This Row],[DateofHire]])/3,0)</f>
        <v>Q3</v>
      </c>
      <c r="AW113" t="str">
        <f>TEXT(HRDataset_v14[[#This Row],[DateofHire]],"MMM")</f>
        <v>Jul</v>
      </c>
      <c r="AX113" t="str">
        <f>TEXT(HRDataset_v14[[#This Row],[DateofHire]],"YYYY-MM")</f>
        <v>2011-07</v>
      </c>
      <c r="AY113" t="str">
        <f>IF(ISBLANK(HRDataset_v14[[#This Row],[DateofTermination]]),"N/A",YEAR(HRDataset_v14[[#This Row],[DateofTermination]]))</f>
        <v>N/A</v>
      </c>
      <c r="AZ113" t="str" cm="1">
        <f t="array" ref="AZ113">INDEX(_xlfn.UNIQUE(Z113:Z423),MATCH(MAX(COUNTIF(Z113:Z423,_xlfn.UNIQUE(Z113:Z423))),COUNTIF(Z113:Z423,_xlfn.UNIQUE(Z113:Z423)),0))</f>
        <v xml:space="preserve">Production       </v>
      </c>
      <c r="BA113">
        <f t="shared" si="16"/>
        <v>33.333333333333329</v>
      </c>
      <c r="BB113">
        <f t="shared" si="17"/>
        <v>0</v>
      </c>
      <c r="BC113" t="str">
        <f t="shared" si="12"/>
        <v>Low</v>
      </c>
      <c r="BD113">
        <f t="shared" si="13"/>
        <v>4.5</v>
      </c>
      <c r="BE113" t="str">
        <f t="shared" si="14"/>
        <v/>
      </c>
      <c r="BF113" t="s">
        <v>696</v>
      </c>
      <c r="BT113">
        <f t="shared" si="15"/>
        <v>4.5</v>
      </c>
      <c r="BV113">
        <v>4.46</v>
      </c>
    </row>
    <row r="114" spans="1:74" x14ac:dyDescent="0.3">
      <c r="A114" t="s">
        <v>326</v>
      </c>
      <c r="B114">
        <v>10300</v>
      </c>
      <c r="C114">
        <v>1</v>
      </c>
      <c r="D114">
        <v>1</v>
      </c>
      <c r="E114">
        <v>1</v>
      </c>
      <c r="F114">
        <v>5</v>
      </c>
      <c r="G114">
        <v>5</v>
      </c>
      <c r="H114">
        <v>1</v>
      </c>
      <c r="I114">
        <v>1</v>
      </c>
      <c r="J114">
        <v>68898</v>
      </c>
      <c r="K114">
        <v>1</v>
      </c>
      <c r="L114">
        <v>20</v>
      </c>
      <c r="M114" t="s">
        <v>63</v>
      </c>
      <c r="N114" t="s">
        <v>38</v>
      </c>
      <c r="O114">
        <v>2128</v>
      </c>
      <c r="P114">
        <v>23662</v>
      </c>
      <c r="Q114" t="s">
        <v>39</v>
      </c>
      <c r="R114" t="s">
        <v>53</v>
      </c>
      <c r="S114" t="s">
        <v>41</v>
      </c>
      <c r="T114" t="s">
        <v>42</v>
      </c>
      <c r="U114" t="s">
        <v>91</v>
      </c>
      <c r="V114">
        <v>40294</v>
      </c>
      <c r="W114">
        <v>40693</v>
      </c>
      <c r="X114" t="s">
        <v>55</v>
      </c>
      <c r="Y114" t="s">
        <v>56</v>
      </c>
      <c r="Z114" t="s">
        <v>46</v>
      </c>
      <c r="AA114" t="s">
        <v>92</v>
      </c>
      <c r="AB114">
        <v>12</v>
      </c>
      <c r="AC114" t="s">
        <v>93</v>
      </c>
      <c r="AD114" t="s">
        <v>241</v>
      </c>
      <c r="AE114">
        <v>3</v>
      </c>
      <c r="AF114">
        <v>3</v>
      </c>
      <c r="AG114">
        <v>0</v>
      </c>
      <c r="AH114" t="s">
        <v>327</v>
      </c>
      <c r="AI114">
        <v>3</v>
      </c>
      <c r="AJ114">
        <v>10</v>
      </c>
      <c r="AK114" t="str">
        <f t="shared" si="10"/>
        <v>Normal</v>
      </c>
      <c r="AL114" t="str">
        <f t="shared" si="11"/>
        <v>low Outlier</v>
      </c>
      <c r="AM114">
        <f ca="1">INT((TODAY()-HRDataset_v14[[#This Row],[DOB]])/365.25)</f>
        <v>61</v>
      </c>
      <c r="AN114">
        <f ca="1">DATEDIF(HRDataset_v14[[#This Row],[DateofHire]],TODAY(),"Y")</f>
        <v>15</v>
      </c>
      <c r="AO114">
        <f ca="1">IF(ISBLANK(HRDataset_v14[[#This Row],[DateofTermination]]),DATEDIF(HRDataset_v14[[#This Row],[DateofHire]],TODAY(),"Y"),DATEDIF(HRDataset_v14[[#This Row],[DateofHire]],HRDataset_v14[[#This Row],[DateofTermination]],"Y"))</f>
        <v>1</v>
      </c>
      <c r="AP114" t="str">
        <f ca="1">IF(HRDataset_v14[[#This Row],[Tenure in Years
]]&lt;1,"0-1 Year",IF(HRDataset_v14[[#This Row],[Tenure in Years
]]&lt;3,"1-3 Years",IF(HRDataset_v14[[#This Row],[Tenure in Years
]]&lt;5,"3-5 Years",IF(HRDataset_v14[[#This Row],[Tenure in Years
]]&lt;10,"5-10 Years","10+ Years"))))</f>
        <v>10+ Years</v>
      </c>
      <c r="AQ114" t="str">
        <f ca="1">IF(HRDataset_v14[[#This Row],[Age Calculation
]]&lt;26,"18-25",IF(HRDataset_v14[[#This Row],[Age Calculation
]]&lt;36,"26-35",IF(HRDataset_v14[[#This Row],[Age Calculation
]]&lt;46,"36-45",IF(HRDataset_v14[[#This Row],[Age Calculation
]]&lt;56,"46-55","55+"))))</f>
        <v>55+</v>
      </c>
      <c r="AR114" t="str">
        <f>IF(HRDataset_v14[[#This Row],[Salary]]&lt;40000,"Entry (&lt;40K)",IF(HRDataset_v14[[#This Row],[Salary]]&lt;70000,"Mid (40-70K)",IF(HRDataset_v14[[#This Row],[Salary]]&lt;100000,"Senior (70-100K)","Executive (100K+)")))</f>
        <v>Mid (40-70K)</v>
      </c>
      <c r="AS114">
        <f>IF(HRDataset_v14[[#This Row],[EmploymentStatus]]="Active",1,0)</f>
        <v>0</v>
      </c>
      <c r="AT114">
        <f>YEAR(HRDataset_v14[[#This Row],[DateofHire]])</f>
        <v>2010</v>
      </c>
      <c r="AU114">
        <f>MONTH(HRDataset_v14[[#This Row],[DateofHire]])</f>
        <v>4</v>
      </c>
      <c r="AV114" t="str">
        <f>"Q"&amp;ROUNDUP(MONTH(HRDataset_v14[[#This Row],[DateofHire]])/3,0)</f>
        <v>Q2</v>
      </c>
      <c r="AW114" t="str">
        <f>TEXT(HRDataset_v14[[#This Row],[DateofHire]],"MMM")</f>
        <v>Apr</v>
      </c>
      <c r="AX114" t="str">
        <f>TEXT(HRDataset_v14[[#This Row],[DateofHire]],"YYYY-MM")</f>
        <v>2010-04</v>
      </c>
      <c r="AY114">
        <f>IF(ISBLANK(HRDataset_v14[[#This Row],[DateofTermination]]),"N/A",YEAR(HRDataset_v14[[#This Row],[DateofTermination]]))</f>
        <v>2011</v>
      </c>
      <c r="AZ114" t="str" cm="1">
        <f t="array" ref="AZ114">INDEX(_xlfn.UNIQUE(Z114:Z424),MATCH(MAX(COUNTIF(Z114:Z424,_xlfn.UNIQUE(Z114:Z424))),COUNTIF(Z114:Z424,_xlfn.UNIQUE(Z114:Z424)),0))</f>
        <v xml:space="preserve">Production       </v>
      </c>
      <c r="BA114">
        <f t="shared" si="16"/>
        <v>35.714285714285715</v>
      </c>
      <c r="BB114">
        <f t="shared" si="17"/>
        <v>5</v>
      </c>
      <c r="BC114" t="str">
        <f t="shared" si="12"/>
        <v>High</v>
      </c>
      <c r="BD114" t="str">
        <f t="shared" si="13"/>
        <v/>
      </c>
      <c r="BE114">
        <f t="shared" si="14"/>
        <v>3</v>
      </c>
      <c r="BF114">
        <f>COUNTIFS(R:R,"Married",Z:Z,"*Production  *")</f>
        <v>81</v>
      </c>
      <c r="BT114" t="str">
        <f t="shared" si="15"/>
        <v/>
      </c>
      <c r="BV114">
        <v>5</v>
      </c>
    </row>
    <row r="115" spans="1:74" x14ac:dyDescent="0.3">
      <c r="A115" t="s">
        <v>328</v>
      </c>
      <c r="B115">
        <v>10101</v>
      </c>
      <c r="C115">
        <v>0</v>
      </c>
      <c r="D115">
        <v>3</v>
      </c>
      <c r="E115">
        <v>0</v>
      </c>
      <c r="F115">
        <v>1</v>
      </c>
      <c r="G115">
        <v>3</v>
      </c>
      <c r="H115">
        <v>3</v>
      </c>
      <c r="I115">
        <v>0</v>
      </c>
      <c r="J115">
        <v>61242</v>
      </c>
      <c r="K115">
        <v>0</v>
      </c>
      <c r="L115">
        <v>14</v>
      </c>
      <c r="M115" t="s">
        <v>96</v>
      </c>
      <c r="N115" t="s">
        <v>38</v>
      </c>
      <c r="O115">
        <v>2472</v>
      </c>
      <c r="P115">
        <v>29692</v>
      </c>
      <c r="Q115" t="s">
        <v>64</v>
      </c>
      <c r="R115" t="s">
        <v>166</v>
      </c>
      <c r="S115" t="s">
        <v>41</v>
      </c>
      <c r="T115" t="s">
        <v>100</v>
      </c>
      <c r="U115" t="s">
        <v>43</v>
      </c>
      <c r="V115">
        <v>42009</v>
      </c>
      <c r="X115" t="s">
        <v>44</v>
      </c>
      <c r="Y115" t="s">
        <v>45</v>
      </c>
      <c r="Z115" t="s">
        <v>57</v>
      </c>
      <c r="AA115" t="s">
        <v>97</v>
      </c>
      <c r="AB115">
        <v>7</v>
      </c>
      <c r="AC115" t="s">
        <v>88</v>
      </c>
      <c r="AD115" t="s">
        <v>60</v>
      </c>
      <c r="AE115">
        <v>4.6100000000000003</v>
      </c>
      <c r="AF115">
        <v>4</v>
      </c>
      <c r="AG115">
        <v>5</v>
      </c>
      <c r="AH115" t="s">
        <v>223</v>
      </c>
      <c r="AI115">
        <v>0</v>
      </c>
      <c r="AJ115">
        <v>11</v>
      </c>
      <c r="AK115" t="str">
        <f t="shared" si="10"/>
        <v>Normal</v>
      </c>
      <c r="AL115" t="str">
        <f t="shared" si="11"/>
        <v>low Outlier</v>
      </c>
      <c r="AM115">
        <f ca="1">INT((TODAY()-HRDataset_v14[[#This Row],[DOB]])/365.25)</f>
        <v>44</v>
      </c>
      <c r="AN115">
        <f ca="1">DATEDIF(HRDataset_v14[[#This Row],[DateofHire]],TODAY(),"Y")</f>
        <v>11</v>
      </c>
      <c r="AO115">
        <f ca="1">IF(ISBLANK(HRDataset_v14[[#This Row],[DateofTermination]]),DATEDIF(HRDataset_v14[[#This Row],[DateofHire]],TODAY(),"Y"),DATEDIF(HRDataset_v14[[#This Row],[DateofHire]],HRDataset_v14[[#This Row],[DateofTermination]],"Y"))</f>
        <v>11</v>
      </c>
      <c r="AP115" t="str">
        <f ca="1">IF(HRDataset_v14[[#This Row],[Tenure in Years
]]&lt;1,"0-1 Year",IF(HRDataset_v14[[#This Row],[Tenure in Years
]]&lt;3,"1-3 Years",IF(HRDataset_v14[[#This Row],[Tenure in Years
]]&lt;5,"3-5 Years",IF(HRDataset_v14[[#This Row],[Tenure in Years
]]&lt;10,"5-10 Years","10+ Years"))))</f>
        <v>10+ Years</v>
      </c>
      <c r="AQ115" t="str">
        <f ca="1">IF(HRDataset_v14[[#This Row],[Age Calculation
]]&lt;26,"18-25",IF(HRDataset_v14[[#This Row],[Age Calculation
]]&lt;36,"26-35",IF(HRDataset_v14[[#This Row],[Age Calculation
]]&lt;46,"36-45",IF(HRDataset_v14[[#This Row],[Age Calculation
]]&lt;56,"46-55","55+"))))</f>
        <v>36-45</v>
      </c>
      <c r="AR115" t="str">
        <f>IF(HRDataset_v14[[#This Row],[Salary]]&lt;40000,"Entry (&lt;40K)",IF(HRDataset_v14[[#This Row],[Salary]]&lt;70000,"Mid (40-70K)",IF(HRDataset_v14[[#This Row],[Salary]]&lt;100000,"Senior (70-100K)","Executive (100K+)")))</f>
        <v>Mid (40-70K)</v>
      </c>
      <c r="AS115">
        <f>IF(HRDataset_v14[[#This Row],[EmploymentStatus]]="Active",1,0)</f>
        <v>1</v>
      </c>
      <c r="AT115">
        <f>YEAR(HRDataset_v14[[#This Row],[DateofHire]])</f>
        <v>2015</v>
      </c>
      <c r="AU115">
        <f>MONTH(HRDataset_v14[[#This Row],[DateofHire]])</f>
        <v>1</v>
      </c>
      <c r="AV115" t="str">
        <f>"Q"&amp;ROUNDUP(MONTH(HRDataset_v14[[#This Row],[DateofHire]])/3,0)</f>
        <v>Q1</v>
      </c>
      <c r="AW115" t="str">
        <f>TEXT(HRDataset_v14[[#This Row],[DateofHire]],"MMM")</f>
        <v>Jan</v>
      </c>
      <c r="AX115" t="str">
        <f>TEXT(HRDataset_v14[[#This Row],[DateofHire]],"YYYY-MM")</f>
        <v>2015-01</v>
      </c>
      <c r="AY115" t="str">
        <f>IF(ISBLANK(HRDataset_v14[[#This Row],[DateofTermination]]),"N/A",YEAR(HRDataset_v14[[#This Row],[DateofTermination]]))</f>
        <v>N/A</v>
      </c>
      <c r="AZ115" t="str" cm="1">
        <f t="array" ref="AZ115">INDEX(_xlfn.UNIQUE(Z115:Z425),MATCH(MAX(COUNTIF(Z115:Z425,_xlfn.UNIQUE(Z115:Z425))),COUNTIF(Z115:Z425,_xlfn.UNIQUE(Z115:Z425)),0))</f>
        <v xml:space="preserve">Production       </v>
      </c>
      <c r="BA115">
        <f t="shared" si="16"/>
        <v>12.5</v>
      </c>
      <c r="BB115">
        <f t="shared" si="17"/>
        <v>0</v>
      </c>
      <c r="BC115" t="str">
        <f t="shared" si="12"/>
        <v>Medium</v>
      </c>
      <c r="BD115">
        <f t="shared" si="13"/>
        <v>4.6100000000000003</v>
      </c>
      <c r="BE115" t="str">
        <f t="shared" si="14"/>
        <v/>
      </c>
      <c r="BF115" t="s">
        <v>697</v>
      </c>
      <c r="BT115">
        <f t="shared" si="15"/>
        <v>4.6100000000000003</v>
      </c>
      <c r="BV115">
        <v>5</v>
      </c>
    </row>
    <row r="116" spans="1:74" x14ac:dyDescent="0.3">
      <c r="A116" t="s">
        <v>329</v>
      </c>
      <c r="B116">
        <v>10237</v>
      </c>
      <c r="C116">
        <v>1</v>
      </c>
      <c r="D116">
        <v>1</v>
      </c>
      <c r="E116">
        <v>0</v>
      </c>
      <c r="F116">
        <v>3</v>
      </c>
      <c r="G116">
        <v>5</v>
      </c>
      <c r="H116">
        <v>3</v>
      </c>
      <c r="I116">
        <v>0</v>
      </c>
      <c r="J116">
        <v>66825</v>
      </c>
      <c r="K116">
        <v>0</v>
      </c>
      <c r="L116">
        <v>20</v>
      </c>
      <c r="M116" t="s">
        <v>63</v>
      </c>
      <c r="N116" t="s">
        <v>38</v>
      </c>
      <c r="O116">
        <v>1886</v>
      </c>
      <c r="P116">
        <v>31557</v>
      </c>
      <c r="Q116" t="s">
        <v>64</v>
      </c>
      <c r="R116" t="s">
        <v>53</v>
      </c>
      <c r="S116" t="s">
        <v>41</v>
      </c>
      <c r="T116" t="s">
        <v>42</v>
      </c>
      <c r="U116" t="s">
        <v>43</v>
      </c>
      <c r="V116">
        <v>41771</v>
      </c>
      <c r="X116" t="s">
        <v>44</v>
      </c>
      <c r="Y116" t="s">
        <v>45</v>
      </c>
      <c r="Z116" t="s">
        <v>46</v>
      </c>
      <c r="AA116" t="s">
        <v>102</v>
      </c>
      <c r="AB116">
        <v>14</v>
      </c>
      <c r="AC116" t="s">
        <v>48</v>
      </c>
      <c r="AD116" t="s">
        <v>60</v>
      </c>
      <c r="AE116">
        <v>4.5999999999999996</v>
      </c>
      <c r="AF116">
        <v>3</v>
      </c>
      <c r="AG116">
        <v>0</v>
      </c>
      <c r="AH116" t="s">
        <v>319</v>
      </c>
      <c r="AI116">
        <v>0</v>
      </c>
      <c r="AJ116">
        <v>20</v>
      </c>
      <c r="AK116" t="str">
        <f t="shared" si="10"/>
        <v>Normal</v>
      </c>
      <c r="AL116" t="str">
        <f t="shared" si="11"/>
        <v>low Outlier</v>
      </c>
      <c r="AM116">
        <f ca="1">INT((TODAY()-HRDataset_v14[[#This Row],[DOB]])/365.25)</f>
        <v>39</v>
      </c>
      <c r="AN116">
        <f ca="1">DATEDIF(HRDataset_v14[[#This Row],[DateofHire]],TODAY(),"Y")</f>
        <v>11</v>
      </c>
      <c r="AO116">
        <f ca="1">IF(ISBLANK(HRDataset_v14[[#This Row],[DateofTermination]]),DATEDIF(HRDataset_v14[[#This Row],[DateofHire]],TODAY(),"Y"),DATEDIF(HRDataset_v14[[#This Row],[DateofHire]],HRDataset_v14[[#This Row],[DateofTermination]],"Y"))</f>
        <v>11</v>
      </c>
      <c r="AP116" t="str">
        <f ca="1">IF(HRDataset_v14[[#This Row],[Tenure in Years
]]&lt;1,"0-1 Year",IF(HRDataset_v14[[#This Row],[Tenure in Years
]]&lt;3,"1-3 Years",IF(HRDataset_v14[[#This Row],[Tenure in Years
]]&lt;5,"3-5 Years",IF(HRDataset_v14[[#This Row],[Tenure in Years
]]&lt;10,"5-10 Years","10+ Years"))))</f>
        <v>10+ Years</v>
      </c>
      <c r="AQ116" t="str">
        <f ca="1">IF(HRDataset_v14[[#This Row],[Age Calculation
]]&lt;26,"18-25",IF(HRDataset_v14[[#This Row],[Age Calculation
]]&lt;36,"26-35",IF(HRDataset_v14[[#This Row],[Age Calculation
]]&lt;46,"36-45",IF(HRDataset_v14[[#This Row],[Age Calculation
]]&lt;56,"46-55","55+"))))</f>
        <v>36-45</v>
      </c>
      <c r="AR116" t="str">
        <f>IF(HRDataset_v14[[#This Row],[Salary]]&lt;40000,"Entry (&lt;40K)",IF(HRDataset_v14[[#This Row],[Salary]]&lt;70000,"Mid (40-70K)",IF(HRDataset_v14[[#This Row],[Salary]]&lt;100000,"Senior (70-100K)","Executive (100K+)")))</f>
        <v>Mid (40-70K)</v>
      </c>
      <c r="AS116">
        <f>IF(HRDataset_v14[[#This Row],[EmploymentStatus]]="Active",1,0)</f>
        <v>1</v>
      </c>
      <c r="AT116">
        <f>YEAR(HRDataset_v14[[#This Row],[DateofHire]])</f>
        <v>2014</v>
      </c>
      <c r="AU116">
        <f>MONTH(HRDataset_v14[[#This Row],[DateofHire]])</f>
        <v>5</v>
      </c>
      <c r="AV116" t="str">
        <f>"Q"&amp;ROUNDUP(MONTH(HRDataset_v14[[#This Row],[DateofHire]])/3,0)</f>
        <v>Q2</v>
      </c>
      <c r="AW116" t="str">
        <f>TEXT(HRDataset_v14[[#This Row],[DateofHire]],"MMM")</f>
        <v>May</v>
      </c>
      <c r="AX116" t="str">
        <f>TEXT(HRDataset_v14[[#This Row],[DateofHire]],"YYYY-MM")</f>
        <v>2014-05</v>
      </c>
      <c r="AY116" t="str">
        <f>IF(ISBLANK(HRDataset_v14[[#This Row],[DateofTermination]]),"N/A",YEAR(HRDataset_v14[[#This Row],[DateofTermination]]))</f>
        <v>N/A</v>
      </c>
      <c r="AZ116" t="str" cm="1">
        <f t="array" ref="AZ116">INDEX(_xlfn.UNIQUE(Z116:Z426),MATCH(MAX(COUNTIF(Z116:Z426,_xlfn.UNIQUE(Z116:Z426))),COUNTIF(Z116:Z426,_xlfn.UNIQUE(Z116:Z426)),0))</f>
        <v xml:space="preserve">Production       </v>
      </c>
      <c r="BA116">
        <f t="shared" si="16"/>
        <v>20</v>
      </c>
      <c r="BB116">
        <f t="shared" si="17"/>
        <v>0</v>
      </c>
      <c r="BC116" t="str">
        <f t="shared" si="12"/>
        <v>Medium</v>
      </c>
      <c r="BD116">
        <f t="shared" si="13"/>
        <v>4.5999999999999996</v>
      </c>
      <c r="BE116" t="str">
        <f t="shared" si="14"/>
        <v/>
      </c>
      <c r="BF116">
        <f>COUNTIFS(R:R,"Married",Z:Z,"*Admin*")</f>
        <v>6</v>
      </c>
      <c r="BT116">
        <f t="shared" si="15"/>
        <v>4.5999999999999996</v>
      </c>
      <c r="BV116">
        <v>4.0999999999999996</v>
      </c>
    </row>
    <row r="117" spans="1:74" x14ac:dyDescent="0.3">
      <c r="A117" t="s">
        <v>330</v>
      </c>
      <c r="B117">
        <v>10051</v>
      </c>
      <c r="C117">
        <v>1</v>
      </c>
      <c r="D117">
        <v>1</v>
      </c>
      <c r="E117">
        <v>1</v>
      </c>
      <c r="F117">
        <v>1</v>
      </c>
      <c r="G117">
        <v>5</v>
      </c>
      <c r="H117">
        <v>3</v>
      </c>
      <c r="I117">
        <v>0</v>
      </c>
      <c r="J117">
        <v>48285</v>
      </c>
      <c r="K117">
        <v>0</v>
      </c>
      <c r="L117">
        <v>19</v>
      </c>
      <c r="M117" t="s">
        <v>37</v>
      </c>
      <c r="N117" t="s">
        <v>38</v>
      </c>
      <c r="O117">
        <v>2169</v>
      </c>
      <c r="P117">
        <v>28996</v>
      </c>
      <c r="Q117" t="s">
        <v>39</v>
      </c>
      <c r="R117" t="s">
        <v>53</v>
      </c>
      <c r="S117" t="s">
        <v>41</v>
      </c>
      <c r="T117" t="s">
        <v>42</v>
      </c>
      <c r="U117" t="s">
        <v>43</v>
      </c>
      <c r="V117">
        <v>41092</v>
      </c>
      <c r="X117" t="s">
        <v>44</v>
      </c>
      <c r="Y117" t="s">
        <v>45</v>
      </c>
      <c r="Z117" t="s">
        <v>46</v>
      </c>
      <c r="AA117" t="s">
        <v>102</v>
      </c>
      <c r="AB117">
        <v>14</v>
      </c>
      <c r="AC117" t="s">
        <v>48</v>
      </c>
      <c r="AD117" t="s">
        <v>60</v>
      </c>
      <c r="AE117">
        <v>5</v>
      </c>
      <c r="AF117">
        <v>3</v>
      </c>
      <c r="AG117">
        <v>0</v>
      </c>
      <c r="AH117" t="s">
        <v>124</v>
      </c>
      <c r="AI117">
        <v>0</v>
      </c>
      <c r="AJ117">
        <v>2</v>
      </c>
      <c r="AK117" t="str">
        <f t="shared" si="10"/>
        <v>Normal</v>
      </c>
      <c r="AL117" t="str">
        <f t="shared" si="11"/>
        <v>low Outlier</v>
      </c>
      <c r="AM117">
        <f ca="1">INT((TODAY()-HRDataset_v14[[#This Row],[DOB]])/365.25)</f>
        <v>46</v>
      </c>
      <c r="AN117">
        <f ca="1">DATEDIF(HRDataset_v14[[#This Row],[DateofHire]],TODAY(),"Y")</f>
        <v>13</v>
      </c>
      <c r="AO117">
        <f ca="1">IF(ISBLANK(HRDataset_v14[[#This Row],[DateofTermination]]),DATEDIF(HRDataset_v14[[#This Row],[DateofHire]],TODAY(),"Y"),DATEDIF(HRDataset_v14[[#This Row],[DateofHire]],HRDataset_v14[[#This Row],[DateofTermination]],"Y"))</f>
        <v>13</v>
      </c>
      <c r="AP117" t="str">
        <f ca="1">IF(HRDataset_v14[[#This Row],[Tenure in Years
]]&lt;1,"0-1 Year",IF(HRDataset_v14[[#This Row],[Tenure in Years
]]&lt;3,"1-3 Years",IF(HRDataset_v14[[#This Row],[Tenure in Years
]]&lt;5,"3-5 Years",IF(HRDataset_v14[[#This Row],[Tenure in Years
]]&lt;10,"5-10 Years","10+ Years"))))</f>
        <v>10+ Years</v>
      </c>
      <c r="AQ117" t="str">
        <f ca="1">IF(HRDataset_v14[[#This Row],[Age Calculation
]]&lt;26,"18-25",IF(HRDataset_v14[[#This Row],[Age Calculation
]]&lt;36,"26-35",IF(HRDataset_v14[[#This Row],[Age Calculation
]]&lt;46,"36-45",IF(HRDataset_v14[[#This Row],[Age Calculation
]]&lt;56,"46-55","55+"))))</f>
        <v>46-55</v>
      </c>
      <c r="AR117" t="str">
        <f>IF(HRDataset_v14[[#This Row],[Salary]]&lt;40000,"Entry (&lt;40K)",IF(HRDataset_v14[[#This Row],[Salary]]&lt;70000,"Mid (40-70K)",IF(HRDataset_v14[[#This Row],[Salary]]&lt;100000,"Senior (70-100K)","Executive (100K+)")))</f>
        <v>Mid (40-70K)</v>
      </c>
      <c r="AS117">
        <f>IF(HRDataset_v14[[#This Row],[EmploymentStatus]]="Active",1,0)</f>
        <v>1</v>
      </c>
      <c r="AT117">
        <f>YEAR(HRDataset_v14[[#This Row],[DateofHire]])</f>
        <v>2012</v>
      </c>
      <c r="AU117">
        <f>MONTH(HRDataset_v14[[#This Row],[DateofHire]])</f>
        <v>7</v>
      </c>
      <c r="AV117" t="str">
        <f>"Q"&amp;ROUNDUP(MONTH(HRDataset_v14[[#This Row],[DateofHire]])/3,0)</f>
        <v>Q3</v>
      </c>
      <c r="AW117" t="str">
        <f>TEXT(HRDataset_v14[[#This Row],[DateofHire]],"MMM")</f>
        <v>Jul</v>
      </c>
      <c r="AX117" t="str">
        <f>TEXT(HRDataset_v14[[#This Row],[DateofHire]],"YYYY-MM")</f>
        <v>2012-07</v>
      </c>
      <c r="AY117" t="str">
        <f>IF(ISBLANK(HRDataset_v14[[#This Row],[DateofTermination]]),"N/A",YEAR(HRDataset_v14[[#This Row],[DateofTermination]]))</f>
        <v>N/A</v>
      </c>
      <c r="AZ117" t="str" cm="1">
        <f t="array" ref="AZ117">INDEX(_xlfn.UNIQUE(Z117:Z427),MATCH(MAX(COUNTIF(Z117:Z427,_xlfn.UNIQUE(Z117:Z427))),COUNTIF(Z117:Z427,_xlfn.UNIQUE(Z117:Z427)),0))</f>
        <v xml:space="preserve">Production       </v>
      </c>
      <c r="BA117">
        <f t="shared" si="16"/>
        <v>21.428571428571427</v>
      </c>
      <c r="BB117">
        <f t="shared" si="17"/>
        <v>0</v>
      </c>
      <c r="BC117" t="str">
        <f t="shared" si="12"/>
        <v>Medium</v>
      </c>
      <c r="BD117">
        <f t="shared" si="13"/>
        <v>5</v>
      </c>
      <c r="BE117" t="str">
        <f t="shared" si="14"/>
        <v/>
      </c>
      <c r="BF117" t="s">
        <v>698</v>
      </c>
      <c r="BT117">
        <f t="shared" si="15"/>
        <v>5</v>
      </c>
      <c r="BV117">
        <v>4.0999999999999996</v>
      </c>
    </row>
    <row r="118" spans="1:74" x14ac:dyDescent="0.3">
      <c r="A118" t="s">
        <v>331</v>
      </c>
      <c r="B118">
        <v>10218</v>
      </c>
      <c r="C118">
        <v>0</v>
      </c>
      <c r="D118">
        <v>3</v>
      </c>
      <c r="E118">
        <v>0</v>
      </c>
      <c r="F118">
        <v>3</v>
      </c>
      <c r="G118">
        <v>5</v>
      </c>
      <c r="H118">
        <v>3</v>
      </c>
      <c r="I118">
        <v>0</v>
      </c>
      <c r="J118">
        <v>66149</v>
      </c>
      <c r="K118">
        <v>0</v>
      </c>
      <c r="L118">
        <v>20</v>
      </c>
      <c r="M118" t="s">
        <v>63</v>
      </c>
      <c r="N118" t="s">
        <v>38</v>
      </c>
      <c r="O118">
        <v>1824</v>
      </c>
      <c r="P118">
        <v>30658</v>
      </c>
      <c r="Q118" t="s">
        <v>64</v>
      </c>
      <c r="R118" t="s">
        <v>166</v>
      </c>
      <c r="S118" t="s">
        <v>41</v>
      </c>
      <c r="T118" t="s">
        <v>42</v>
      </c>
      <c r="U118" t="s">
        <v>332</v>
      </c>
      <c r="V118">
        <v>41547</v>
      </c>
      <c r="X118" t="s">
        <v>44</v>
      </c>
      <c r="Y118" t="s">
        <v>45</v>
      </c>
      <c r="Z118" t="s">
        <v>46</v>
      </c>
      <c r="AA118" t="s">
        <v>66</v>
      </c>
      <c r="AB118">
        <v>20</v>
      </c>
      <c r="AC118" t="s">
        <v>75</v>
      </c>
      <c r="AD118" t="s">
        <v>60</v>
      </c>
      <c r="AE118">
        <v>4.4000000000000004</v>
      </c>
      <c r="AF118">
        <v>5</v>
      </c>
      <c r="AG118">
        <v>0</v>
      </c>
      <c r="AH118" t="s">
        <v>176</v>
      </c>
      <c r="AI118">
        <v>0</v>
      </c>
      <c r="AJ118">
        <v>1</v>
      </c>
      <c r="AK118" t="str">
        <f t="shared" si="10"/>
        <v>Normal</v>
      </c>
      <c r="AL118" t="str">
        <f t="shared" si="11"/>
        <v>low Outlier</v>
      </c>
      <c r="AM118">
        <f ca="1">INT((TODAY()-HRDataset_v14[[#This Row],[DOB]])/365.25)</f>
        <v>42</v>
      </c>
      <c r="AN118">
        <f ca="1">DATEDIF(HRDataset_v14[[#This Row],[DateofHire]],TODAY(),"Y")</f>
        <v>12</v>
      </c>
      <c r="AO118">
        <f ca="1">IF(ISBLANK(HRDataset_v14[[#This Row],[DateofTermination]]),DATEDIF(HRDataset_v14[[#This Row],[DateofHire]],TODAY(),"Y"),DATEDIF(HRDataset_v14[[#This Row],[DateofHire]],HRDataset_v14[[#This Row],[DateofTermination]],"Y"))</f>
        <v>12</v>
      </c>
      <c r="AP118" t="str">
        <f ca="1">IF(HRDataset_v14[[#This Row],[Tenure in Years
]]&lt;1,"0-1 Year",IF(HRDataset_v14[[#This Row],[Tenure in Years
]]&lt;3,"1-3 Years",IF(HRDataset_v14[[#This Row],[Tenure in Years
]]&lt;5,"3-5 Years",IF(HRDataset_v14[[#This Row],[Tenure in Years
]]&lt;10,"5-10 Years","10+ Years"))))</f>
        <v>10+ Years</v>
      </c>
      <c r="AQ118" t="str">
        <f ca="1">IF(HRDataset_v14[[#This Row],[Age Calculation
]]&lt;26,"18-25",IF(HRDataset_v14[[#This Row],[Age Calculation
]]&lt;36,"26-35",IF(HRDataset_v14[[#This Row],[Age Calculation
]]&lt;46,"36-45",IF(HRDataset_v14[[#This Row],[Age Calculation
]]&lt;56,"46-55","55+"))))</f>
        <v>36-45</v>
      </c>
      <c r="AR118" t="str">
        <f>IF(HRDataset_v14[[#This Row],[Salary]]&lt;40000,"Entry (&lt;40K)",IF(HRDataset_v14[[#This Row],[Salary]]&lt;70000,"Mid (40-70K)",IF(HRDataset_v14[[#This Row],[Salary]]&lt;100000,"Senior (70-100K)","Executive (100K+)")))</f>
        <v>Mid (40-70K)</v>
      </c>
      <c r="AS118">
        <f>IF(HRDataset_v14[[#This Row],[EmploymentStatus]]="Active",1,0)</f>
        <v>1</v>
      </c>
      <c r="AT118">
        <f>YEAR(HRDataset_v14[[#This Row],[DateofHire]])</f>
        <v>2013</v>
      </c>
      <c r="AU118">
        <f>MONTH(HRDataset_v14[[#This Row],[DateofHire]])</f>
        <v>9</v>
      </c>
      <c r="AV118" t="str">
        <f>"Q"&amp;ROUNDUP(MONTH(HRDataset_v14[[#This Row],[DateofHire]])/3,0)</f>
        <v>Q3</v>
      </c>
      <c r="AW118" t="str">
        <f>TEXT(HRDataset_v14[[#This Row],[DateofHire]],"MMM")</f>
        <v>Sep</v>
      </c>
      <c r="AX118" t="str">
        <f>TEXT(HRDataset_v14[[#This Row],[DateofHire]],"YYYY-MM")</f>
        <v>2013-09</v>
      </c>
      <c r="AY118" t="str">
        <f>IF(ISBLANK(HRDataset_v14[[#This Row],[DateofTermination]]),"N/A",YEAR(HRDataset_v14[[#This Row],[DateofTermination]]))</f>
        <v>N/A</v>
      </c>
      <c r="AZ118" t="str" cm="1">
        <f t="array" ref="AZ118">INDEX(_xlfn.UNIQUE(Z118:Z428),MATCH(MAX(COUNTIF(Z118:Z428,_xlfn.UNIQUE(Z118:Z428))),COUNTIF(Z118:Z428,_xlfn.UNIQUE(Z118:Z428)),0))</f>
        <v xml:space="preserve">Production       </v>
      </c>
      <c r="BA118">
        <f t="shared" si="16"/>
        <v>50</v>
      </c>
      <c r="BB118">
        <f t="shared" si="17"/>
        <v>0</v>
      </c>
      <c r="BC118" t="str">
        <f t="shared" si="12"/>
        <v>Medium</v>
      </c>
      <c r="BD118">
        <f t="shared" si="13"/>
        <v>4.4000000000000004</v>
      </c>
      <c r="BE118" t="str">
        <f t="shared" si="14"/>
        <v/>
      </c>
      <c r="BF118">
        <f>COUNTIFS(R:R,"Married",Z:Z,"*Executive*")</f>
        <v>1</v>
      </c>
      <c r="BT118">
        <f t="shared" si="15"/>
        <v>4.4000000000000004</v>
      </c>
      <c r="BV118">
        <v>4.0999999999999996</v>
      </c>
    </row>
    <row r="119" spans="1:74" x14ac:dyDescent="0.3">
      <c r="A119" t="s">
        <v>333</v>
      </c>
      <c r="B119">
        <v>10256</v>
      </c>
      <c r="C119">
        <v>1</v>
      </c>
      <c r="D119">
        <v>1</v>
      </c>
      <c r="E119">
        <v>0</v>
      </c>
      <c r="F119">
        <v>3</v>
      </c>
      <c r="G119">
        <v>5</v>
      </c>
      <c r="H119">
        <v>3</v>
      </c>
      <c r="I119">
        <v>0</v>
      </c>
      <c r="J119">
        <v>49256</v>
      </c>
      <c r="K119">
        <v>0</v>
      </c>
      <c r="L119">
        <v>19</v>
      </c>
      <c r="M119" t="s">
        <v>37</v>
      </c>
      <c r="N119" t="s">
        <v>38</v>
      </c>
      <c r="O119">
        <v>1864</v>
      </c>
      <c r="P119">
        <v>27311</v>
      </c>
      <c r="Q119" t="s">
        <v>64</v>
      </c>
      <c r="R119" t="s">
        <v>53</v>
      </c>
      <c r="S119" t="s">
        <v>41</v>
      </c>
      <c r="T119" t="s">
        <v>42</v>
      </c>
      <c r="U119" t="s">
        <v>132</v>
      </c>
      <c r="V119">
        <v>41505</v>
      </c>
      <c r="X119" t="s">
        <v>44</v>
      </c>
      <c r="Y119" t="s">
        <v>45</v>
      </c>
      <c r="Z119" t="s">
        <v>46</v>
      </c>
      <c r="AA119" t="s">
        <v>66</v>
      </c>
      <c r="AB119">
        <v>20</v>
      </c>
      <c r="AC119" t="s">
        <v>48</v>
      </c>
      <c r="AD119" t="s">
        <v>60</v>
      </c>
      <c r="AE119">
        <v>4.0999999999999996</v>
      </c>
      <c r="AF119">
        <v>5</v>
      </c>
      <c r="AG119">
        <v>0</v>
      </c>
      <c r="AH119" t="s">
        <v>334</v>
      </c>
      <c r="AI119">
        <v>0</v>
      </c>
      <c r="AJ119">
        <v>3</v>
      </c>
      <c r="AK119" t="str">
        <f t="shared" si="10"/>
        <v>Normal</v>
      </c>
      <c r="AL119" t="str">
        <f t="shared" si="11"/>
        <v>low Outlier</v>
      </c>
      <c r="AM119">
        <f ca="1">INT((TODAY()-HRDataset_v14[[#This Row],[DOB]])/365.25)</f>
        <v>51</v>
      </c>
      <c r="AN119">
        <f ca="1">DATEDIF(HRDataset_v14[[#This Row],[DateofHire]],TODAY(),"Y")</f>
        <v>12</v>
      </c>
      <c r="AO119">
        <f ca="1">IF(ISBLANK(HRDataset_v14[[#This Row],[DateofTermination]]),DATEDIF(HRDataset_v14[[#This Row],[DateofHire]],TODAY(),"Y"),DATEDIF(HRDataset_v14[[#This Row],[DateofHire]],HRDataset_v14[[#This Row],[DateofTermination]],"Y"))</f>
        <v>12</v>
      </c>
      <c r="AP119" t="str">
        <f ca="1">IF(HRDataset_v14[[#This Row],[Tenure in Years
]]&lt;1,"0-1 Year",IF(HRDataset_v14[[#This Row],[Tenure in Years
]]&lt;3,"1-3 Years",IF(HRDataset_v14[[#This Row],[Tenure in Years
]]&lt;5,"3-5 Years",IF(HRDataset_v14[[#This Row],[Tenure in Years
]]&lt;10,"5-10 Years","10+ Years"))))</f>
        <v>10+ Years</v>
      </c>
      <c r="AQ119" t="str">
        <f ca="1">IF(HRDataset_v14[[#This Row],[Age Calculation
]]&lt;26,"18-25",IF(HRDataset_v14[[#This Row],[Age Calculation
]]&lt;36,"26-35",IF(HRDataset_v14[[#This Row],[Age Calculation
]]&lt;46,"36-45",IF(HRDataset_v14[[#This Row],[Age Calculation
]]&lt;56,"46-55","55+"))))</f>
        <v>46-55</v>
      </c>
      <c r="AR119" t="str">
        <f>IF(HRDataset_v14[[#This Row],[Salary]]&lt;40000,"Entry (&lt;40K)",IF(HRDataset_v14[[#This Row],[Salary]]&lt;70000,"Mid (40-70K)",IF(HRDataset_v14[[#This Row],[Salary]]&lt;100000,"Senior (70-100K)","Executive (100K+)")))</f>
        <v>Mid (40-70K)</v>
      </c>
      <c r="AS119">
        <f>IF(HRDataset_v14[[#This Row],[EmploymentStatus]]="Active",1,0)</f>
        <v>1</v>
      </c>
      <c r="AT119">
        <f>YEAR(HRDataset_v14[[#This Row],[DateofHire]])</f>
        <v>2013</v>
      </c>
      <c r="AU119">
        <f>MONTH(HRDataset_v14[[#This Row],[DateofHire]])</f>
        <v>8</v>
      </c>
      <c r="AV119" t="str">
        <f>"Q"&amp;ROUNDUP(MONTH(HRDataset_v14[[#This Row],[DateofHire]])/3,0)</f>
        <v>Q3</v>
      </c>
      <c r="AW119" t="str">
        <f>TEXT(HRDataset_v14[[#This Row],[DateofHire]],"MMM")</f>
        <v>Aug</v>
      </c>
      <c r="AX119" t="str">
        <f>TEXT(HRDataset_v14[[#This Row],[DateofHire]],"YYYY-MM")</f>
        <v>2013-08</v>
      </c>
      <c r="AY119" t="str">
        <f>IF(ISBLANK(HRDataset_v14[[#This Row],[DateofTermination]]),"N/A",YEAR(HRDataset_v14[[#This Row],[DateofTermination]]))</f>
        <v>N/A</v>
      </c>
      <c r="AZ119" t="str" cm="1">
        <f t="array" ref="AZ119">INDEX(_xlfn.UNIQUE(Z119:Z429),MATCH(MAX(COUNTIF(Z119:Z429,_xlfn.UNIQUE(Z119:Z429))),COUNTIF(Z119:Z429,_xlfn.UNIQUE(Z119:Z429)),0))</f>
        <v xml:space="preserve">Production       </v>
      </c>
      <c r="BA119">
        <f t="shared" si="16"/>
        <v>53.333333333333336</v>
      </c>
      <c r="BB119">
        <f t="shared" si="17"/>
        <v>0</v>
      </c>
      <c r="BC119" t="str">
        <f t="shared" si="12"/>
        <v>Medium</v>
      </c>
      <c r="BD119">
        <f t="shared" si="13"/>
        <v>4.0999999999999996</v>
      </c>
      <c r="BE119" t="str">
        <f t="shared" si="14"/>
        <v/>
      </c>
      <c r="BF119" t="s">
        <v>53</v>
      </c>
      <c r="BT119">
        <f t="shared" si="15"/>
        <v>4.0999999999999996</v>
      </c>
      <c r="BV119">
        <v>4.53</v>
      </c>
    </row>
    <row r="120" spans="1:74" x14ac:dyDescent="0.3">
      <c r="A120" t="s">
        <v>335</v>
      </c>
      <c r="B120">
        <v>10098</v>
      </c>
      <c r="C120">
        <v>0</v>
      </c>
      <c r="D120">
        <v>2</v>
      </c>
      <c r="E120">
        <v>1</v>
      </c>
      <c r="F120">
        <v>1</v>
      </c>
      <c r="G120">
        <v>5</v>
      </c>
      <c r="H120">
        <v>3</v>
      </c>
      <c r="I120">
        <v>0</v>
      </c>
      <c r="J120">
        <v>62957</v>
      </c>
      <c r="K120">
        <v>0</v>
      </c>
      <c r="L120">
        <v>18</v>
      </c>
      <c r="M120" t="s">
        <v>154</v>
      </c>
      <c r="N120" t="s">
        <v>38</v>
      </c>
      <c r="O120">
        <v>1752</v>
      </c>
      <c r="P120">
        <v>29778</v>
      </c>
      <c r="Q120" t="s">
        <v>39</v>
      </c>
      <c r="R120" t="s">
        <v>72</v>
      </c>
      <c r="S120" t="s">
        <v>41</v>
      </c>
      <c r="T120" t="s">
        <v>42</v>
      </c>
      <c r="U120" t="s">
        <v>43</v>
      </c>
      <c r="V120">
        <v>42157</v>
      </c>
      <c r="X120" t="s">
        <v>44</v>
      </c>
      <c r="Y120" t="s">
        <v>45</v>
      </c>
      <c r="Z120" t="s">
        <v>46</v>
      </c>
      <c r="AA120" t="s">
        <v>156</v>
      </c>
      <c r="AB120">
        <v>2</v>
      </c>
      <c r="AC120" t="s">
        <v>88</v>
      </c>
      <c r="AD120" t="s">
        <v>60</v>
      </c>
      <c r="AE120">
        <v>4.63</v>
      </c>
      <c r="AF120">
        <v>3</v>
      </c>
      <c r="AG120">
        <v>0</v>
      </c>
      <c r="AH120" t="s">
        <v>263</v>
      </c>
      <c r="AI120">
        <v>0</v>
      </c>
      <c r="AJ120">
        <v>2</v>
      </c>
      <c r="AK120" t="str">
        <f t="shared" si="10"/>
        <v>Normal</v>
      </c>
      <c r="AL120" t="str">
        <f t="shared" si="11"/>
        <v>low Outlier</v>
      </c>
      <c r="AM120">
        <f ca="1">INT((TODAY()-HRDataset_v14[[#This Row],[DOB]])/365.25)</f>
        <v>44</v>
      </c>
      <c r="AN120">
        <f ca="1">DATEDIF(HRDataset_v14[[#This Row],[DateofHire]],TODAY(),"Y")</f>
        <v>10</v>
      </c>
      <c r="AO120">
        <f ca="1">IF(ISBLANK(HRDataset_v14[[#This Row],[DateofTermination]]),DATEDIF(HRDataset_v14[[#This Row],[DateofHire]],TODAY(),"Y"),DATEDIF(HRDataset_v14[[#This Row],[DateofHire]],HRDataset_v14[[#This Row],[DateofTermination]],"Y"))</f>
        <v>10</v>
      </c>
      <c r="AP120" t="str">
        <f ca="1">IF(HRDataset_v14[[#This Row],[Tenure in Years
]]&lt;1,"0-1 Year",IF(HRDataset_v14[[#This Row],[Tenure in Years
]]&lt;3,"1-3 Years",IF(HRDataset_v14[[#This Row],[Tenure in Years
]]&lt;5,"3-5 Years",IF(HRDataset_v14[[#This Row],[Tenure in Years
]]&lt;10,"5-10 Years","10+ Years"))))</f>
        <v>10+ Years</v>
      </c>
      <c r="AQ120" t="str">
        <f ca="1">IF(HRDataset_v14[[#This Row],[Age Calculation
]]&lt;26,"18-25",IF(HRDataset_v14[[#This Row],[Age Calculation
]]&lt;36,"26-35",IF(HRDataset_v14[[#This Row],[Age Calculation
]]&lt;46,"36-45",IF(HRDataset_v14[[#This Row],[Age Calculation
]]&lt;56,"46-55","55+"))))</f>
        <v>36-45</v>
      </c>
      <c r="AR120" t="str">
        <f>IF(HRDataset_v14[[#This Row],[Salary]]&lt;40000,"Entry (&lt;40K)",IF(HRDataset_v14[[#This Row],[Salary]]&lt;70000,"Mid (40-70K)",IF(HRDataset_v14[[#This Row],[Salary]]&lt;100000,"Senior (70-100K)","Executive (100K+)")))</f>
        <v>Mid (40-70K)</v>
      </c>
      <c r="AS120">
        <f>IF(HRDataset_v14[[#This Row],[EmploymentStatus]]="Active",1,0)</f>
        <v>1</v>
      </c>
      <c r="AT120">
        <f>YEAR(HRDataset_v14[[#This Row],[DateofHire]])</f>
        <v>2015</v>
      </c>
      <c r="AU120">
        <f>MONTH(HRDataset_v14[[#This Row],[DateofHire]])</f>
        <v>6</v>
      </c>
      <c r="AV120" t="str">
        <f>"Q"&amp;ROUNDUP(MONTH(HRDataset_v14[[#This Row],[DateofHire]])/3,0)</f>
        <v>Q2</v>
      </c>
      <c r="AW120" t="str">
        <f>TEXT(HRDataset_v14[[#This Row],[DateofHire]],"MMM")</f>
        <v>Jun</v>
      </c>
      <c r="AX120" t="str">
        <f>TEXT(HRDataset_v14[[#This Row],[DateofHire]],"YYYY-MM")</f>
        <v>2015-06</v>
      </c>
      <c r="AY120" t="str">
        <f>IF(ISBLANK(HRDataset_v14[[#This Row],[DateofTermination]]),"N/A",YEAR(HRDataset_v14[[#This Row],[DateofTermination]]))</f>
        <v>N/A</v>
      </c>
      <c r="AZ120" t="str" cm="1">
        <f t="array" ref="AZ120">INDEX(_xlfn.UNIQUE(Z120:Z430),MATCH(MAX(COUNTIF(Z120:Z430,_xlfn.UNIQUE(Z120:Z430))),COUNTIF(Z120:Z430,_xlfn.UNIQUE(Z120:Z430)),0))</f>
        <v xml:space="preserve">Production       </v>
      </c>
      <c r="BA120">
        <f t="shared" si="16"/>
        <v>35.714285714285715</v>
      </c>
      <c r="BB120">
        <f t="shared" si="17"/>
        <v>0</v>
      </c>
      <c r="BC120" t="str">
        <f t="shared" si="12"/>
        <v>Medium</v>
      </c>
      <c r="BD120">
        <f t="shared" si="13"/>
        <v>4.63</v>
      </c>
      <c r="BE120" t="str">
        <f t="shared" si="14"/>
        <v/>
      </c>
      <c r="BF120">
        <f>AVERAGEIF(R:R,"Married",H:H)</f>
        <v>2.935483870967742</v>
      </c>
      <c r="BT120">
        <f t="shared" si="15"/>
        <v>4.63</v>
      </c>
      <c r="BV120">
        <v>4.0999999999999996</v>
      </c>
    </row>
    <row r="121" spans="1:74" x14ac:dyDescent="0.3">
      <c r="A121" t="s">
        <v>336</v>
      </c>
      <c r="B121">
        <v>10059</v>
      </c>
      <c r="C121">
        <v>0</v>
      </c>
      <c r="D121">
        <v>2</v>
      </c>
      <c r="E121">
        <v>0</v>
      </c>
      <c r="F121">
        <v>5</v>
      </c>
      <c r="G121">
        <v>5</v>
      </c>
      <c r="H121">
        <v>3</v>
      </c>
      <c r="I121">
        <v>0</v>
      </c>
      <c r="J121">
        <v>63813</v>
      </c>
      <c r="K121">
        <v>1</v>
      </c>
      <c r="L121">
        <v>19</v>
      </c>
      <c r="M121" t="s">
        <v>37</v>
      </c>
      <c r="N121" t="s">
        <v>38</v>
      </c>
      <c r="O121">
        <v>2176</v>
      </c>
      <c r="P121">
        <v>30457</v>
      </c>
      <c r="Q121" t="s">
        <v>64</v>
      </c>
      <c r="R121" t="s">
        <v>72</v>
      </c>
      <c r="S121" t="s">
        <v>41</v>
      </c>
      <c r="T121" t="s">
        <v>42</v>
      </c>
      <c r="U121" t="s">
        <v>43</v>
      </c>
      <c r="V121">
        <v>40595</v>
      </c>
      <c r="W121">
        <v>41650</v>
      </c>
      <c r="X121" t="s">
        <v>243</v>
      </c>
      <c r="Y121" t="s">
        <v>56</v>
      </c>
      <c r="Z121" t="s">
        <v>46</v>
      </c>
      <c r="AA121" t="s">
        <v>113</v>
      </c>
      <c r="AB121">
        <v>18</v>
      </c>
      <c r="AC121" t="s">
        <v>140</v>
      </c>
      <c r="AD121" t="s">
        <v>60</v>
      </c>
      <c r="AE121">
        <v>5</v>
      </c>
      <c r="AF121">
        <v>5</v>
      </c>
      <c r="AG121">
        <v>0</v>
      </c>
      <c r="AH121" t="s">
        <v>337</v>
      </c>
      <c r="AI121">
        <v>0</v>
      </c>
      <c r="AJ121">
        <v>17</v>
      </c>
      <c r="AK121" t="str">
        <f t="shared" si="10"/>
        <v>Normal</v>
      </c>
      <c r="AL121" t="str">
        <f t="shared" si="11"/>
        <v>low Outlier</v>
      </c>
      <c r="AM121">
        <f ca="1">INT((TODAY()-HRDataset_v14[[#This Row],[DOB]])/365.25)</f>
        <v>42</v>
      </c>
      <c r="AN121">
        <f ca="1">DATEDIF(HRDataset_v14[[#This Row],[DateofHire]],TODAY(),"Y")</f>
        <v>15</v>
      </c>
      <c r="AO121">
        <f ca="1">IF(ISBLANK(HRDataset_v14[[#This Row],[DateofTermination]]),DATEDIF(HRDataset_v14[[#This Row],[DateofHire]],TODAY(),"Y"),DATEDIF(HRDataset_v14[[#This Row],[DateofHire]],HRDataset_v14[[#This Row],[DateofTermination]],"Y"))</f>
        <v>2</v>
      </c>
      <c r="AP121" t="str">
        <f ca="1">IF(HRDataset_v14[[#This Row],[Tenure in Years
]]&lt;1,"0-1 Year",IF(HRDataset_v14[[#This Row],[Tenure in Years
]]&lt;3,"1-3 Years",IF(HRDataset_v14[[#This Row],[Tenure in Years
]]&lt;5,"3-5 Years",IF(HRDataset_v14[[#This Row],[Tenure in Years
]]&lt;10,"5-10 Years","10+ Years"))))</f>
        <v>10+ Years</v>
      </c>
      <c r="AQ121" t="str">
        <f ca="1">IF(HRDataset_v14[[#This Row],[Age Calculation
]]&lt;26,"18-25",IF(HRDataset_v14[[#This Row],[Age Calculation
]]&lt;36,"26-35",IF(HRDataset_v14[[#This Row],[Age Calculation
]]&lt;46,"36-45",IF(HRDataset_v14[[#This Row],[Age Calculation
]]&lt;56,"46-55","55+"))))</f>
        <v>36-45</v>
      </c>
      <c r="AR121" t="str">
        <f>IF(HRDataset_v14[[#This Row],[Salary]]&lt;40000,"Entry (&lt;40K)",IF(HRDataset_v14[[#This Row],[Salary]]&lt;70000,"Mid (40-70K)",IF(HRDataset_v14[[#This Row],[Salary]]&lt;100000,"Senior (70-100K)","Executive (100K+)")))</f>
        <v>Mid (40-70K)</v>
      </c>
      <c r="AS121">
        <f>IF(HRDataset_v14[[#This Row],[EmploymentStatus]]="Active",1,0)</f>
        <v>0</v>
      </c>
      <c r="AT121">
        <f>YEAR(HRDataset_v14[[#This Row],[DateofHire]])</f>
        <v>2011</v>
      </c>
      <c r="AU121">
        <f>MONTH(HRDataset_v14[[#This Row],[DateofHire]])</f>
        <v>2</v>
      </c>
      <c r="AV121" t="str">
        <f>"Q"&amp;ROUNDUP(MONTH(HRDataset_v14[[#This Row],[DateofHire]])/3,0)</f>
        <v>Q1</v>
      </c>
      <c r="AW121" t="str">
        <f>TEXT(HRDataset_v14[[#This Row],[DateofHire]],"MMM")</f>
        <v>Feb</v>
      </c>
      <c r="AX121" t="str">
        <f>TEXT(HRDataset_v14[[#This Row],[DateofHire]],"YYYY-MM")</f>
        <v>2011-02</v>
      </c>
      <c r="AY121">
        <f>IF(ISBLANK(HRDataset_v14[[#This Row],[DateofTermination]]),"N/A",YEAR(HRDataset_v14[[#This Row],[DateofTermination]]))</f>
        <v>2014</v>
      </c>
      <c r="AZ121" t="str" cm="1">
        <f t="array" ref="AZ121">INDEX(_xlfn.UNIQUE(Z121:Z431),MATCH(MAX(COUNTIF(Z121:Z431,_xlfn.UNIQUE(Z121:Z431))),COUNTIF(Z121:Z431,_xlfn.UNIQUE(Z121:Z431)),0))</f>
        <v xml:space="preserve">Production       </v>
      </c>
      <c r="BA121">
        <f t="shared" si="16"/>
        <v>30.76923076923077</v>
      </c>
      <c r="BB121">
        <f t="shared" si="17"/>
        <v>10</v>
      </c>
      <c r="BC121" t="str">
        <f t="shared" si="12"/>
        <v>Medium</v>
      </c>
      <c r="BD121" t="str">
        <f t="shared" si="13"/>
        <v/>
      </c>
      <c r="BE121">
        <f t="shared" si="14"/>
        <v>5</v>
      </c>
      <c r="BF121" t="s">
        <v>699</v>
      </c>
      <c r="BT121" t="str">
        <f t="shared" si="15"/>
        <v/>
      </c>
      <c r="BV121">
        <v>4</v>
      </c>
    </row>
    <row r="122" spans="1:74" x14ac:dyDescent="0.3">
      <c r="A122" t="s">
        <v>338</v>
      </c>
      <c r="B122">
        <v>10234</v>
      </c>
      <c r="C122">
        <v>1</v>
      </c>
      <c r="D122">
        <v>1</v>
      </c>
      <c r="E122">
        <v>1</v>
      </c>
      <c r="F122">
        <v>1</v>
      </c>
      <c r="G122">
        <v>3</v>
      </c>
      <c r="H122">
        <v>3</v>
      </c>
      <c r="I122">
        <v>0</v>
      </c>
      <c r="J122">
        <v>99020</v>
      </c>
      <c r="K122">
        <v>0</v>
      </c>
      <c r="L122">
        <v>4</v>
      </c>
      <c r="M122" t="s">
        <v>247</v>
      </c>
      <c r="N122" t="s">
        <v>38</v>
      </c>
      <c r="O122">
        <v>2134</v>
      </c>
      <c r="P122">
        <v>32689</v>
      </c>
      <c r="Q122" t="s">
        <v>39</v>
      </c>
      <c r="R122" t="s">
        <v>53</v>
      </c>
      <c r="S122" t="s">
        <v>41</v>
      </c>
      <c r="T122" t="s">
        <v>42</v>
      </c>
      <c r="U122" t="s">
        <v>91</v>
      </c>
      <c r="V122">
        <v>42845</v>
      </c>
      <c r="X122" t="s">
        <v>44</v>
      </c>
      <c r="Y122" t="s">
        <v>45</v>
      </c>
      <c r="Z122" t="s">
        <v>57</v>
      </c>
      <c r="AA122" t="s">
        <v>249</v>
      </c>
      <c r="AB122">
        <v>13</v>
      </c>
      <c r="AC122" t="s">
        <v>59</v>
      </c>
      <c r="AD122" t="s">
        <v>60</v>
      </c>
      <c r="AE122">
        <v>4.2</v>
      </c>
      <c r="AF122">
        <v>5</v>
      </c>
      <c r="AG122">
        <v>5</v>
      </c>
      <c r="AH122" t="s">
        <v>223</v>
      </c>
      <c r="AI122">
        <v>0</v>
      </c>
      <c r="AJ122">
        <v>8</v>
      </c>
      <c r="AK122" t="str">
        <f t="shared" si="10"/>
        <v>Normal</v>
      </c>
      <c r="AL122" t="str">
        <f t="shared" si="11"/>
        <v>low Outlier</v>
      </c>
      <c r="AM122">
        <f ca="1">INT((TODAY()-HRDataset_v14[[#This Row],[DOB]])/365.25)</f>
        <v>36</v>
      </c>
      <c r="AN122">
        <f ca="1">DATEDIF(HRDataset_v14[[#This Row],[DateofHire]],TODAY(),"Y")</f>
        <v>8</v>
      </c>
      <c r="AO122">
        <f ca="1">IF(ISBLANK(HRDataset_v14[[#This Row],[DateofTermination]]),DATEDIF(HRDataset_v14[[#This Row],[DateofHire]],TODAY(),"Y"),DATEDIF(HRDataset_v14[[#This Row],[DateofHire]],HRDataset_v14[[#This Row],[DateofTermination]],"Y"))</f>
        <v>8</v>
      </c>
      <c r="AP122" t="str">
        <f ca="1">IF(HRDataset_v14[[#This Row],[Tenure in Years
]]&lt;1,"0-1 Year",IF(HRDataset_v14[[#This Row],[Tenure in Years
]]&lt;3,"1-3 Years",IF(HRDataset_v14[[#This Row],[Tenure in Years
]]&lt;5,"3-5 Years",IF(HRDataset_v14[[#This Row],[Tenure in Years
]]&lt;10,"5-10 Years","10+ Years"))))</f>
        <v>5-10 Years</v>
      </c>
      <c r="AQ122" t="str">
        <f ca="1">IF(HRDataset_v14[[#This Row],[Age Calculation
]]&lt;26,"18-25",IF(HRDataset_v14[[#This Row],[Age Calculation
]]&lt;36,"26-35",IF(HRDataset_v14[[#This Row],[Age Calculation
]]&lt;46,"36-45",IF(HRDataset_v14[[#This Row],[Age Calculation
]]&lt;56,"46-55","55+"))))</f>
        <v>36-45</v>
      </c>
      <c r="AR122" t="str">
        <f>IF(HRDataset_v14[[#This Row],[Salary]]&lt;40000,"Entry (&lt;40K)",IF(HRDataset_v14[[#This Row],[Salary]]&lt;70000,"Mid (40-70K)",IF(HRDataset_v14[[#This Row],[Salary]]&lt;100000,"Senior (70-100K)","Executive (100K+)")))</f>
        <v>Senior (70-100K)</v>
      </c>
      <c r="AS122">
        <f>IF(HRDataset_v14[[#This Row],[EmploymentStatus]]="Active",1,0)</f>
        <v>1</v>
      </c>
      <c r="AT122">
        <f>YEAR(HRDataset_v14[[#This Row],[DateofHire]])</f>
        <v>2017</v>
      </c>
      <c r="AU122">
        <f>MONTH(HRDataset_v14[[#This Row],[DateofHire]])</f>
        <v>4</v>
      </c>
      <c r="AV122" t="str">
        <f>"Q"&amp;ROUNDUP(MONTH(HRDataset_v14[[#This Row],[DateofHire]])/3,0)</f>
        <v>Q2</v>
      </c>
      <c r="AW122" t="str">
        <f>TEXT(HRDataset_v14[[#This Row],[DateofHire]],"MMM")</f>
        <v>Apr</v>
      </c>
      <c r="AX122" t="str">
        <f>TEXT(HRDataset_v14[[#This Row],[DateofHire]],"YYYY-MM")</f>
        <v>2017-04</v>
      </c>
      <c r="AY122" t="str">
        <f>IF(ISBLANK(HRDataset_v14[[#This Row],[DateofTermination]]),"N/A",YEAR(HRDataset_v14[[#This Row],[DateofTermination]]))</f>
        <v>N/A</v>
      </c>
      <c r="AZ122" t="str" cm="1">
        <f t="array" ref="AZ122">INDEX(_xlfn.UNIQUE(Z122:Z432),MATCH(MAX(COUNTIF(Z122:Z432,_xlfn.UNIQUE(Z122:Z432))),COUNTIF(Z122:Z432,_xlfn.UNIQUE(Z122:Z432)),0))</f>
        <v xml:space="preserve">Production       </v>
      </c>
      <c r="BA122">
        <f t="shared" si="16"/>
        <v>0</v>
      </c>
      <c r="BB122">
        <f t="shared" si="17"/>
        <v>0</v>
      </c>
      <c r="BC122" t="str">
        <f t="shared" si="12"/>
        <v>Medium</v>
      </c>
      <c r="BD122">
        <f t="shared" si="13"/>
        <v>4.2</v>
      </c>
      <c r="BE122" t="str">
        <f t="shared" si="14"/>
        <v/>
      </c>
      <c r="BF122">
        <f>AVERAGEIF(R:R,"Single",H:H)</f>
        <v>2.9781021897810218</v>
      </c>
      <c r="BT122">
        <f t="shared" si="15"/>
        <v>4.2</v>
      </c>
      <c r="BV122">
        <v>4.6399999999999997</v>
      </c>
    </row>
    <row r="123" spans="1:74" x14ac:dyDescent="0.3">
      <c r="A123" t="s">
        <v>339</v>
      </c>
      <c r="B123">
        <v>10109</v>
      </c>
      <c r="C123">
        <v>0</v>
      </c>
      <c r="D123">
        <v>0</v>
      </c>
      <c r="E123">
        <v>1</v>
      </c>
      <c r="F123">
        <v>5</v>
      </c>
      <c r="G123">
        <v>6</v>
      </c>
      <c r="H123">
        <v>3</v>
      </c>
      <c r="I123">
        <v>0</v>
      </c>
      <c r="J123">
        <v>71707</v>
      </c>
      <c r="K123">
        <v>1</v>
      </c>
      <c r="L123">
        <v>3</v>
      </c>
      <c r="M123" t="s">
        <v>169</v>
      </c>
      <c r="N123" t="s">
        <v>340</v>
      </c>
      <c r="O123">
        <v>37129</v>
      </c>
      <c r="P123">
        <v>25243</v>
      </c>
      <c r="Q123" t="s">
        <v>39</v>
      </c>
      <c r="R123" t="s">
        <v>40</v>
      </c>
      <c r="S123" t="s">
        <v>41</v>
      </c>
      <c r="T123" t="s">
        <v>42</v>
      </c>
      <c r="U123" t="s">
        <v>111</v>
      </c>
      <c r="V123">
        <v>40975</v>
      </c>
      <c r="W123">
        <v>41943</v>
      </c>
      <c r="X123" t="s">
        <v>200</v>
      </c>
      <c r="Y123" t="s">
        <v>56</v>
      </c>
      <c r="Z123" t="s">
        <v>171</v>
      </c>
      <c r="AA123" t="s">
        <v>172</v>
      </c>
      <c r="AB123">
        <v>17</v>
      </c>
      <c r="AC123" t="s">
        <v>48</v>
      </c>
      <c r="AD123" t="s">
        <v>60</v>
      </c>
      <c r="AE123">
        <v>4.5</v>
      </c>
      <c r="AF123">
        <v>5</v>
      </c>
      <c r="AG123">
        <v>0</v>
      </c>
      <c r="AH123" t="s">
        <v>341</v>
      </c>
      <c r="AI123">
        <v>0</v>
      </c>
      <c r="AJ123">
        <v>20</v>
      </c>
      <c r="AK123" t="str">
        <f t="shared" si="10"/>
        <v>Normal</v>
      </c>
      <c r="AL123" t="str">
        <f t="shared" si="11"/>
        <v>low Outlier</v>
      </c>
      <c r="AM123">
        <f ca="1">INT((TODAY()-HRDataset_v14[[#This Row],[DOB]])/365.25)</f>
        <v>57</v>
      </c>
      <c r="AN123">
        <f ca="1">DATEDIF(HRDataset_v14[[#This Row],[DateofHire]],TODAY(),"Y")</f>
        <v>14</v>
      </c>
      <c r="AO123">
        <f ca="1">IF(ISBLANK(HRDataset_v14[[#This Row],[DateofTermination]]),DATEDIF(HRDataset_v14[[#This Row],[DateofHire]],TODAY(),"Y"),DATEDIF(HRDataset_v14[[#This Row],[DateofHire]],HRDataset_v14[[#This Row],[DateofTermination]],"Y"))</f>
        <v>2</v>
      </c>
      <c r="AP123" t="str">
        <f ca="1">IF(HRDataset_v14[[#This Row],[Tenure in Years
]]&lt;1,"0-1 Year",IF(HRDataset_v14[[#This Row],[Tenure in Years
]]&lt;3,"1-3 Years",IF(HRDataset_v14[[#This Row],[Tenure in Years
]]&lt;5,"3-5 Years",IF(HRDataset_v14[[#This Row],[Tenure in Years
]]&lt;10,"5-10 Years","10+ Years"))))</f>
        <v>10+ Years</v>
      </c>
      <c r="AQ123" t="str">
        <f ca="1">IF(HRDataset_v14[[#This Row],[Age Calculation
]]&lt;26,"18-25",IF(HRDataset_v14[[#This Row],[Age Calculation
]]&lt;36,"26-35",IF(HRDataset_v14[[#This Row],[Age Calculation
]]&lt;46,"36-45",IF(HRDataset_v14[[#This Row],[Age Calculation
]]&lt;56,"46-55","55+"))))</f>
        <v>55+</v>
      </c>
      <c r="AR123" t="str">
        <f>IF(HRDataset_v14[[#This Row],[Salary]]&lt;40000,"Entry (&lt;40K)",IF(HRDataset_v14[[#This Row],[Salary]]&lt;70000,"Mid (40-70K)",IF(HRDataset_v14[[#This Row],[Salary]]&lt;100000,"Senior (70-100K)","Executive (100K+)")))</f>
        <v>Senior (70-100K)</v>
      </c>
      <c r="AS123">
        <f>IF(HRDataset_v14[[#This Row],[EmploymentStatus]]="Active",1,0)</f>
        <v>0</v>
      </c>
      <c r="AT123">
        <f>YEAR(HRDataset_v14[[#This Row],[DateofHire]])</f>
        <v>2012</v>
      </c>
      <c r="AU123">
        <f>MONTH(HRDataset_v14[[#This Row],[DateofHire]])</f>
        <v>3</v>
      </c>
      <c r="AV123" t="str">
        <f>"Q"&amp;ROUNDUP(MONTH(HRDataset_v14[[#This Row],[DateofHire]])/3,0)</f>
        <v>Q1</v>
      </c>
      <c r="AW123" t="str">
        <f>TEXT(HRDataset_v14[[#This Row],[DateofHire]],"MMM")</f>
        <v>Mar</v>
      </c>
      <c r="AX123" t="str">
        <f>TEXT(HRDataset_v14[[#This Row],[DateofHire]],"YYYY-MM")</f>
        <v>2012-03</v>
      </c>
      <c r="AY123">
        <f>IF(ISBLANK(HRDataset_v14[[#This Row],[DateofTermination]]),"N/A",YEAR(HRDataset_v14[[#This Row],[DateofTermination]]))</f>
        <v>2014</v>
      </c>
      <c r="AZ123" t="str" cm="1">
        <f t="array" ref="AZ123">INDEX(_xlfn.UNIQUE(Z123:Z433),MATCH(MAX(COUNTIF(Z123:Z433,_xlfn.UNIQUE(Z123:Z433))),COUNTIF(Z123:Z433,_xlfn.UNIQUE(Z123:Z433)),0))</f>
        <v xml:space="preserve">Production       </v>
      </c>
      <c r="BA123">
        <f t="shared" si="16"/>
        <v>11.111111111111111</v>
      </c>
      <c r="BB123">
        <f t="shared" si="17"/>
        <v>4</v>
      </c>
      <c r="BC123" t="str">
        <f t="shared" si="12"/>
        <v>Medium</v>
      </c>
      <c r="BD123" t="str">
        <f t="shared" si="13"/>
        <v/>
      </c>
      <c r="BE123">
        <f t="shared" si="14"/>
        <v>4.5</v>
      </c>
      <c r="BT123" t="str">
        <f t="shared" si="15"/>
        <v/>
      </c>
      <c r="BV123">
        <v>4.2</v>
      </c>
    </row>
    <row r="124" spans="1:74" x14ac:dyDescent="0.3">
      <c r="A124" t="s">
        <v>342</v>
      </c>
      <c r="B124">
        <v>10125</v>
      </c>
      <c r="C124">
        <v>1</v>
      </c>
      <c r="D124">
        <v>1</v>
      </c>
      <c r="E124">
        <v>0</v>
      </c>
      <c r="F124">
        <v>1</v>
      </c>
      <c r="G124">
        <v>5</v>
      </c>
      <c r="H124">
        <v>3</v>
      </c>
      <c r="I124">
        <v>0</v>
      </c>
      <c r="J124">
        <v>54828</v>
      </c>
      <c r="K124">
        <v>0</v>
      </c>
      <c r="L124">
        <v>19</v>
      </c>
      <c r="M124" t="s">
        <v>37</v>
      </c>
      <c r="N124" t="s">
        <v>38</v>
      </c>
      <c r="O124">
        <v>2127</v>
      </c>
      <c r="P124">
        <v>28207</v>
      </c>
      <c r="Q124" t="s">
        <v>64</v>
      </c>
      <c r="R124" t="s">
        <v>53</v>
      </c>
      <c r="S124" t="s">
        <v>41</v>
      </c>
      <c r="T124" t="s">
        <v>42</v>
      </c>
      <c r="U124" t="s">
        <v>43</v>
      </c>
      <c r="V124">
        <v>40875</v>
      </c>
      <c r="X124" t="s">
        <v>44</v>
      </c>
      <c r="Y124" t="s">
        <v>45</v>
      </c>
      <c r="Z124" t="s">
        <v>46</v>
      </c>
      <c r="AA124" t="s">
        <v>47</v>
      </c>
      <c r="AB124">
        <v>22</v>
      </c>
      <c r="AC124" t="s">
        <v>75</v>
      </c>
      <c r="AD124" t="s">
        <v>60</v>
      </c>
      <c r="AE124">
        <v>4.2</v>
      </c>
      <c r="AF124">
        <v>4</v>
      </c>
      <c r="AG124">
        <v>0</v>
      </c>
      <c r="AH124" t="s">
        <v>182</v>
      </c>
      <c r="AI124">
        <v>0</v>
      </c>
      <c r="AJ124">
        <v>13</v>
      </c>
      <c r="AK124" t="str">
        <f t="shared" si="10"/>
        <v>Normal</v>
      </c>
      <c r="AL124" t="str">
        <f t="shared" si="11"/>
        <v>low Outlier</v>
      </c>
      <c r="AM124">
        <f ca="1">INT((TODAY()-HRDataset_v14[[#This Row],[DOB]])/365.25)</f>
        <v>49</v>
      </c>
      <c r="AN124">
        <f ca="1">DATEDIF(HRDataset_v14[[#This Row],[DateofHire]],TODAY(),"Y")</f>
        <v>14</v>
      </c>
      <c r="AO124">
        <f ca="1">IF(ISBLANK(HRDataset_v14[[#This Row],[DateofTermination]]),DATEDIF(HRDataset_v14[[#This Row],[DateofHire]],TODAY(),"Y"),DATEDIF(HRDataset_v14[[#This Row],[DateofHire]],HRDataset_v14[[#This Row],[DateofTermination]],"Y"))</f>
        <v>14</v>
      </c>
      <c r="AP124" t="str">
        <f ca="1">IF(HRDataset_v14[[#This Row],[Tenure in Years
]]&lt;1,"0-1 Year",IF(HRDataset_v14[[#This Row],[Tenure in Years
]]&lt;3,"1-3 Years",IF(HRDataset_v14[[#This Row],[Tenure in Years
]]&lt;5,"3-5 Years",IF(HRDataset_v14[[#This Row],[Tenure in Years
]]&lt;10,"5-10 Years","10+ Years"))))</f>
        <v>10+ Years</v>
      </c>
      <c r="AQ124" t="str">
        <f ca="1">IF(HRDataset_v14[[#This Row],[Age Calculation
]]&lt;26,"18-25",IF(HRDataset_v14[[#This Row],[Age Calculation
]]&lt;36,"26-35",IF(HRDataset_v14[[#This Row],[Age Calculation
]]&lt;46,"36-45",IF(HRDataset_v14[[#This Row],[Age Calculation
]]&lt;56,"46-55","55+"))))</f>
        <v>46-55</v>
      </c>
      <c r="AR124" t="str">
        <f>IF(HRDataset_v14[[#This Row],[Salary]]&lt;40000,"Entry (&lt;40K)",IF(HRDataset_v14[[#This Row],[Salary]]&lt;70000,"Mid (40-70K)",IF(HRDataset_v14[[#This Row],[Salary]]&lt;100000,"Senior (70-100K)","Executive (100K+)")))</f>
        <v>Mid (40-70K)</v>
      </c>
      <c r="AS124">
        <f>IF(HRDataset_v14[[#This Row],[EmploymentStatus]]="Active",1,0)</f>
        <v>1</v>
      </c>
      <c r="AT124">
        <f>YEAR(HRDataset_v14[[#This Row],[DateofHire]])</f>
        <v>2011</v>
      </c>
      <c r="AU124">
        <f>MONTH(HRDataset_v14[[#This Row],[DateofHire]])</f>
        <v>11</v>
      </c>
      <c r="AV124" t="str">
        <f>"Q"&amp;ROUNDUP(MONTH(HRDataset_v14[[#This Row],[DateofHire]])/3,0)</f>
        <v>Q4</v>
      </c>
      <c r="AW124" t="str">
        <f>TEXT(HRDataset_v14[[#This Row],[DateofHire]],"MMM")</f>
        <v>Nov</v>
      </c>
      <c r="AX124" t="str">
        <f>TEXT(HRDataset_v14[[#This Row],[DateofHire]],"YYYY-MM")</f>
        <v>2011-11</v>
      </c>
      <c r="AY124" t="str">
        <f>IF(ISBLANK(HRDataset_v14[[#This Row],[DateofTermination]]),"N/A",YEAR(HRDataset_v14[[#This Row],[DateofTermination]]))</f>
        <v>N/A</v>
      </c>
      <c r="AZ124" t="str" cm="1">
        <f t="array" ref="AZ124">INDEX(_xlfn.UNIQUE(Z124:Z434),MATCH(MAX(COUNTIF(Z124:Z434,_xlfn.UNIQUE(Z124:Z434))),COUNTIF(Z124:Z434,_xlfn.UNIQUE(Z124:Z434)),0))</f>
        <v xml:space="preserve">Production       </v>
      </c>
      <c r="BA124">
        <f t="shared" si="16"/>
        <v>50</v>
      </c>
      <c r="BB124">
        <f t="shared" si="17"/>
        <v>0</v>
      </c>
      <c r="BC124" t="str">
        <f t="shared" si="12"/>
        <v>Medium</v>
      </c>
      <c r="BD124">
        <f t="shared" si="13"/>
        <v>4.2</v>
      </c>
      <c r="BE124" t="str">
        <f t="shared" si="14"/>
        <v/>
      </c>
      <c r="BT124">
        <f t="shared" si="15"/>
        <v>4.2</v>
      </c>
      <c r="BV124">
        <v>5</v>
      </c>
    </row>
    <row r="125" spans="1:74" x14ac:dyDescent="0.3">
      <c r="A125" t="s">
        <v>343</v>
      </c>
      <c r="B125">
        <v>10074</v>
      </c>
      <c r="C125">
        <v>0</v>
      </c>
      <c r="D125">
        <v>0</v>
      </c>
      <c r="E125">
        <v>1</v>
      </c>
      <c r="F125">
        <v>1</v>
      </c>
      <c r="G125">
        <v>5</v>
      </c>
      <c r="H125">
        <v>3</v>
      </c>
      <c r="I125">
        <v>0</v>
      </c>
      <c r="J125">
        <v>64246</v>
      </c>
      <c r="K125">
        <v>0</v>
      </c>
      <c r="L125">
        <v>20</v>
      </c>
      <c r="M125" t="s">
        <v>63</v>
      </c>
      <c r="N125" t="s">
        <v>38</v>
      </c>
      <c r="O125">
        <v>2155</v>
      </c>
      <c r="P125">
        <v>32365</v>
      </c>
      <c r="Q125" t="s">
        <v>39</v>
      </c>
      <c r="R125" t="s">
        <v>40</v>
      </c>
      <c r="S125" t="s">
        <v>41</v>
      </c>
      <c r="T125" t="s">
        <v>100</v>
      </c>
      <c r="U125" t="s">
        <v>43</v>
      </c>
      <c r="V125">
        <v>41589</v>
      </c>
      <c r="X125" t="s">
        <v>44</v>
      </c>
      <c r="Y125" t="s">
        <v>45</v>
      </c>
      <c r="Z125" t="s">
        <v>46</v>
      </c>
      <c r="AA125" t="s">
        <v>113</v>
      </c>
      <c r="AB125">
        <v>18</v>
      </c>
      <c r="AC125" t="s">
        <v>48</v>
      </c>
      <c r="AD125" t="s">
        <v>60</v>
      </c>
      <c r="AE125">
        <v>5</v>
      </c>
      <c r="AF125">
        <v>3</v>
      </c>
      <c r="AG125">
        <v>0</v>
      </c>
      <c r="AH125" t="s">
        <v>344</v>
      </c>
      <c r="AI125">
        <v>0</v>
      </c>
      <c r="AJ125">
        <v>20</v>
      </c>
      <c r="AK125" t="str">
        <f t="shared" si="10"/>
        <v>Normal</v>
      </c>
      <c r="AL125" t="str">
        <f t="shared" si="11"/>
        <v>low Outlier</v>
      </c>
      <c r="AM125">
        <f ca="1">INT((TODAY()-HRDataset_v14[[#This Row],[DOB]])/365.25)</f>
        <v>37</v>
      </c>
      <c r="AN125">
        <f ca="1">DATEDIF(HRDataset_v14[[#This Row],[DateofHire]],TODAY(),"Y")</f>
        <v>12</v>
      </c>
      <c r="AO125">
        <f ca="1">IF(ISBLANK(HRDataset_v14[[#This Row],[DateofTermination]]),DATEDIF(HRDataset_v14[[#This Row],[DateofHire]],TODAY(),"Y"),DATEDIF(HRDataset_v14[[#This Row],[DateofHire]],HRDataset_v14[[#This Row],[DateofTermination]],"Y"))</f>
        <v>12</v>
      </c>
      <c r="AP125" t="str">
        <f ca="1">IF(HRDataset_v14[[#This Row],[Tenure in Years
]]&lt;1,"0-1 Year",IF(HRDataset_v14[[#This Row],[Tenure in Years
]]&lt;3,"1-3 Years",IF(HRDataset_v14[[#This Row],[Tenure in Years
]]&lt;5,"3-5 Years",IF(HRDataset_v14[[#This Row],[Tenure in Years
]]&lt;10,"5-10 Years","10+ Years"))))</f>
        <v>10+ Years</v>
      </c>
      <c r="AQ125" t="str">
        <f ca="1">IF(HRDataset_v14[[#This Row],[Age Calculation
]]&lt;26,"18-25",IF(HRDataset_v14[[#This Row],[Age Calculation
]]&lt;36,"26-35",IF(HRDataset_v14[[#This Row],[Age Calculation
]]&lt;46,"36-45",IF(HRDataset_v14[[#This Row],[Age Calculation
]]&lt;56,"46-55","55+"))))</f>
        <v>36-45</v>
      </c>
      <c r="AR125" t="str">
        <f>IF(HRDataset_v14[[#This Row],[Salary]]&lt;40000,"Entry (&lt;40K)",IF(HRDataset_v14[[#This Row],[Salary]]&lt;70000,"Mid (40-70K)",IF(HRDataset_v14[[#This Row],[Salary]]&lt;100000,"Senior (70-100K)","Executive (100K+)")))</f>
        <v>Mid (40-70K)</v>
      </c>
      <c r="AS125">
        <f>IF(HRDataset_v14[[#This Row],[EmploymentStatus]]="Active",1,0)</f>
        <v>1</v>
      </c>
      <c r="AT125">
        <f>YEAR(HRDataset_v14[[#This Row],[DateofHire]])</f>
        <v>2013</v>
      </c>
      <c r="AU125">
        <f>MONTH(HRDataset_v14[[#This Row],[DateofHire]])</f>
        <v>11</v>
      </c>
      <c r="AV125" t="str">
        <f>"Q"&amp;ROUNDUP(MONTH(HRDataset_v14[[#This Row],[DateofHire]])/3,0)</f>
        <v>Q4</v>
      </c>
      <c r="AW125" t="str">
        <f>TEXT(HRDataset_v14[[#This Row],[DateofHire]],"MMM")</f>
        <v>Nov</v>
      </c>
      <c r="AX125" t="str">
        <f>TEXT(HRDataset_v14[[#This Row],[DateofHire]],"YYYY-MM")</f>
        <v>2013-11</v>
      </c>
      <c r="AY125" t="str">
        <f>IF(ISBLANK(HRDataset_v14[[#This Row],[DateofTermination]]),"N/A",YEAR(HRDataset_v14[[#This Row],[DateofTermination]]))</f>
        <v>N/A</v>
      </c>
      <c r="AZ125" t="str" cm="1">
        <f t="array" ref="AZ125">INDEX(_xlfn.UNIQUE(Z125:Z435),MATCH(MAX(COUNTIF(Z125:Z435,_xlfn.UNIQUE(Z125:Z435))),COUNTIF(Z125:Z435,_xlfn.UNIQUE(Z125:Z435)),0))</f>
        <v xml:space="preserve">Production       </v>
      </c>
      <c r="BA125">
        <f t="shared" si="16"/>
        <v>25</v>
      </c>
      <c r="BB125">
        <f t="shared" si="17"/>
        <v>0</v>
      </c>
      <c r="BC125" t="str">
        <f t="shared" si="12"/>
        <v>Medium</v>
      </c>
      <c r="BD125">
        <f t="shared" si="13"/>
        <v>5</v>
      </c>
      <c r="BE125" t="str">
        <f t="shared" si="14"/>
        <v/>
      </c>
      <c r="BT125">
        <f t="shared" si="15"/>
        <v>5</v>
      </c>
      <c r="BV125">
        <v>4.5999999999999996</v>
      </c>
    </row>
    <row r="126" spans="1:74" x14ac:dyDescent="0.3">
      <c r="A126" t="s">
        <v>345</v>
      </c>
      <c r="B126">
        <v>10097</v>
      </c>
      <c r="C126">
        <v>0</v>
      </c>
      <c r="D126">
        <v>0</v>
      </c>
      <c r="E126">
        <v>0</v>
      </c>
      <c r="F126">
        <v>5</v>
      </c>
      <c r="G126">
        <v>5</v>
      </c>
      <c r="H126">
        <v>3</v>
      </c>
      <c r="I126">
        <v>0</v>
      </c>
      <c r="J126">
        <v>52177</v>
      </c>
      <c r="K126">
        <v>1</v>
      </c>
      <c r="L126">
        <v>19</v>
      </c>
      <c r="M126" t="s">
        <v>37</v>
      </c>
      <c r="N126" t="s">
        <v>38</v>
      </c>
      <c r="O126">
        <v>2324</v>
      </c>
      <c r="P126">
        <v>19224</v>
      </c>
      <c r="Q126" t="s">
        <v>64</v>
      </c>
      <c r="R126" t="s">
        <v>40</v>
      </c>
      <c r="S126" t="s">
        <v>41</v>
      </c>
      <c r="T126" t="s">
        <v>42</v>
      </c>
      <c r="U126" t="s">
        <v>43</v>
      </c>
      <c r="V126">
        <v>40917</v>
      </c>
      <c r="W126">
        <v>42353</v>
      </c>
      <c r="X126" t="s">
        <v>155</v>
      </c>
      <c r="Y126" t="s">
        <v>56</v>
      </c>
      <c r="Z126" t="s">
        <v>46</v>
      </c>
      <c r="AA126" t="s">
        <v>74</v>
      </c>
      <c r="AB126">
        <v>39</v>
      </c>
      <c r="AC126" t="s">
        <v>140</v>
      </c>
      <c r="AD126" t="s">
        <v>60</v>
      </c>
      <c r="AE126">
        <v>4.6399999999999997</v>
      </c>
      <c r="AF126">
        <v>4</v>
      </c>
      <c r="AG126">
        <v>0</v>
      </c>
      <c r="AH126" t="s">
        <v>346</v>
      </c>
      <c r="AI126">
        <v>0</v>
      </c>
      <c r="AJ126">
        <v>8</v>
      </c>
      <c r="AK126" t="str">
        <f t="shared" si="10"/>
        <v>Normal</v>
      </c>
      <c r="AL126" t="str">
        <f t="shared" si="11"/>
        <v>low Outlier</v>
      </c>
      <c r="AM126">
        <f ca="1">INT((TODAY()-HRDataset_v14[[#This Row],[DOB]])/365.25)</f>
        <v>73</v>
      </c>
      <c r="AN126">
        <f ca="1">DATEDIF(HRDataset_v14[[#This Row],[DateofHire]],TODAY(),"Y")</f>
        <v>14</v>
      </c>
      <c r="AO126">
        <f ca="1">IF(ISBLANK(HRDataset_v14[[#This Row],[DateofTermination]]),DATEDIF(HRDataset_v14[[#This Row],[DateofHire]],TODAY(),"Y"),DATEDIF(HRDataset_v14[[#This Row],[DateofHire]],HRDataset_v14[[#This Row],[DateofTermination]],"Y"))</f>
        <v>3</v>
      </c>
      <c r="AP126" t="str">
        <f ca="1">IF(HRDataset_v14[[#This Row],[Tenure in Years
]]&lt;1,"0-1 Year",IF(HRDataset_v14[[#This Row],[Tenure in Years
]]&lt;3,"1-3 Years",IF(HRDataset_v14[[#This Row],[Tenure in Years
]]&lt;5,"3-5 Years",IF(HRDataset_v14[[#This Row],[Tenure in Years
]]&lt;10,"5-10 Years","10+ Years"))))</f>
        <v>10+ Years</v>
      </c>
      <c r="AQ126" t="str">
        <f ca="1">IF(HRDataset_v14[[#This Row],[Age Calculation
]]&lt;26,"18-25",IF(HRDataset_v14[[#This Row],[Age Calculation
]]&lt;36,"26-35",IF(HRDataset_v14[[#This Row],[Age Calculation
]]&lt;46,"36-45",IF(HRDataset_v14[[#This Row],[Age Calculation
]]&lt;56,"46-55","55+"))))</f>
        <v>55+</v>
      </c>
      <c r="AR126" t="str">
        <f>IF(HRDataset_v14[[#This Row],[Salary]]&lt;40000,"Entry (&lt;40K)",IF(HRDataset_v14[[#This Row],[Salary]]&lt;70000,"Mid (40-70K)",IF(HRDataset_v14[[#This Row],[Salary]]&lt;100000,"Senior (70-100K)","Executive (100K+)")))</f>
        <v>Mid (40-70K)</v>
      </c>
      <c r="AS126">
        <f>IF(HRDataset_v14[[#This Row],[EmploymentStatus]]="Active",1,0)</f>
        <v>0</v>
      </c>
      <c r="AT126">
        <f>YEAR(HRDataset_v14[[#This Row],[DateofHire]])</f>
        <v>2012</v>
      </c>
      <c r="AU126">
        <f>MONTH(HRDataset_v14[[#This Row],[DateofHire]])</f>
        <v>1</v>
      </c>
      <c r="AV126" t="str">
        <f>"Q"&amp;ROUNDUP(MONTH(HRDataset_v14[[#This Row],[DateofHire]])/3,0)</f>
        <v>Q1</v>
      </c>
      <c r="AW126" t="str">
        <f>TEXT(HRDataset_v14[[#This Row],[DateofHire]],"MMM")</f>
        <v>Jan</v>
      </c>
      <c r="AX126" t="str">
        <f>TEXT(HRDataset_v14[[#This Row],[DateofHire]],"YYYY-MM")</f>
        <v>2012-01</v>
      </c>
      <c r="AY126">
        <f>IF(ISBLANK(HRDataset_v14[[#This Row],[DateofTermination]]),"N/A",YEAR(HRDataset_v14[[#This Row],[DateofTermination]]))</f>
        <v>2015</v>
      </c>
      <c r="AZ126" t="str" cm="1">
        <f t="array" ref="AZ126">INDEX(_xlfn.UNIQUE(Z126:Z436),MATCH(MAX(COUNTIF(Z126:Z436,_xlfn.UNIQUE(Z126:Z436))),COUNTIF(Z126:Z436,_xlfn.UNIQUE(Z126:Z436)),0))</f>
        <v xml:space="preserve">Production       </v>
      </c>
      <c r="BA126">
        <f t="shared" si="16"/>
        <v>69.230769230769226</v>
      </c>
      <c r="BB126">
        <f t="shared" si="17"/>
        <v>3</v>
      </c>
      <c r="BC126" t="str">
        <f t="shared" si="12"/>
        <v>Medium</v>
      </c>
      <c r="BD126" t="str">
        <f t="shared" si="13"/>
        <v/>
      </c>
      <c r="BE126">
        <f t="shared" si="14"/>
        <v>4.6399999999999997</v>
      </c>
      <c r="BT126" t="str">
        <f t="shared" si="15"/>
        <v/>
      </c>
      <c r="BV126">
        <v>5</v>
      </c>
    </row>
    <row r="127" spans="1:74" x14ac:dyDescent="0.3">
      <c r="A127" t="s">
        <v>347</v>
      </c>
      <c r="B127">
        <v>10007</v>
      </c>
      <c r="C127">
        <v>1</v>
      </c>
      <c r="D127">
        <v>1</v>
      </c>
      <c r="E127">
        <v>0</v>
      </c>
      <c r="F127">
        <v>1</v>
      </c>
      <c r="G127">
        <v>5</v>
      </c>
      <c r="H127">
        <v>4</v>
      </c>
      <c r="I127">
        <v>0</v>
      </c>
      <c r="J127">
        <v>62065</v>
      </c>
      <c r="K127">
        <v>0</v>
      </c>
      <c r="L127">
        <v>19</v>
      </c>
      <c r="M127" t="s">
        <v>37</v>
      </c>
      <c r="N127" t="s">
        <v>38</v>
      </c>
      <c r="O127">
        <v>1886</v>
      </c>
      <c r="P127">
        <v>27151</v>
      </c>
      <c r="Q127" t="s">
        <v>64</v>
      </c>
      <c r="R127" t="s">
        <v>53</v>
      </c>
      <c r="S127" t="s">
        <v>41</v>
      </c>
      <c r="T127" t="s">
        <v>42</v>
      </c>
      <c r="U127" t="s">
        <v>43</v>
      </c>
      <c r="V127">
        <v>41771</v>
      </c>
      <c r="X127" t="s">
        <v>44</v>
      </c>
      <c r="Y127" t="s">
        <v>45</v>
      </c>
      <c r="Z127" t="s">
        <v>46</v>
      </c>
      <c r="AA127" t="s">
        <v>78</v>
      </c>
      <c r="AB127">
        <v>11</v>
      </c>
      <c r="AC127" t="s">
        <v>140</v>
      </c>
      <c r="AD127" t="s">
        <v>49</v>
      </c>
      <c r="AE127">
        <v>4.76</v>
      </c>
      <c r="AF127">
        <v>4</v>
      </c>
      <c r="AG127">
        <v>0</v>
      </c>
      <c r="AH127" t="s">
        <v>334</v>
      </c>
      <c r="AI127">
        <v>0</v>
      </c>
      <c r="AJ127">
        <v>5</v>
      </c>
      <c r="AK127" t="str">
        <f t="shared" si="10"/>
        <v>Normal</v>
      </c>
      <c r="AL127" t="str">
        <f t="shared" si="11"/>
        <v>low Outlier</v>
      </c>
      <c r="AM127">
        <f ca="1">INT((TODAY()-HRDataset_v14[[#This Row],[DOB]])/365.25)</f>
        <v>51</v>
      </c>
      <c r="AN127">
        <f ca="1">DATEDIF(HRDataset_v14[[#This Row],[DateofHire]],TODAY(),"Y")</f>
        <v>11</v>
      </c>
      <c r="AO127">
        <f ca="1">IF(ISBLANK(HRDataset_v14[[#This Row],[DateofTermination]]),DATEDIF(HRDataset_v14[[#This Row],[DateofHire]],TODAY(),"Y"),DATEDIF(HRDataset_v14[[#This Row],[DateofHire]],HRDataset_v14[[#This Row],[DateofTermination]],"Y"))</f>
        <v>11</v>
      </c>
      <c r="AP127" t="str">
        <f ca="1">IF(HRDataset_v14[[#This Row],[Tenure in Years
]]&lt;1,"0-1 Year",IF(HRDataset_v14[[#This Row],[Tenure in Years
]]&lt;3,"1-3 Years",IF(HRDataset_v14[[#This Row],[Tenure in Years
]]&lt;5,"3-5 Years",IF(HRDataset_v14[[#This Row],[Tenure in Years
]]&lt;10,"5-10 Years","10+ Years"))))</f>
        <v>10+ Years</v>
      </c>
      <c r="AQ127" t="str">
        <f ca="1">IF(HRDataset_v14[[#This Row],[Age Calculation
]]&lt;26,"18-25",IF(HRDataset_v14[[#This Row],[Age Calculation
]]&lt;36,"26-35",IF(HRDataset_v14[[#This Row],[Age Calculation
]]&lt;46,"36-45",IF(HRDataset_v14[[#This Row],[Age Calculation
]]&lt;56,"46-55","55+"))))</f>
        <v>46-55</v>
      </c>
      <c r="AR127" t="str">
        <f>IF(HRDataset_v14[[#This Row],[Salary]]&lt;40000,"Entry (&lt;40K)",IF(HRDataset_v14[[#This Row],[Salary]]&lt;70000,"Mid (40-70K)",IF(HRDataset_v14[[#This Row],[Salary]]&lt;100000,"Senior (70-100K)","Executive (100K+)")))</f>
        <v>Mid (40-70K)</v>
      </c>
      <c r="AS127">
        <f>IF(HRDataset_v14[[#This Row],[EmploymentStatus]]="Active",1,0)</f>
        <v>1</v>
      </c>
      <c r="AT127">
        <f>YEAR(HRDataset_v14[[#This Row],[DateofHire]])</f>
        <v>2014</v>
      </c>
      <c r="AU127">
        <f>MONTH(HRDataset_v14[[#This Row],[DateofHire]])</f>
        <v>5</v>
      </c>
      <c r="AV127" t="str">
        <f>"Q"&amp;ROUNDUP(MONTH(HRDataset_v14[[#This Row],[DateofHire]])/3,0)</f>
        <v>Q2</v>
      </c>
      <c r="AW127" t="str">
        <f>TEXT(HRDataset_v14[[#This Row],[DateofHire]],"MMM")</f>
        <v>May</v>
      </c>
      <c r="AX127" t="str">
        <f>TEXT(HRDataset_v14[[#This Row],[DateofHire]],"YYYY-MM")</f>
        <v>2014-05</v>
      </c>
      <c r="AY127" t="str">
        <f>IF(ISBLANK(HRDataset_v14[[#This Row],[DateofTermination]]),"N/A",YEAR(HRDataset_v14[[#This Row],[DateofTermination]]))</f>
        <v>N/A</v>
      </c>
      <c r="AZ127" t="str" cm="1">
        <f t="array" ref="AZ127">INDEX(_xlfn.UNIQUE(Z127:Z437),MATCH(MAX(COUNTIF(Z127:Z437,_xlfn.UNIQUE(Z127:Z437))),COUNTIF(Z127:Z437,_xlfn.UNIQUE(Z127:Z437)),0))</f>
        <v xml:space="preserve">Production       </v>
      </c>
      <c r="BA127">
        <f t="shared" si="16"/>
        <v>84.615384615384613</v>
      </c>
      <c r="BB127">
        <f t="shared" si="17"/>
        <v>0</v>
      </c>
      <c r="BC127" t="str">
        <f t="shared" si="12"/>
        <v>Low</v>
      </c>
      <c r="BD127">
        <f t="shared" si="13"/>
        <v>4.76</v>
      </c>
      <c r="BE127" t="str">
        <f t="shared" si="14"/>
        <v/>
      </c>
      <c r="BT127">
        <f t="shared" si="15"/>
        <v>4.76</v>
      </c>
      <c r="BV127">
        <v>4.0999999999999996</v>
      </c>
    </row>
    <row r="128" spans="1:74" x14ac:dyDescent="0.3">
      <c r="A128" t="s">
        <v>348</v>
      </c>
      <c r="B128">
        <v>10129</v>
      </c>
      <c r="C128">
        <v>0</v>
      </c>
      <c r="D128">
        <v>0</v>
      </c>
      <c r="E128">
        <v>1</v>
      </c>
      <c r="F128">
        <v>1</v>
      </c>
      <c r="G128">
        <v>5</v>
      </c>
      <c r="H128">
        <v>3</v>
      </c>
      <c r="I128">
        <v>0</v>
      </c>
      <c r="J128">
        <v>46998</v>
      </c>
      <c r="K128">
        <v>0</v>
      </c>
      <c r="L128">
        <v>19</v>
      </c>
      <c r="M128" t="s">
        <v>37</v>
      </c>
      <c r="N128" t="s">
        <v>38</v>
      </c>
      <c r="O128">
        <v>2149</v>
      </c>
      <c r="P128">
        <v>30685</v>
      </c>
      <c r="Q128" t="s">
        <v>39</v>
      </c>
      <c r="R128" t="s">
        <v>40</v>
      </c>
      <c r="S128" t="s">
        <v>41</v>
      </c>
      <c r="T128" t="s">
        <v>42</v>
      </c>
      <c r="U128" t="s">
        <v>43</v>
      </c>
      <c r="V128">
        <v>41134</v>
      </c>
      <c r="X128" t="s">
        <v>44</v>
      </c>
      <c r="Y128" t="s">
        <v>45</v>
      </c>
      <c r="Z128" t="s">
        <v>46</v>
      </c>
      <c r="AA128" t="s">
        <v>87</v>
      </c>
      <c r="AB128">
        <v>19</v>
      </c>
      <c r="AC128" t="s">
        <v>75</v>
      </c>
      <c r="AD128" t="s">
        <v>60</v>
      </c>
      <c r="AE128">
        <v>4.17</v>
      </c>
      <c r="AF128">
        <v>4</v>
      </c>
      <c r="AG128">
        <v>0</v>
      </c>
      <c r="AH128" t="s">
        <v>349</v>
      </c>
      <c r="AI128">
        <v>0</v>
      </c>
      <c r="AJ128">
        <v>1</v>
      </c>
      <c r="AK128" t="str">
        <f t="shared" si="10"/>
        <v>Normal</v>
      </c>
      <c r="AL128" t="str">
        <f t="shared" si="11"/>
        <v>low Outlier</v>
      </c>
      <c r="AM128">
        <f ca="1">INT((TODAY()-HRDataset_v14[[#This Row],[DOB]])/365.25)</f>
        <v>42</v>
      </c>
      <c r="AN128">
        <f ca="1">DATEDIF(HRDataset_v14[[#This Row],[DateofHire]],TODAY(),"Y")</f>
        <v>13</v>
      </c>
      <c r="AO128">
        <f ca="1">IF(ISBLANK(HRDataset_v14[[#This Row],[DateofTermination]]),DATEDIF(HRDataset_v14[[#This Row],[DateofHire]],TODAY(),"Y"),DATEDIF(HRDataset_v14[[#This Row],[DateofHire]],HRDataset_v14[[#This Row],[DateofTermination]],"Y"))</f>
        <v>13</v>
      </c>
      <c r="AP128" t="str">
        <f ca="1">IF(HRDataset_v14[[#This Row],[Tenure in Years
]]&lt;1,"0-1 Year",IF(HRDataset_v14[[#This Row],[Tenure in Years
]]&lt;3,"1-3 Years",IF(HRDataset_v14[[#This Row],[Tenure in Years
]]&lt;5,"3-5 Years",IF(HRDataset_v14[[#This Row],[Tenure in Years
]]&lt;10,"5-10 Years","10+ Years"))))</f>
        <v>10+ Years</v>
      </c>
      <c r="AQ128" t="str">
        <f ca="1">IF(HRDataset_v14[[#This Row],[Age Calculation
]]&lt;26,"18-25",IF(HRDataset_v14[[#This Row],[Age Calculation
]]&lt;36,"26-35",IF(HRDataset_v14[[#This Row],[Age Calculation
]]&lt;46,"36-45",IF(HRDataset_v14[[#This Row],[Age Calculation
]]&lt;56,"46-55","55+"))))</f>
        <v>36-45</v>
      </c>
      <c r="AR128" t="str">
        <f>IF(HRDataset_v14[[#This Row],[Salary]]&lt;40000,"Entry (&lt;40K)",IF(HRDataset_v14[[#This Row],[Salary]]&lt;70000,"Mid (40-70K)",IF(HRDataset_v14[[#This Row],[Salary]]&lt;100000,"Senior (70-100K)","Executive (100K+)")))</f>
        <v>Mid (40-70K)</v>
      </c>
      <c r="AS128">
        <f>IF(HRDataset_v14[[#This Row],[EmploymentStatus]]="Active",1,0)</f>
        <v>1</v>
      </c>
      <c r="AT128">
        <f>YEAR(HRDataset_v14[[#This Row],[DateofHire]])</f>
        <v>2012</v>
      </c>
      <c r="AU128">
        <f>MONTH(HRDataset_v14[[#This Row],[DateofHire]])</f>
        <v>8</v>
      </c>
      <c r="AV128" t="str">
        <f>"Q"&amp;ROUNDUP(MONTH(HRDataset_v14[[#This Row],[DateofHire]])/3,0)</f>
        <v>Q3</v>
      </c>
      <c r="AW128" t="str">
        <f>TEXT(HRDataset_v14[[#This Row],[DateofHire]],"MMM")</f>
        <v>Aug</v>
      </c>
      <c r="AX128" t="str">
        <f>TEXT(HRDataset_v14[[#This Row],[DateofHire]],"YYYY-MM")</f>
        <v>2012-08</v>
      </c>
      <c r="AY128" t="str">
        <f>IF(ISBLANK(HRDataset_v14[[#This Row],[DateofTermination]]),"N/A",YEAR(HRDataset_v14[[#This Row],[DateofTermination]]))</f>
        <v>N/A</v>
      </c>
      <c r="AZ128" t="str" cm="1">
        <f t="array" ref="AZ128">INDEX(_xlfn.UNIQUE(Z128:Z438),MATCH(MAX(COUNTIF(Z128:Z438,_xlfn.UNIQUE(Z128:Z438))),COUNTIF(Z128:Z438,_xlfn.UNIQUE(Z128:Z438)),0))</f>
        <v xml:space="preserve">Production       </v>
      </c>
      <c r="BA128">
        <f t="shared" si="16"/>
        <v>30.76923076923077</v>
      </c>
      <c r="BB128">
        <f t="shared" si="17"/>
        <v>0</v>
      </c>
      <c r="BC128" t="str">
        <f t="shared" si="12"/>
        <v>Medium</v>
      </c>
      <c r="BD128">
        <f t="shared" si="13"/>
        <v>4.17</v>
      </c>
      <c r="BE128" t="str">
        <f t="shared" si="14"/>
        <v/>
      </c>
      <c r="BT128">
        <f t="shared" si="15"/>
        <v>4.17</v>
      </c>
      <c r="BV128">
        <v>4.5</v>
      </c>
    </row>
    <row r="129" spans="1:74" x14ac:dyDescent="0.3">
      <c r="A129" t="s">
        <v>350</v>
      </c>
      <c r="B129">
        <v>10075</v>
      </c>
      <c r="C129">
        <v>0</v>
      </c>
      <c r="D129">
        <v>0</v>
      </c>
      <c r="E129">
        <v>0</v>
      </c>
      <c r="F129">
        <v>5</v>
      </c>
      <c r="G129">
        <v>5</v>
      </c>
      <c r="H129">
        <v>3</v>
      </c>
      <c r="I129">
        <v>0</v>
      </c>
      <c r="J129">
        <v>68099</v>
      </c>
      <c r="K129">
        <v>1</v>
      </c>
      <c r="L129">
        <v>20</v>
      </c>
      <c r="M129" t="s">
        <v>63</v>
      </c>
      <c r="N129" t="s">
        <v>38</v>
      </c>
      <c r="O129">
        <v>2021</v>
      </c>
      <c r="P129">
        <v>26538</v>
      </c>
      <c r="Q129" t="s">
        <v>64</v>
      </c>
      <c r="R129" t="s">
        <v>40</v>
      </c>
      <c r="S129" t="s">
        <v>41</v>
      </c>
      <c r="T129" t="s">
        <v>42</v>
      </c>
      <c r="U129" t="s">
        <v>43</v>
      </c>
      <c r="V129">
        <v>40553</v>
      </c>
      <c r="W129">
        <v>41443</v>
      </c>
      <c r="X129" t="s">
        <v>65</v>
      </c>
      <c r="Y129" t="s">
        <v>56</v>
      </c>
      <c r="Z129" t="s">
        <v>46</v>
      </c>
      <c r="AA129" t="s">
        <v>113</v>
      </c>
      <c r="AB129">
        <v>18</v>
      </c>
      <c r="AC129" t="s">
        <v>140</v>
      </c>
      <c r="AD129" t="s">
        <v>60</v>
      </c>
      <c r="AE129">
        <v>5</v>
      </c>
      <c r="AF129">
        <v>3</v>
      </c>
      <c r="AG129">
        <v>0</v>
      </c>
      <c r="AH129" t="s">
        <v>351</v>
      </c>
      <c r="AI129">
        <v>0</v>
      </c>
      <c r="AJ129">
        <v>15</v>
      </c>
      <c r="AK129" t="str">
        <f t="shared" si="10"/>
        <v>Normal</v>
      </c>
      <c r="AL129" t="str">
        <f t="shared" si="11"/>
        <v>low Outlier</v>
      </c>
      <c r="AM129">
        <f ca="1">INT((TODAY()-HRDataset_v14[[#This Row],[DOB]])/365.25)</f>
        <v>53</v>
      </c>
      <c r="AN129">
        <f ca="1">DATEDIF(HRDataset_v14[[#This Row],[DateofHire]],TODAY(),"Y")</f>
        <v>15</v>
      </c>
      <c r="AO129">
        <f ca="1">IF(ISBLANK(HRDataset_v14[[#This Row],[DateofTermination]]),DATEDIF(HRDataset_v14[[#This Row],[DateofHire]],TODAY(),"Y"),DATEDIF(HRDataset_v14[[#This Row],[DateofHire]],HRDataset_v14[[#This Row],[DateofTermination]],"Y"))</f>
        <v>2</v>
      </c>
      <c r="AP129" t="str">
        <f ca="1">IF(HRDataset_v14[[#This Row],[Tenure in Years
]]&lt;1,"0-1 Year",IF(HRDataset_v14[[#This Row],[Tenure in Years
]]&lt;3,"1-3 Years",IF(HRDataset_v14[[#This Row],[Tenure in Years
]]&lt;5,"3-5 Years",IF(HRDataset_v14[[#This Row],[Tenure in Years
]]&lt;10,"5-10 Years","10+ Years"))))</f>
        <v>10+ Years</v>
      </c>
      <c r="AQ129" t="str">
        <f ca="1">IF(HRDataset_v14[[#This Row],[Age Calculation
]]&lt;26,"18-25",IF(HRDataset_v14[[#This Row],[Age Calculation
]]&lt;36,"26-35",IF(HRDataset_v14[[#This Row],[Age Calculation
]]&lt;46,"36-45",IF(HRDataset_v14[[#This Row],[Age Calculation
]]&lt;56,"46-55","55+"))))</f>
        <v>46-55</v>
      </c>
      <c r="AR129" t="str">
        <f>IF(HRDataset_v14[[#This Row],[Salary]]&lt;40000,"Entry (&lt;40K)",IF(HRDataset_v14[[#This Row],[Salary]]&lt;70000,"Mid (40-70K)",IF(HRDataset_v14[[#This Row],[Salary]]&lt;100000,"Senior (70-100K)","Executive (100K+)")))</f>
        <v>Mid (40-70K)</v>
      </c>
      <c r="AS129">
        <f>IF(HRDataset_v14[[#This Row],[EmploymentStatus]]="Active",1,0)</f>
        <v>0</v>
      </c>
      <c r="AT129">
        <f>YEAR(HRDataset_v14[[#This Row],[DateofHire]])</f>
        <v>2011</v>
      </c>
      <c r="AU129">
        <f>MONTH(HRDataset_v14[[#This Row],[DateofHire]])</f>
        <v>1</v>
      </c>
      <c r="AV129" t="str">
        <f>"Q"&amp;ROUNDUP(MONTH(HRDataset_v14[[#This Row],[DateofHire]])/3,0)</f>
        <v>Q1</v>
      </c>
      <c r="AW129" t="str">
        <f>TEXT(HRDataset_v14[[#This Row],[DateofHire]],"MMM")</f>
        <v>Jan</v>
      </c>
      <c r="AX129" t="str">
        <f>TEXT(HRDataset_v14[[#This Row],[DateofHire]],"YYYY-MM")</f>
        <v>2011-01</v>
      </c>
      <c r="AY129">
        <f>IF(ISBLANK(HRDataset_v14[[#This Row],[DateofTermination]]),"N/A",YEAR(HRDataset_v14[[#This Row],[DateofTermination]]))</f>
        <v>2013</v>
      </c>
      <c r="AZ129" t="str" cm="1">
        <f t="array" ref="AZ129">INDEX(_xlfn.UNIQUE(Z129:Z439),MATCH(MAX(COUNTIF(Z129:Z439,_xlfn.UNIQUE(Z129:Z439))),COUNTIF(Z129:Z439,_xlfn.UNIQUE(Z129:Z439)),0))</f>
        <v xml:space="preserve">Production       </v>
      </c>
      <c r="BA129">
        <f t="shared" si="16"/>
        <v>27.27272727272727</v>
      </c>
      <c r="BB129">
        <f t="shared" si="17"/>
        <v>5</v>
      </c>
      <c r="BC129" t="str">
        <f t="shared" si="12"/>
        <v>Medium</v>
      </c>
      <c r="BD129" t="str">
        <f t="shared" si="13"/>
        <v/>
      </c>
      <c r="BE129">
        <f t="shared" si="14"/>
        <v>5</v>
      </c>
      <c r="BT129" t="str">
        <f t="shared" si="15"/>
        <v/>
      </c>
      <c r="BV129">
        <v>5</v>
      </c>
    </row>
    <row r="130" spans="1:74" x14ac:dyDescent="0.3">
      <c r="A130" t="s">
        <v>352</v>
      </c>
      <c r="B130">
        <v>10167</v>
      </c>
      <c r="C130">
        <v>1</v>
      </c>
      <c r="D130">
        <v>1</v>
      </c>
      <c r="E130">
        <v>1</v>
      </c>
      <c r="F130">
        <v>1</v>
      </c>
      <c r="G130">
        <v>6</v>
      </c>
      <c r="H130">
        <v>3</v>
      </c>
      <c r="I130">
        <v>0</v>
      </c>
      <c r="J130">
        <v>70545</v>
      </c>
      <c r="K130">
        <v>0</v>
      </c>
      <c r="L130">
        <v>3</v>
      </c>
      <c r="M130" t="s">
        <v>169</v>
      </c>
      <c r="N130" t="s">
        <v>353</v>
      </c>
      <c r="O130">
        <v>3062</v>
      </c>
      <c r="P130">
        <v>32400</v>
      </c>
      <c r="Q130" t="s">
        <v>39</v>
      </c>
      <c r="R130" t="s">
        <v>53</v>
      </c>
      <c r="S130" t="s">
        <v>41</v>
      </c>
      <c r="T130" t="s">
        <v>42</v>
      </c>
      <c r="U130" t="s">
        <v>332</v>
      </c>
      <c r="V130">
        <v>41869</v>
      </c>
      <c r="X130" t="s">
        <v>44</v>
      </c>
      <c r="Y130" t="s">
        <v>45</v>
      </c>
      <c r="Z130" t="s">
        <v>171</v>
      </c>
      <c r="AA130" t="s">
        <v>172</v>
      </c>
      <c r="AB130">
        <v>17</v>
      </c>
      <c r="AC130" t="s">
        <v>59</v>
      </c>
      <c r="AD130" t="s">
        <v>60</v>
      </c>
      <c r="AE130">
        <v>3.6</v>
      </c>
      <c r="AF130">
        <v>5</v>
      </c>
      <c r="AG130">
        <v>0</v>
      </c>
      <c r="AH130" t="s">
        <v>184</v>
      </c>
      <c r="AI130">
        <v>0</v>
      </c>
      <c r="AJ130">
        <v>9</v>
      </c>
      <c r="AK130" t="str">
        <f t="shared" ref="AK130:AK193" si="18">IF(J130&gt;AVERAGE($J$2:$J$100)+3*STDEV($J$2:$J$100)," high Outlier","Normal")</f>
        <v>Normal</v>
      </c>
      <c r="AL130" t="str">
        <f t="shared" ref="AL130:AL193" si="19">IF(J130&gt;AVERAGE($J$2:$J$100)-3*STDEV($J$2:$J$100),"low Outlier","Normal")</f>
        <v>low Outlier</v>
      </c>
      <c r="AM130">
        <f ca="1">INT((TODAY()-HRDataset_v14[[#This Row],[DOB]])/365.25)</f>
        <v>37</v>
      </c>
      <c r="AN130">
        <f ca="1">DATEDIF(HRDataset_v14[[#This Row],[DateofHire]],TODAY(),"Y")</f>
        <v>11</v>
      </c>
      <c r="AO130">
        <f ca="1">IF(ISBLANK(HRDataset_v14[[#This Row],[DateofTermination]]),DATEDIF(HRDataset_v14[[#This Row],[DateofHire]],TODAY(),"Y"),DATEDIF(HRDataset_v14[[#This Row],[DateofHire]],HRDataset_v14[[#This Row],[DateofTermination]],"Y"))</f>
        <v>11</v>
      </c>
      <c r="AP130" t="str">
        <f ca="1">IF(HRDataset_v14[[#This Row],[Tenure in Years
]]&lt;1,"0-1 Year",IF(HRDataset_v14[[#This Row],[Tenure in Years
]]&lt;3,"1-3 Years",IF(HRDataset_v14[[#This Row],[Tenure in Years
]]&lt;5,"3-5 Years",IF(HRDataset_v14[[#This Row],[Tenure in Years
]]&lt;10,"5-10 Years","10+ Years"))))</f>
        <v>10+ Years</v>
      </c>
      <c r="AQ130" t="str">
        <f ca="1">IF(HRDataset_v14[[#This Row],[Age Calculation
]]&lt;26,"18-25",IF(HRDataset_v14[[#This Row],[Age Calculation
]]&lt;36,"26-35",IF(HRDataset_v14[[#This Row],[Age Calculation
]]&lt;46,"36-45",IF(HRDataset_v14[[#This Row],[Age Calculation
]]&lt;56,"46-55","55+"))))</f>
        <v>36-45</v>
      </c>
      <c r="AR130" t="str">
        <f>IF(HRDataset_v14[[#This Row],[Salary]]&lt;40000,"Entry (&lt;40K)",IF(HRDataset_v14[[#This Row],[Salary]]&lt;70000,"Mid (40-70K)",IF(HRDataset_v14[[#This Row],[Salary]]&lt;100000,"Senior (70-100K)","Executive (100K+)")))</f>
        <v>Senior (70-100K)</v>
      </c>
      <c r="AS130">
        <f>IF(HRDataset_v14[[#This Row],[EmploymentStatus]]="Active",1,0)</f>
        <v>1</v>
      </c>
      <c r="AT130">
        <f>YEAR(HRDataset_v14[[#This Row],[DateofHire]])</f>
        <v>2014</v>
      </c>
      <c r="AU130">
        <f>MONTH(HRDataset_v14[[#This Row],[DateofHire]])</f>
        <v>8</v>
      </c>
      <c r="AV130" t="str">
        <f>"Q"&amp;ROUNDUP(MONTH(HRDataset_v14[[#This Row],[DateofHire]])/3,0)</f>
        <v>Q3</v>
      </c>
      <c r="AW130" t="str">
        <f>TEXT(HRDataset_v14[[#This Row],[DateofHire]],"MMM")</f>
        <v>Aug</v>
      </c>
      <c r="AX130" t="str">
        <f>TEXT(HRDataset_v14[[#This Row],[DateofHire]],"YYYY-MM")</f>
        <v>2014-08</v>
      </c>
      <c r="AY130" t="str">
        <f>IF(ISBLANK(HRDataset_v14[[#This Row],[DateofTermination]]),"N/A",YEAR(HRDataset_v14[[#This Row],[DateofTermination]]))</f>
        <v>N/A</v>
      </c>
      <c r="AZ130" t="str" cm="1">
        <f t="array" ref="AZ130">INDEX(_xlfn.UNIQUE(Z130:Z440),MATCH(MAX(COUNTIF(Z130:Z440,_xlfn.UNIQUE(Z130:Z440))),COUNTIF(Z130:Z440,_xlfn.UNIQUE(Z130:Z440)),0))</f>
        <v xml:space="preserve">Production       </v>
      </c>
      <c r="BA130">
        <f t="shared" si="16"/>
        <v>0</v>
      </c>
      <c r="BB130">
        <f t="shared" si="17"/>
        <v>0</v>
      </c>
      <c r="BC130" t="str">
        <f t="shared" ref="BC130:BC193" si="20">IF(OR(AD130="PIP",AD130="Needs Improvement",AE130&lt;=2),"High",
IF(OR(AD130="Fully Meets",AE130=3),"Medium",
IF(AND(AD130="Exceeds",AE130&gt;=4),"Low","Medium")))</f>
        <v>Medium</v>
      </c>
      <c r="BD130">
        <f t="shared" ref="BD130:BD193" si="21">IF($K130=0,$AE130,"")</f>
        <v>3.6</v>
      </c>
      <c r="BE130" t="str">
        <f t="shared" ref="BE130:BE193" si="22">IF($K130=1,$AE130,"")</f>
        <v/>
      </c>
      <c r="BT130">
        <f t="shared" ref="BT130:BT193" si="23">IF($K130=0,$AE130,"")</f>
        <v>3.6</v>
      </c>
      <c r="BV130">
        <v>5</v>
      </c>
    </row>
    <row r="131" spans="1:74" x14ac:dyDescent="0.3">
      <c r="A131" t="s">
        <v>354</v>
      </c>
      <c r="B131">
        <v>10195</v>
      </c>
      <c r="C131">
        <v>1</v>
      </c>
      <c r="D131">
        <v>1</v>
      </c>
      <c r="E131">
        <v>0</v>
      </c>
      <c r="F131">
        <v>5</v>
      </c>
      <c r="G131">
        <v>5</v>
      </c>
      <c r="H131">
        <v>3</v>
      </c>
      <c r="I131">
        <v>0</v>
      </c>
      <c r="J131">
        <v>63478</v>
      </c>
      <c r="K131">
        <v>1</v>
      </c>
      <c r="L131">
        <v>20</v>
      </c>
      <c r="M131" t="s">
        <v>63</v>
      </c>
      <c r="N131" t="s">
        <v>38</v>
      </c>
      <c r="O131">
        <v>2445</v>
      </c>
      <c r="P131">
        <v>30728</v>
      </c>
      <c r="Q131" t="s">
        <v>64</v>
      </c>
      <c r="R131" t="s">
        <v>53</v>
      </c>
      <c r="S131" t="s">
        <v>203</v>
      </c>
      <c r="T131" t="s">
        <v>42</v>
      </c>
      <c r="U131" t="s">
        <v>43</v>
      </c>
      <c r="V131">
        <v>40770</v>
      </c>
      <c r="W131">
        <v>41006</v>
      </c>
      <c r="X131" t="s">
        <v>200</v>
      </c>
      <c r="Y131" t="s">
        <v>56</v>
      </c>
      <c r="Z131" t="s">
        <v>46</v>
      </c>
      <c r="AA131" t="s">
        <v>47</v>
      </c>
      <c r="AB131">
        <v>30</v>
      </c>
      <c r="AC131" t="s">
        <v>59</v>
      </c>
      <c r="AD131" t="s">
        <v>60</v>
      </c>
      <c r="AE131">
        <v>3.03</v>
      </c>
      <c r="AF131">
        <v>5</v>
      </c>
      <c r="AG131">
        <v>0</v>
      </c>
      <c r="AH131" t="s">
        <v>175</v>
      </c>
      <c r="AI131">
        <v>0</v>
      </c>
      <c r="AJ131">
        <v>16</v>
      </c>
      <c r="AK131" t="str">
        <f t="shared" si="18"/>
        <v>Normal</v>
      </c>
      <c r="AL131" t="str">
        <f t="shared" si="19"/>
        <v>low Outlier</v>
      </c>
      <c r="AM131">
        <f ca="1">INT((TODAY()-HRDataset_v14[[#This Row],[DOB]])/365.25)</f>
        <v>42</v>
      </c>
      <c r="AN131">
        <f ca="1">DATEDIF(HRDataset_v14[[#This Row],[DateofHire]],TODAY(),"Y")</f>
        <v>14</v>
      </c>
      <c r="AO131">
        <f ca="1">IF(ISBLANK(HRDataset_v14[[#This Row],[DateofTermination]]),DATEDIF(HRDataset_v14[[#This Row],[DateofHire]],TODAY(),"Y"),DATEDIF(HRDataset_v14[[#This Row],[DateofHire]],HRDataset_v14[[#This Row],[DateofTermination]],"Y"))</f>
        <v>0</v>
      </c>
      <c r="AP131" t="str">
        <f ca="1">IF(HRDataset_v14[[#This Row],[Tenure in Years
]]&lt;1,"0-1 Year",IF(HRDataset_v14[[#This Row],[Tenure in Years
]]&lt;3,"1-3 Years",IF(HRDataset_v14[[#This Row],[Tenure in Years
]]&lt;5,"3-5 Years",IF(HRDataset_v14[[#This Row],[Tenure in Years
]]&lt;10,"5-10 Years","10+ Years"))))</f>
        <v>10+ Years</v>
      </c>
      <c r="AQ131" t="str">
        <f ca="1">IF(HRDataset_v14[[#This Row],[Age Calculation
]]&lt;26,"18-25",IF(HRDataset_v14[[#This Row],[Age Calculation
]]&lt;36,"26-35",IF(HRDataset_v14[[#This Row],[Age Calculation
]]&lt;46,"36-45",IF(HRDataset_v14[[#This Row],[Age Calculation
]]&lt;56,"46-55","55+"))))</f>
        <v>36-45</v>
      </c>
      <c r="AR131" t="str">
        <f>IF(HRDataset_v14[[#This Row],[Salary]]&lt;40000,"Entry (&lt;40K)",IF(HRDataset_v14[[#This Row],[Salary]]&lt;70000,"Mid (40-70K)",IF(HRDataset_v14[[#This Row],[Salary]]&lt;100000,"Senior (70-100K)","Executive (100K+)")))</f>
        <v>Mid (40-70K)</v>
      </c>
      <c r="AS131">
        <f>IF(HRDataset_v14[[#This Row],[EmploymentStatus]]="Active",1,0)</f>
        <v>0</v>
      </c>
      <c r="AT131">
        <f>YEAR(HRDataset_v14[[#This Row],[DateofHire]])</f>
        <v>2011</v>
      </c>
      <c r="AU131">
        <f>MONTH(HRDataset_v14[[#This Row],[DateofHire]])</f>
        <v>8</v>
      </c>
      <c r="AV131" t="str">
        <f>"Q"&amp;ROUNDUP(MONTH(HRDataset_v14[[#This Row],[DateofHire]])/3,0)</f>
        <v>Q3</v>
      </c>
      <c r="AW131" t="str">
        <f>TEXT(HRDataset_v14[[#This Row],[DateofHire]],"MMM")</f>
        <v>Aug</v>
      </c>
      <c r="AX131" t="str">
        <f>TEXT(HRDataset_v14[[#This Row],[DateofHire]],"YYYY-MM")</f>
        <v>2011-08</v>
      </c>
      <c r="AY131">
        <f>IF(ISBLANK(HRDataset_v14[[#This Row],[DateofTermination]]),"N/A",YEAR(HRDataset_v14[[#This Row],[DateofTermination]]))</f>
        <v>2012</v>
      </c>
      <c r="AZ131" t="str" cm="1">
        <f t="array" ref="AZ131">INDEX(_xlfn.UNIQUE(Z131:Z441),MATCH(MAX(COUNTIF(Z131:Z441,_xlfn.UNIQUE(Z131:Z441))),COUNTIF(Z131:Z441,_xlfn.UNIQUE(Z131:Z441)),0))</f>
        <v xml:space="preserve">Production       </v>
      </c>
      <c r="BA131">
        <f t="shared" ref="BA131:BA194" si="24">COUNTIFS(AA131:AA441,AA131,K131:K441,1)
/COUNTIF(AA131:AA441,AA131)*100</f>
        <v>53.846153846153847</v>
      </c>
      <c r="BB131">
        <f t="shared" ref="BB131:BB194" si="25">COUNTIFS(X131:X441,X131,K131:K441,1)</f>
        <v>3</v>
      </c>
      <c r="BC131" t="str">
        <f t="shared" si="20"/>
        <v>Medium</v>
      </c>
      <c r="BD131" t="str">
        <f t="shared" si="21"/>
        <v/>
      </c>
      <c r="BE131">
        <f t="shared" si="22"/>
        <v>3.03</v>
      </c>
      <c r="BT131" t="str">
        <f t="shared" si="23"/>
        <v/>
      </c>
      <c r="BV131">
        <v>3.93</v>
      </c>
    </row>
    <row r="132" spans="1:74" x14ac:dyDescent="0.3">
      <c r="A132" t="s">
        <v>355</v>
      </c>
      <c r="B132">
        <v>10112</v>
      </c>
      <c r="C132">
        <v>0</v>
      </c>
      <c r="D132">
        <v>0</v>
      </c>
      <c r="E132">
        <v>0</v>
      </c>
      <c r="F132">
        <v>1</v>
      </c>
      <c r="G132">
        <v>3</v>
      </c>
      <c r="H132">
        <v>3</v>
      </c>
      <c r="I132">
        <v>0</v>
      </c>
      <c r="J132">
        <v>97999</v>
      </c>
      <c r="K132">
        <v>0</v>
      </c>
      <c r="L132">
        <v>8</v>
      </c>
      <c r="M132" t="s">
        <v>128</v>
      </c>
      <c r="N132" t="s">
        <v>38</v>
      </c>
      <c r="O132">
        <v>2493</v>
      </c>
      <c r="P132">
        <v>30733</v>
      </c>
      <c r="Q132" t="s">
        <v>64</v>
      </c>
      <c r="R132" t="s">
        <v>40</v>
      </c>
      <c r="S132" t="s">
        <v>41</v>
      </c>
      <c r="T132" t="s">
        <v>42</v>
      </c>
      <c r="U132" t="s">
        <v>43</v>
      </c>
      <c r="V132">
        <v>42093</v>
      </c>
      <c r="X132" t="s">
        <v>44</v>
      </c>
      <c r="Y132" t="s">
        <v>45</v>
      </c>
      <c r="Z132" t="s">
        <v>57</v>
      </c>
      <c r="AA132" t="s">
        <v>58</v>
      </c>
      <c r="AB132">
        <v>4</v>
      </c>
      <c r="AC132" t="s">
        <v>59</v>
      </c>
      <c r="AD132" t="s">
        <v>60</v>
      </c>
      <c r="AE132">
        <v>4.4800000000000004</v>
      </c>
      <c r="AF132">
        <v>5</v>
      </c>
      <c r="AG132">
        <v>6</v>
      </c>
      <c r="AH132" t="s">
        <v>70</v>
      </c>
      <c r="AI132">
        <v>0</v>
      </c>
      <c r="AJ132">
        <v>4</v>
      </c>
      <c r="AK132" t="str">
        <f t="shared" si="18"/>
        <v>Normal</v>
      </c>
      <c r="AL132" t="str">
        <f t="shared" si="19"/>
        <v>low Outlier</v>
      </c>
      <c r="AM132">
        <f ca="1">INT((TODAY()-HRDataset_v14[[#This Row],[DOB]])/365.25)</f>
        <v>42</v>
      </c>
      <c r="AN132">
        <f ca="1">DATEDIF(HRDataset_v14[[#This Row],[DateofHire]],TODAY(),"Y")</f>
        <v>11</v>
      </c>
      <c r="AO132">
        <f ca="1">IF(ISBLANK(HRDataset_v14[[#This Row],[DateofTermination]]),DATEDIF(HRDataset_v14[[#This Row],[DateofHire]],TODAY(),"Y"),DATEDIF(HRDataset_v14[[#This Row],[DateofHire]],HRDataset_v14[[#This Row],[DateofTermination]],"Y"))</f>
        <v>11</v>
      </c>
      <c r="AP132" t="str">
        <f ca="1">IF(HRDataset_v14[[#This Row],[Tenure in Years
]]&lt;1,"0-1 Year",IF(HRDataset_v14[[#This Row],[Tenure in Years
]]&lt;3,"1-3 Years",IF(HRDataset_v14[[#This Row],[Tenure in Years
]]&lt;5,"3-5 Years",IF(HRDataset_v14[[#This Row],[Tenure in Years
]]&lt;10,"5-10 Years","10+ Years"))))</f>
        <v>10+ Years</v>
      </c>
      <c r="AQ132" t="str">
        <f ca="1">IF(HRDataset_v14[[#This Row],[Age Calculation
]]&lt;26,"18-25",IF(HRDataset_v14[[#This Row],[Age Calculation
]]&lt;36,"26-35",IF(HRDataset_v14[[#This Row],[Age Calculation
]]&lt;46,"36-45",IF(HRDataset_v14[[#This Row],[Age Calculation
]]&lt;56,"46-55","55+"))))</f>
        <v>36-45</v>
      </c>
      <c r="AR132" t="str">
        <f>IF(HRDataset_v14[[#This Row],[Salary]]&lt;40000,"Entry (&lt;40K)",IF(HRDataset_v14[[#This Row],[Salary]]&lt;70000,"Mid (40-70K)",IF(HRDataset_v14[[#This Row],[Salary]]&lt;100000,"Senior (70-100K)","Executive (100K+)")))</f>
        <v>Senior (70-100K)</v>
      </c>
      <c r="AS132">
        <f>IF(HRDataset_v14[[#This Row],[EmploymentStatus]]="Active",1,0)</f>
        <v>1</v>
      </c>
      <c r="AT132">
        <f>YEAR(HRDataset_v14[[#This Row],[DateofHire]])</f>
        <v>2015</v>
      </c>
      <c r="AU132">
        <f>MONTH(HRDataset_v14[[#This Row],[DateofHire]])</f>
        <v>3</v>
      </c>
      <c r="AV132" t="str">
        <f>"Q"&amp;ROUNDUP(MONTH(HRDataset_v14[[#This Row],[DateofHire]])/3,0)</f>
        <v>Q1</v>
      </c>
      <c r="AW132" t="str">
        <f>TEXT(HRDataset_v14[[#This Row],[DateofHire]],"MMM")</f>
        <v>Mar</v>
      </c>
      <c r="AX132" t="str">
        <f>TEXT(HRDataset_v14[[#This Row],[DateofHire]],"YYYY-MM")</f>
        <v>2015-03</v>
      </c>
      <c r="AY132" t="str">
        <f>IF(ISBLANK(HRDataset_v14[[#This Row],[DateofTermination]]),"N/A",YEAR(HRDataset_v14[[#This Row],[DateofTermination]]))</f>
        <v>N/A</v>
      </c>
      <c r="AZ132" t="str" cm="1">
        <f t="array" ref="AZ132">INDEX(_xlfn.UNIQUE(Z132:Z442),MATCH(MAX(COUNTIF(Z132:Z442,_xlfn.UNIQUE(Z132:Z442))),COUNTIF(Z132:Z442,_xlfn.UNIQUE(Z132:Z442)),0))</f>
        <v xml:space="preserve">Production       </v>
      </c>
      <c r="BA132">
        <f t="shared" si="24"/>
        <v>40</v>
      </c>
      <c r="BB132">
        <f t="shared" si="25"/>
        <v>0</v>
      </c>
      <c r="BC132" t="str">
        <f t="shared" si="20"/>
        <v>Medium</v>
      </c>
      <c r="BD132">
        <f t="shared" si="21"/>
        <v>4.4800000000000004</v>
      </c>
      <c r="BE132" t="str">
        <f t="shared" si="22"/>
        <v/>
      </c>
      <c r="BT132">
        <f t="shared" si="23"/>
        <v>4.4800000000000004</v>
      </c>
      <c r="BV132">
        <v>3.4</v>
      </c>
    </row>
    <row r="133" spans="1:74" x14ac:dyDescent="0.3">
      <c r="A133" t="s">
        <v>356</v>
      </c>
      <c r="B133">
        <v>10272</v>
      </c>
      <c r="C133">
        <v>1</v>
      </c>
      <c r="D133">
        <v>1</v>
      </c>
      <c r="E133">
        <v>0</v>
      </c>
      <c r="F133">
        <v>1</v>
      </c>
      <c r="G133">
        <v>6</v>
      </c>
      <c r="H133">
        <v>3</v>
      </c>
      <c r="I133">
        <v>0</v>
      </c>
      <c r="J133">
        <v>180000</v>
      </c>
      <c r="K133">
        <v>0</v>
      </c>
      <c r="L133">
        <v>11</v>
      </c>
      <c r="M133" t="s">
        <v>357</v>
      </c>
      <c r="N133" t="s">
        <v>358</v>
      </c>
      <c r="O133">
        <v>2908</v>
      </c>
      <c r="P133">
        <v>24183</v>
      </c>
      <c r="Q133" t="s">
        <v>64</v>
      </c>
      <c r="R133" t="s">
        <v>53</v>
      </c>
      <c r="S133" t="s">
        <v>41</v>
      </c>
      <c r="T133" t="s">
        <v>42</v>
      </c>
      <c r="U133" t="s">
        <v>43</v>
      </c>
      <c r="V133">
        <v>41764</v>
      </c>
      <c r="X133" t="s">
        <v>44</v>
      </c>
      <c r="Y133" t="s">
        <v>45</v>
      </c>
      <c r="Z133" t="s">
        <v>171</v>
      </c>
      <c r="AA133" t="s">
        <v>156</v>
      </c>
      <c r="AB133">
        <v>2</v>
      </c>
      <c r="AC133" t="s">
        <v>48</v>
      </c>
      <c r="AD133" t="s">
        <v>60</v>
      </c>
      <c r="AE133">
        <v>4.5</v>
      </c>
      <c r="AF133">
        <v>4</v>
      </c>
      <c r="AG133">
        <v>0</v>
      </c>
      <c r="AH133" t="s">
        <v>167</v>
      </c>
      <c r="AI133">
        <v>0</v>
      </c>
      <c r="AJ133">
        <v>19</v>
      </c>
      <c r="AK133" t="str">
        <f t="shared" si="18"/>
        <v xml:space="preserve"> high Outlier</v>
      </c>
      <c r="AL133" t="str">
        <f t="shared" si="19"/>
        <v>low Outlier</v>
      </c>
      <c r="AM133">
        <f ca="1">INT((TODAY()-HRDataset_v14[[#This Row],[DOB]])/365.25)</f>
        <v>60</v>
      </c>
      <c r="AN133">
        <f ca="1">DATEDIF(HRDataset_v14[[#This Row],[DateofHire]],TODAY(),"Y")</f>
        <v>11</v>
      </c>
      <c r="AO133">
        <f ca="1">IF(ISBLANK(HRDataset_v14[[#This Row],[DateofTermination]]),DATEDIF(HRDataset_v14[[#This Row],[DateofHire]],TODAY(),"Y"),DATEDIF(HRDataset_v14[[#This Row],[DateofHire]],HRDataset_v14[[#This Row],[DateofTermination]],"Y"))</f>
        <v>11</v>
      </c>
      <c r="AP133" t="str">
        <f ca="1">IF(HRDataset_v14[[#This Row],[Tenure in Years
]]&lt;1,"0-1 Year",IF(HRDataset_v14[[#This Row],[Tenure in Years
]]&lt;3,"1-3 Years",IF(HRDataset_v14[[#This Row],[Tenure in Years
]]&lt;5,"3-5 Years",IF(HRDataset_v14[[#This Row],[Tenure in Years
]]&lt;10,"5-10 Years","10+ Years"))))</f>
        <v>10+ Years</v>
      </c>
      <c r="AQ133" t="str">
        <f ca="1">IF(HRDataset_v14[[#This Row],[Age Calculation
]]&lt;26,"18-25",IF(HRDataset_v14[[#This Row],[Age Calculation
]]&lt;36,"26-35",IF(HRDataset_v14[[#This Row],[Age Calculation
]]&lt;46,"36-45",IF(HRDataset_v14[[#This Row],[Age Calculation
]]&lt;56,"46-55","55+"))))</f>
        <v>55+</v>
      </c>
      <c r="AR133" t="str">
        <f>IF(HRDataset_v14[[#This Row],[Salary]]&lt;40000,"Entry (&lt;40K)",IF(HRDataset_v14[[#This Row],[Salary]]&lt;70000,"Mid (40-70K)",IF(HRDataset_v14[[#This Row],[Salary]]&lt;100000,"Senior (70-100K)","Executive (100K+)")))</f>
        <v>Executive (100K+)</v>
      </c>
      <c r="AS133">
        <f>IF(HRDataset_v14[[#This Row],[EmploymentStatus]]="Active",1,0)</f>
        <v>1</v>
      </c>
      <c r="AT133">
        <f>YEAR(HRDataset_v14[[#This Row],[DateofHire]])</f>
        <v>2014</v>
      </c>
      <c r="AU133">
        <f>MONTH(HRDataset_v14[[#This Row],[DateofHire]])</f>
        <v>5</v>
      </c>
      <c r="AV133" t="str">
        <f>"Q"&amp;ROUNDUP(MONTH(HRDataset_v14[[#This Row],[DateofHire]])/3,0)</f>
        <v>Q2</v>
      </c>
      <c r="AW133" t="str">
        <f>TEXT(HRDataset_v14[[#This Row],[DateofHire]],"MMM")</f>
        <v>May</v>
      </c>
      <c r="AX133" t="str">
        <f>TEXT(HRDataset_v14[[#This Row],[DateofHire]],"YYYY-MM")</f>
        <v>2014-05</v>
      </c>
      <c r="AY133" t="str">
        <f>IF(ISBLANK(HRDataset_v14[[#This Row],[DateofTermination]]),"N/A",YEAR(HRDataset_v14[[#This Row],[DateofTermination]]))</f>
        <v>N/A</v>
      </c>
      <c r="AZ133" t="str" cm="1">
        <f t="array" ref="AZ133">INDEX(_xlfn.UNIQUE(Z133:Z443),MATCH(MAX(COUNTIF(Z133:Z443,_xlfn.UNIQUE(Z133:Z443))),COUNTIF(Z133:Z443,_xlfn.UNIQUE(Z133:Z443)),0))</f>
        <v xml:space="preserve">Production       </v>
      </c>
      <c r="BA133">
        <f t="shared" si="24"/>
        <v>38.461538461538467</v>
      </c>
      <c r="BB133">
        <f t="shared" si="25"/>
        <v>0</v>
      </c>
      <c r="BC133" t="str">
        <f t="shared" si="20"/>
        <v>Medium</v>
      </c>
      <c r="BD133">
        <f t="shared" si="21"/>
        <v>4.5</v>
      </c>
      <c r="BE133" t="str">
        <f t="shared" si="22"/>
        <v/>
      </c>
      <c r="BT133">
        <f t="shared" si="23"/>
        <v>4.5</v>
      </c>
      <c r="BV133">
        <v>5</v>
      </c>
    </row>
    <row r="134" spans="1:74" x14ac:dyDescent="0.3">
      <c r="A134" t="s">
        <v>359</v>
      </c>
      <c r="B134">
        <v>10182</v>
      </c>
      <c r="C134">
        <v>1</v>
      </c>
      <c r="D134">
        <v>1</v>
      </c>
      <c r="E134">
        <v>0</v>
      </c>
      <c r="F134">
        <v>1</v>
      </c>
      <c r="G134">
        <v>1</v>
      </c>
      <c r="H134">
        <v>3</v>
      </c>
      <c r="I134">
        <v>0</v>
      </c>
      <c r="J134">
        <v>49920</v>
      </c>
      <c r="K134">
        <v>1</v>
      </c>
      <c r="L134">
        <v>2</v>
      </c>
      <c r="M134" t="s">
        <v>360</v>
      </c>
      <c r="N134" t="s">
        <v>38</v>
      </c>
      <c r="O134">
        <v>2170</v>
      </c>
      <c r="P134">
        <v>31306</v>
      </c>
      <c r="Q134" t="s">
        <v>64</v>
      </c>
      <c r="R134" t="s">
        <v>53</v>
      </c>
      <c r="S134" t="s">
        <v>41</v>
      </c>
      <c r="T134" t="s">
        <v>42</v>
      </c>
      <c r="U134" t="s">
        <v>91</v>
      </c>
      <c r="V134">
        <v>42051</v>
      </c>
      <c r="W134">
        <v>42109</v>
      </c>
      <c r="X134" t="s">
        <v>279</v>
      </c>
      <c r="Y134" t="s">
        <v>121</v>
      </c>
      <c r="Z134" t="s">
        <v>151</v>
      </c>
      <c r="AA134" t="s">
        <v>152</v>
      </c>
      <c r="AB134">
        <v>1</v>
      </c>
      <c r="AC134" t="s">
        <v>59</v>
      </c>
      <c r="AD134" t="s">
        <v>60</v>
      </c>
      <c r="AE134">
        <v>3.24</v>
      </c>
      <c r="AF134">
        <v>3</v>
      </c>
      <c r="AG134">
        <v>4</v>
      </c>
      <c r="AH134" t="s">
        <v>361</v>
      </c>
      <c r="AI134">
        <v>0</v>
      </c>
      <c r="AJ134">
        <v>6</v>
      </c>
      <c r="AK134" t="str">
        <f t="shared" si="18"/>
        <v>Normal</v>
      </c>
      <c r="AL134" t="str">
        <f t="shared" si="19"/>
        <v>low Outlier</v>
      </c>
      <c r="AM134">
        <f ca="1">INT((TODAY()-HRDataset_v14[[#This Row],[DOB]])/365.25)</f>
        <v>40</v>
      </c>
      <c r="AN134">
        <f ca="1">DATEDIF(HRDataset_v14[[#This Row],[DateofHire]],TODAY(),"Y")</f>
        <v>11</v>
      </c>
      <c r="AO134">
        <f ca="1">IF(ISBLANK(HRDataset_v14[[#This Row],[DateofTermination]]),DATEDIF(HRDataset_v14[[#This Row],[DateofHire]],TODAY(),"Y"),DATEDIF(HRDataset_v14[[#This Row],[DateofHire]],HRDataset_v14[[#This Row],[DateofTermination]],"Y"))</f>
        <v>0</v>
      </c>
      <c r="AP134" t="str">
        <f ca="1">IF(HRDataset_v14[[#This Row],[Tenure in Years
]]&lt;1,"0-1 Year",IF(HRDataset_v14[[#This Row],[Tenure in Years
]]&lt;3,"1-3 Years",IF(HRDataset_v14[[#This Row],[Tenure in Years
]]&lt;5,"3-5 Years",IF(HRDataset_v14[[#This Row],[Tenure in Years
]]&lt;10,"5-10 Years","10+ Years"))))</f>
        <v>10+ Years</v>
      </c>
      <c r="AQ134" t="str">
        <f ca="1">IF(HRDataset_v14[[#This Row],[Age Calculation
]]&lt;26,"18-25",IF(HRDataset_v14[[#This Row],[Age Calculation
]]&lt;36,"26-35",IF(HRDataset_v14[[#This Row],[Age Calculation
]]&lt;46,"36-45",IF(HRDataset_v14[[#This Row],[Age Calculation
]]&lt;56,"46-55","55+"))))</f>
        <v>36-45</v>
      </c>
      <c r="AR134" t="str">
        <f>IF(HRDataset_v14[[#This Row],[Salary]]&lt;40000,"Entry (&lt;40K)",IF(HRDataset_v14[[#This Row],[Salary]]&lt;70000,"Mid (40-70K)",IF(HRDataset_v14[[#This Row],[Salary]]&lt;100000,"Senior (70-100K)","Executive (100K+)")))</f>
        <v>Mid (40-70K)</v>
      </c>
      <c r="AS134">
        <f>IF(HRDataset_v14[[#This Row],[EmploymentStatus]]="Active",1,0)</f>
        <v>0</v>
      </c>
      <c r="AT134">
        <f>YEAR(HRDataset_v14[[#This Row],[DateofHire]])</f>
        <v>2015</v>
      </c>
      <c r="AU134">
        <f>MONTH(HRDataset_v14[[#This Row],[DateofHire]])</f>
        <v>2</v>
      </c>
      <c r="AV134" t="str">
        <f>"Q"&amp;ROUNDUP(MONTH(HRDataset_v14[[#This Row],[DateofHire]])/3,0)</f>
        <v>Q1</v>
      </c>
      <c r="AW134" t="str">
        <f>TEXT(HRDataset_v14[[#This Row],[DateofHire]],"MMM")</f>
        <v>Feb</v>
      </c>
      <c r="AX134" t="str">
        <f>TEXT(HRDataset_v14[[#This Row],[DateofHire]],"YYYY-MM")</f>
        <v>2015-02</v>
      </c>
      <c r="AY134">
        <f>IF(ISBLANK(HRDataset_v14[[#This Row],[DateofTermination]]),"N/A",YEAR(HRDataset_v14[[#This Row],[DateofTermination]]))</f>
        <v>2015</v>
      </c>
      <c r="AZ134" t="str" cm="1">
        <f t="array" ref="AZ134">INDEX(_xlfn.UNIQUE(Z134:Z444),MATCH(MAX(COUNTIF(Z134:Z444,_xlfn.UNIQUE(Z134:Z444))),COUNTIF(Z134:Z444,_xlfn.UNIQUE(Z134:Z444)),0))</f>
        <v xml:space="preserve">Production       </v>
      </c>
      <c r="BA134">
        <f t="shared" si="24"/>
        <v>40</v>
      </c>
      <c r="BB134">
        <f t="shared" si="25"/>
        <v>2</v>
      </c>
      <c r="BC134" t="str">
        <f t="shared" si="20"/>
        <v>Medium</v>
      </c>
      <c r="BD134" t="str">
        <f t="shared" si="21"/>
        <v/>
      </c>
      <c r="BE134">
        <f t="shared" si="22"/>
        <v>3.24</v>
      </c>
      <c r="BT134" t="str">
        <f t="shared" si="23"/>
        <v/>
      </c>
      <c r="BV134">
        <v>4.37</v>
      </c>
    </row>
    <row r="135" spans="1:74" x14ac:dyDescent="0.3">
      <c r="A135" t="s">
        <v>362</v>
      </c>
      <c r="B135">
        <v>10248</v>
      </c>
      <c r="C135">
        <v>0</v>
      </c>
      <c r="D135">
        <v>0</v>
      </c>
      <c r="E135">
        <v>0</v>
      </c>
      <c r="F135">
        <v>1</v>
      </c>
      <c r="G135">
        <v>5</v>
      </c>
      <c r="H135">
        <v>3</v>
      </c>
      <c r="I135">
        <v>0</v>
      </c>
      <c r="J135">
        <v>55425</v>
      </c>
      <c r="K135">
        <v>0</v>
      </c>
      <c r="L135">
        <v>19</v>
      </c>
      <c r="M135" t="s">
        <v>37</v>
      </c>
      <c r="N135" t="s">
        <v>38</v>
      </c>
      <c r="O135">
        <v>2176</v>
      </c>
      <c r="P135">
        <v>31573</v>
      </c>
      <c r="Q135" t="s">
        <v>64</v>
      </c>
      <c r="R135" t="s">
        <v>40</v>
      </c>
      <c r="S135" t="s">
        <v>41</v>
      </c>
      <c r="T135" t="s">
        <v>42</v>
      </c>
      <c r="U135" t="s">
        <v>43</v>
      </c>
      <c r="V135">
        <v>40959</v>
      </c>
      <c r="X135" t="s">
        <v>44</v>
      </c>
      <c r="Y135" t="s">
        <v>45</v>
      </c>
      <c r="Z135" t="s">
        <v>46</v>
      </c>
      <c r="AA135" t="s">
        <v>87</v>
      </c>
      <c r="AB135">
        <v>19</v>
      </c>
      <c r="AC135" t="s">
        <v>48</v>
      </c>
      <c r="AD135" t="s">
        <v>60</v>
      </c>
      <c r="AE135">
        <v>4.8</v>
      </c>
      <c r="AF135">
        <v>4</v>
      </c>
      <c r="AG135">
        <v>0</v>
      </c>
      <c r="AH135" t="s">
        <v>79</v>
      </c>
      <c r="AI135">
        <v>0</v>
      </c>
      <c r="AJ135">
        <v>4</v>
      </c>
      <c r="AK135" t="str">
        <f t="shared" si="18"/>
        <v>Normal</v>
      </c>
      <c r="AL135" t="str">
        <f t="shared" si="19"/>
        <v>low Outlier</v>
      </c>
      <c r="AM135">
        <f ca="1">INT((TODAY()-HRDataset_v14[[#This Row],[DOB]])/365.25)</f>
        <v>39</v>
      </c>
      <c r="AN135">
        <f ca="1">DATEDIF(HRDataset_v14[[#This Row],[DateofHire]],TODAY(),"Y")</f>
        <v>14</v>
      </c>
      <c r="AO135">
        <f ca="1">IF(ISBLANK(HRDataset_v14[[#This Row],[DateofTermination]]),DATEDIF(HRDataset_v14[[#This Row],[DateofHire]],TODAY(),"Y"),DATEDIF(HRDataset_v14[[#This Row],[DateofHire]],HRDataset_v14[[#This Row],[DateofTermination]],"Y"))</f>
        <v>14</v>
      </c>
      <c r="AP135" t="str">
        <f ca="1">IF(HRDataset_v14[[#This Row],[Tenure in Years
]]&lt;1,"0-1 Year",IF(HRDataset_v14[[#This Row],[Tenure in Years
]]&lt;3,"1-3 Years",IF(HRDataset_v14[[#This Row],[Tenure in Years
]]&lt;5,"3-5 Years",IF(HRDataset_v14[[#This Row],[Tenure in Years
]]&lt;10,"5-10 Years","10+ Years"))))</f>
        <v>10+ Years</v>
      </c>
      <c r="AQ135" t="str">
        <f ca="1">IF(HRDataset_v14[[#This Row],[Age Calculation
]]&lt;26,"18-25",IF(HRDataset_v14[[#This Row],[Age Calculation
]]&lt;36,"26-35",IF(HRDataset_v14[[#This Row],[Age Calculation
]]&lt;46,"36-45",IF(HRDataset_v14[[#This Row],[Age Calculation
]]&lt;56,"46-55","55+"))))</f>
        <v>36-45</v>
      </c>
      <c r="AR135" t="str">
        <f>IF(HRDataset_v14[[#This Row],[Salary]]&lt;40000,"Entry (&lt;40K)",IF(HRDataset_v14[[#This Row],[Salary]]&lt;70000,"Mid (40-70K)",IF(HRDataset_v14[[#This Row],[Salary]]&lt;100000,"Senior (70-100K)","Executive (100K+)")))</f>
        <v>Mid (40-70K)</v>
      </c>
      <c r="AS135">
        <f>IF(HRDataset_v14[[#This Row],[EmploymentStatus]]="Active",1,0)</f>
        <v>1</v>
      </c>
      <c r="AT135">
        <f>YEAR(HRDataset_v14[[#This Row],[DateofHire]])</f>
        <v>2012</v>
      </c>
      <c r="AU135">
        <f>MONTH(HRDataset_v14[[#This Row],[DateofHire]])</f>
        <v>2</v>
      </c>
      <c r="AV135" t="str">
        <f>"Q"&amp;ROUNDUP(MONTH(HRDataset_v14[[#This Row],[DateofHire]])/3,0)</f>
        <v>Q1</v>
      </c>
      <c r="AW135" t="str">
        <f>TEXT(HRDataset_v14[[#This Row],[DateofHire]],"MMM")</f>
        <v>Feb</v>
      </c>
      <c r="AX135" t="str">
        <f>TEXT(HRDataset_v14[[#This Row],[DateofHire]],"YYYY-MM")</f>
        <v>2012-02</v>
      </c>
      <c r="AY135" t="str">
        <f>IF(ISBLANK(HRDataset_v14[[#This Row],[DateofTermination]]),"N/A",YEAR(HRDataset_v14[[#This Row],[DateofTermination]]))</f>
        <v>N/A</v>
      </c>
      <c r="AZ135" t="str" cm="1">
        <f t="array" ref="AZ135">INDEX(_xlfn.UNIQUE(Z135:Z445),MATCH(MAX(COUNTIF(Z135:Z445,_xlfn.UNIQUE(Z135:Z445))),COUNTIF(Z135:Z445,_xlfn.UNIQUE(Z135:Z445)),0))</f>
        <v xml:space="preserve">Production       </v>
      </c>
      <c r="BA135">
        <f t="shared" si="24"/>
        <v>33.333333333333329</v>
      </c>
      <c r="BB135">
        <f t="shared" si="25"/>
        <v>0</v>
      </c>
      <c r="BC135" t="str">
        <f t="shared" si="20"/>
        <v>Medium</v>
      </c>
      <c r="BD135">
        <f t="shared" si="21"/>
        <v>4.8</v>
      </c>
      <c r="BE135" t="str">
        <f t="shared" si="22"/>
        <v/>
      </c>
      <c r="BT135">
        <f t="shared" si="23"/>
        <v>4.8</v>
      </c>
      <c r="BV135">
        <v>3.7</v>
      </c>
    </row>
    <row r="136" spans="1:74" x14ac:dyDescent="0.3">
      <c r="A136" t="s">
        <v>363</v>
      </c>
      <c r="B136">
        <v>10201</v>
      </c>
      <c r="C136">
        <v>0</v>
      </c>
      <c r="D136">
        <v>0</v>
      </c>
      <c r="E136">
        <v>0</v>
      </c>
      <c r="F136">
        <v>2</v>
      </c>
      <c r="G136">
        <v>5</v>
      </c>
      <c r="H136">
        <v>3</v>
      </c>
      <c r="I136">
        <v>0</v>
      </c>
      <c r="J136">
        <v>69340</v>
      </c>
      <c r="K136">
        <v>0</v>
      </c>
      <c r="L136">
        <v>20</v>
      </c>
      <c r="M136" t="s">
        <v>63</v>
      </c>
      <c r="N136" t="s">
        <v>38</v>
      </c>
      <c r="O136">
        <v>2021</v>
      </c>
      <c r="P136">
        <v>30752</v>
      </c>
      <c r="Q136" t="s">
        <v>64</v>
      </c>
      <c r="R136" t="s">
        <v>40</v>
      </c>
      <c r="S136" t="s">
        <v>41</v>
      </c>
      <c r="T136" t="s">
        <v>42</v>
      </c>
      <c r="U136" t="s">
        <v>43</v>
      </c>
      <c r="V136">
        <v>42527</v>
      </c>
      <c r="X136" t="s">
        <v>44</v>
      </c>
      <c r="Y136" t="s">
        <v>45</v>
      </c>
      <c r="Z136" t="s">
        <v>46</v>
      </c>
      <c r="AA136" t="s">
        <v>69</v>
      </c>
      <c r="AB136">
        <v>16</v>
      </c>
      <c r="AC136" t="s">
        <v>48</v>
      </c>
      <c r="AD136" t="s">
        <v>60</v>
      </c>
      <c r="AE136">
        <v>3</v>
      </c>
      <c r="AF136">
        <v>5</v>
      </c>
      <c r="AG136">
        <v>0</v>
      </c>
      <c r="AH136" t="s">
        <v>257</v>
      </c>
      <c r="AI136">
        <v>0</v>
      </c>
      <c r="AJ136">
        <v>4</v>
      </c>
      <c r="AK136" t="str">
        <f t="shared" si="18"/>
        <v>Normal</v>
      </c>
      <c r="AL136" t="str">
        <f t="shared" si="19"/>
        <v>low Outlier</v>
      </c>
      <c r="AM136">
        <f ca="1">INT((TODAY()-HRDataset_v14[[#This Row],[DOB]])/365.25)</f>
        <v>42</v>
      </c>
      <c r="AN136">
        <f ca="1">DATEDIF(HRDataset_v14[[#This Row],[DateofHire]],TODAY(),"Y")</f>
        <v>9</v>
      </c>
      <c r="AO136">
        <f ca="1">IF(ISBLANK(HRDataset_v14[[#This Row],[DateofTermination]]),DATEDIF(HRDataset_v14[[#This Row],[DateofHire]],TODAY(),"Y"),DATEDIF(HRDataset_v14[[#This Row],[DateofHire]],HRDataset_v14[[#This Row],[DateofTermination]],"Y"))</f>
        <v>9</v>
      </c>
      <c r="AP136" t="str">
        <f ca="1">IF(HRDataset_v14[[#This Row],[Tenure in Years
]]&lt;1,"0-1 Year",IF(HRDataset_v14[[#This Row],[Tenure in Years
]]&lt;3,"1-3 Years",IF(HRDataset_v14[[#This Row],[Tenure in Years
]]&lt;5,"3-5 Years",IF(HRDataset_v14[[#This Row],[Tenure in Years
]]&lt;10,"5-10 Years","10+ Years"))))</f>
        <v>5-10 Years</v>
      </c>
      <c r="AQ136" t="str">
        <f ca="1">IF(HRDataset_v14[[#This Row],[Age Calculation
]]&lt;26,"18-25",IF(HRDataset_v14[[#This Row],[Age Calculation
]]&lt;36,"26-35",IF(HRDataset_v14[[#This Row],[Age Calculation
]]&lt;46,"36-45",IF(HRDataset_v14[[#This Row],[Age Calculation
]]&lt;56,"46-55","55+"))))</f>
        <v>36-45</v>
      </c>
      <c r="AR136" t="str">
        <f>IF(HRDataset_v14[[#This Row],[Salary]]&lt;40000,"Entry (&lt;40K)",IF(HRDataset_v14[[#This Row],[Salary]]&lt;70000,"Mid (40-70K)",IF(HRDataset_v14[[#This Row],[Salary]]&lt;100000,"Senior (70-100K)","Executive (100K+)")))</f>
        <v>Mid (40-70K)</v>
      </c>
      <c r="AS136">
        <f>IF(HRDataset_v14[[#This Row],[EmploymentStatus]]="Active",1,0)</f>
        <v>1</v>
      </c>
      <c r="AT136">
        <f>YEAR(HRDataset_v14[[#This Row],[DateofHire]])</f>
        <v>2016</v>
      </c>
      <c r="AU136">
        <f>MONTH(HRDataset_v14[[#This Row],[DateofHire]])</f>
        <v>6</v>
      </c>
      <c r="AV136" t="str">
        <f>"Q"&amp;ROUNDUP(MONTH(HRDataset_v14[[#This Row],[DateofHire]])/3,0)</f>
        <v>Q2</v>
      </c>
      <c r="AW136" t="str">
        <f>TEXT(HRDataset_v14[[#This Row],[DateofHire]],"MMM")</f>
        <v>Jun</v>
      </c>
      <c r="AX136" t="str">
        <f>TEXT(HRDataset_v14[[#This Row],[DateofHire]],"YYYY-MM")</f>
        <v>2016-06</v>
      </c>
      <c r="AY136" t="str">
        <f>IF(ISBLANK(HRDataset_v14[[#This Row],[DateofTermination]]),"N/A",YEAR(HRDataset_v14[[#This Row],[DateofTermination]]))</f>
        <v>N/A</v>
      </c>
      <c r="AZ136" t="str" cm="1">
        <f t="array" ref="AZ136">INDEX(_xlfn.UNIQUE(Z136:Z446),MATCH(MAX(COUNTIF(Z136:Z446,_xlfn.UNIQUE(Z136:Z446))),COUNTIF(Z136:Z446,_xlfn.UNIQUE(Z136:Z446)),0))</f>
        <v xml:space="preserve">Production       </v>
      </c>
      <c r="BA136">
        <f t="shared" si="24"/>
        <v>35.714285714285715</v>
      </c>
      <c r="BB136">
        <f t="shared" si="25"/>
        <v>0</v>
      </c>
      <c r="BC136" t="str">
        <f t="shared" si="20"/>
        <v>Medium</v>
      </c>
      <c r="BD136">
        <f t="shared" si="21"/>
        <v>3</v>
      </c>
      <c r="BE136" t="str">
        <f t="shared" si="22"/>
        <v/>
      </c>
      <c r="BT136">
        <f t="shared" si="23"/>
        <v>3</v>
      </c>
      <c r="BV136">
        <v>2.39</v>
      </c>
    </row>
    <row r="137" spans="1:74" x14ac:dyDescent="0.3">
      <c r="A137" t="s">
        <v>364</v>
      </c>
      <c r="B137">
        <v>10214</v>
      </c>
      <c r="C137">
        <v>0</v>
      </c>
      <c r="D137">
        <v>3</v>
      </c>
      <c r="E137">
        <v>0</v>
      </c>
      <c r="F137">
        <v>2</v>
      </c>
      <c r="G137">
        <v>5</v>
      </c>
      <c r="H137">
        <v>3</v>
      </c>
      <c r="I137">
        <v>0</v>
      </c>
      <c r="J137">
        <v>64995</v>
      </c>
      <c r="K137">
        <v>0</v>
      </c>
      <c r="L137">
        <v>20</v>
      </c>
      <c r="M137" t="s">
        <v>63</v>
      </c>
      <c r="N137" t="s">
        <v>38</v>
      </c>
      <c r="O137">
        <v>2351</v>
      </c>
      <c r="P137">
        <v>33731</v>
      </c>
      <c r="Q137" t="s">
        <v>64</v>
      </c>
      <c r="R137" t="s">
        <v>166</v>
      </c>
      <c r="S137" t="s">
        <v>41</v>
      </c>
      <c r="T137" t="s">
        <v>42</v>
      </c>
      <c r="U137" t="s">
        <v>43</v>
      </c>
      <c r="V137">
        <v>42160</v>
      </c>
      <c r="X137" t="s">
        <v>44</v>
      </c>
      <c r="Y137" t="s">
        <v>45</v>
      </c>
      <c r="Z137" t="s">
        <v>46</v>
      </c>
      <c r="AA137" t="s">
        <v>74</v>
      </c>
      <c r="AC137" t="s">
        <v>59</v>
      </c>
      <c r="AD137" t="s">
        <v>60</v>
      </c>
      <c r="AE137">
        <v>4.5</v>
      </c>
      <c r="AF137">
        <v>3</v>
      </c>
      <c r="AG137">
        <v>0</v>
      </c>
      <c r="AH137" t="s">
        <v>114</v>
      </c>
      <c r="AI137">
        <v>0</v>
      </c>
      <c r="AJ137">
        <v>6</v>
      </c>
      <c r="AK137" t="str">
        <f t="shared" si="18"/>
        <v>Normal</v>
      </c>
      <c r="AL137" t="str">
        <f t="shared" si="19"/>
        <v>low Outlier</v>
      </c>
      <c r="AM137">
        <f ca="1">INT((TODAY()-HRDataset_v14[[#This Row],[DOB]])/365.25)</f>
        <v>33</v>
      </c>
      <c r="AN137">
        <f ca="1">DATEDIF(HRDataset_v14[[#This Row],[DateofHire]],TODAY(),"Y")</f>
        <v>10</v>
      </c>
      <c r="AO137">
        <f ca="1">IF(ISBLANK(HRDataset_v14[[#This Row],[DateofTermination]]),DATEDIF(HRDataset_v14[[#This Row],[DateofHire]],TODAY(),"Y"),DATEDIF(HRDataset_v14[[#This Row],[DateofHire]],HRDataset_v14[[#This Row],[DateofTermination]],"Y"))</f>
        <v>10</v>
      </c>
      <c r="AP137" t="str">
        <f ca="1">IF(HRDataset_v14[[#This Row],[Tenure in Years
]]&lt;1,"0-1 Year",IF(HRDataset_v14[[#This Row],[Tenure in Years
]]&lt;3,"1-3 Years",IF(HRDataset_v14[[#This Row],[Tenure in Years
]]&lt;5,"3-5 Years",IF(HRDataset_v14[[#This Row],[Tenure in Years
]]&lt;10,"5-10 Years","10+ Years"))))</f>
        <v>10+ Years</v>
      </c>
      <c r="AQ137" t="str">
        <f ca="1">IF(HRDataset_v14[[#This Row],[Age Calculation
]]&lt;26,"18-25",IF(HRDataset_v14[[#This Row],[Age Calculation
]]&lt;36,"26-35",IF(HRDataset_v14[[#This Row],[Age Calculation
]]&lt;46,"36-45",IF(HRDataset_v14[[#This Row],[Age Calculation
]]&lt;56,"46-55","55+"))))</f>
        <v>26-35</v>
      </c>
      <c r="AR137" t="str">
        <f>IF(HRDataset_v14[[#This Row],[Salary]]&lt;40000,"Entry (&lt;40K)",IF(HRDataset_v14[[#This Row],[Salary]]&lt;70000,"Mid (40-70K)",IF(HRDataset_v14[[#This Row],[Salary]]&lt;100000,"Senior (70-100K)","Executive (100K+)")))</f>
        <v>Mid (40-70K)</v>
      </c>
      <c r="AS137">
        <f>IF(HRDataset_v14[[#This Row],[EmploymentStatus]]="Active",1,0)</f>
        <v>1</v>
      </c>
      <c r="AT137">
        <f>YEAR(HRDataset_v14[[#This Row],[DateofHire]])</f>
        <v>2015</v>
      </c>
      <c r="AU137">
        <f>MONTH(HRDataset_v14[[#This Row],[DateofHire]])</f>
        <v>6</v>
      </c>
      <c r="AV137" t="str">
        <f>"Q"&amp;ROUNDUP(MONTH(HRDataset_v14[[#This Row],[DateofHire]])/3,0)</f>
        <v>Q2</v>
      </c>
      <c r="AW137" t="str">
        <f>TEXT(HRDataset_v14[[#This Row],[DateofHire]],"MMM")</f>
        <v>Jun</v>
      </c>
      <c r="AX137" t="str">
        <f>TEXT(HRDataset_v14[[#This Row],[DateofHire]],"YYYY-MM")</f>
        <v>2015-06</v>
      </c>
      <c r="AY137" t="str">
        <f>IF(ISBLANK(HRDataset_v14[[#This Row],[DateofTermination]]),"N/A",YEAR(HRDataset_v14[[#This Row],[DateofTermination]]))</f>
        <v>N/A</v>
      </c>
      <c r="AZ137" t="str" cm="1">
        <f t="array" ref="AZ137">INDEX(_xlfn.UNIQUE(Z137:Z447),MATCH(MAX(COUNTIF(Z137:Z447,_xlfn.UNIQUE(Z137:Z447))),COUNTIF(Z137:Z447,_xlfn.UNIQUE(Z137:Z447)),0))</f>
        <v xml:space="preserve">Production       </v>
      </c>
      <c r="BA137">
        <f t="shared" si="24"/>
        <v>66.666666666666657</v>
      </c>
      <c r="BB137">
        <f t="shared" si="25"/>
        <v>0</v>
      </c>
      <c r="BC137" t="str">
        <f t="shared" si="20"/>
        <v>Medium</v>
      </c>
      <c r="BD137">
        <f t="shared" si="21"/>
        <v>4.5</v>
      </c>
      <c r="BE137" t="str">
        <f t="shared" si="22"/>
        <v/>
      </c>
      <c r="BT137">
        <f t="shared" si="23"/>
        <v>4.5</v>
      </c>
      <c r="BV137">
        <v>4.7</v>
      </c>
    </row>
    <row r="138" spans="1:74" x14ac:dyDescent="0.3">
      <c r="A138" t="s">
        <v>365</v>
      </c>
      <c r="B138">
        <v>10160</v>
      </c>
      <c r="C138">
        <v>0</v>
      </c>
      <c r="D138">
        <v>2</v>
      </c>
      <c r="E138">
        <v>0</v>
      </c>
      <c r="F138">
        <v>5</v>
      </c>
      <c r="G138">
        <v>5</v>
      </c>
      <c r="H138">
        <v>3</v>
      </c>
      <c r="I138">
        <v>0</v>
      </c>
      <c r="J138">
        <v>68182</v>
      </c>
      <c r="K138">
        <v>1</v>
      </c>
      <c r="L138">
        <v>20</v>
      </c>
      <c r="M138" t="s">
        <v>63</v>
      </c>
      <c r="N138" t="s">
        <v>38</v>
      </c>
      <c r="O138">
        <v>1742</v>
      </c>
      <c r="P138">
        <v>28025</v>
      </c>
      <c r="Q138" t="s">
        <v>64</v>
      </c>
      <c r="R138" t="s">
        <v>72</v>
      </c>
      <c r="S138" t="s">
        <v>41</v>
      </c>
      <c r="T138" t="s">
        <v>42</v>
      </c>
      <c r="U138" t="s">
        <v>43</v>
      </c>
      <c r="V138">
        <v>40595</v>
      </c>
      <c r="W138">
        <v>41365</v>
      </c>
      <c r="X138" t="s">
        <v>105</v>
      </c>
      <c r="Y138" t="s">
        <v>56</v>
      </c>
      <c r="Z138" t="s">
        <v>46</v>
      </c>
      <c r="AA138" t="s">
        <v>78</v>
      </c>
      <c r="AB138">
        <v>11</v>
      </c>
      <c r="AC138" t="s">
        <v>75</v>
      </c>
      <c r="AD138" t="s">
        <v>60</v>
      </c>
      <c r="AE138">
        <v>3.72</v>
      </c>
      <c r="AF138">
        <v>3</v>
      </c>
      <c r="AG138">
        <v>0</v>
      </c>
      <c r="AH138" t="s">
        <v>341</v>
      </c>
      <c r="AI138">
        <v>0</v>
      </c>
      <c r="AJ138">
        <v>18</v>
      </c>
      <c r="AK138" t="str">
        <f t="shared" si="18"/>
        <v>Normal</v>
      </c>
      <c r="AL138" t="str">
        <f t="shared" si="19"/>
        <v>low Outlier</v>
      </c>
      <c r="AM138">
        <f ca="1">INT((TODAY()-HRDataset_v14[[#This Row],[DOB]])/365.25)</f>
        <v>49</v>
      </c>
      <c r="AN138">
        <f ca="1">DATEDIF(HRDataset_v14[[#This Row],[DateofHire]],TODAY(),"Y")</f>
        <v>15</v>
      </c>
      <c r="AO138">
        <f ca="1">IF(ISBLANK(HRDataset_v14[[#This Row],[DateofTermination]]),DATEDIF(HRDataset_v14[[#This Row],[DateofHire]],TODAY(),"Y"),DATEDIF(HRDataset_v14[[#This Row],[DateofHire]],HRDataset_v14[[#This Row],[DateofTermination]],"Y"))</f>
        <v>2</v>
      </c>
      <c r="AP138" t="str">
        <f ca="1">IF(HRDataset_v14[[#This Row],[Tenure in Years
]]&lt;1,"0-1 Year",IF(HRDataset_v14[[#This Row],[Tenure in Years
]]&lt;3,"1-3 Years",IF(HRDataset_v14[[#This Row],[Tenure in Years
]]&lt;5,"3-5 Years",IF(HRDataset_v14[[#This Row],[Tenure in Years
]]&lt;10,"5-10 Years","10+ Years"))))</f>
        <v>10+ Years</v>
      </c>
      <c r="AQ138" t="str">
        <f ca="1">IF(HRDataset_v14[[#This Row],[Age Calculation
]]&lt;26,"18-25",IF(HRDataset_v14[[#This Row],[Age Calculation
]]&lt;36,"26-35",IF(HRDataset_v14[[#This Row],[Age Calculation
]]&lt;46,"36-45",IF(HRDataset_v14[[#This Row],[Age Calculation
]]&lt;56,"46-55","55+"))))</f>
        <v>46-55</v>
      </c>
      <c r="AR138" t="str">
        <f>IF(HRDataset_v14[[#This Row],[Salary]]&lt;40000,"Entry (&lt;40K)",IF(HRDataset_v14[[#This Row],[Salary]]&lt;70000,"Mid (40-70K)",IF(HRDataset_v14[[#This Row],[Salary]]&lt;100000,"Senior (70-100K)","Executive (100K+)")))</f>
        <v>Mid (40-70K)</v>
      </c>
      <c r="AS138">
        <f>IF(HRDataset_v14[[#This Row],[EmploymentStatus]]="Active",1,0)</f>
        <v>0</v>
      </c>
      <c r="AT138">
        <f>YEAR(HRDataset_v14[[#This Row],[DateofHire]])</f>
        <v>2011</v>
      </c>
      <c r="AU138">
        <f>MONTH(HRDataset_v14[[#This Row],[DateofHire]])</f>
        <v>2</v>
      </c>
      <c r="AV138" t="str">
        <f>"Q"&amp;ROUNDUP(MONTH(HRDataset_v14[[#This Row],[DateofHire]])/3,0)</f>
        <v>Q1</v>
      </c>
      <c r="AW138" t="str">
        <f>TEXT(HRDataset_v14[[#This Row],[DateofHire]],"MMM")</f>
        <v>Feb</v>
      </c>
      <c r="AX138" t="str">
        <f>TEXT(HRDataset_v14[[#This Row],[DateofHire]],"YYYY-MM")</f>
        <v>2011-02</v>
      </c>
      <c r="AY138">
        <f>IF(ISBLANK(HRDataset_v14[[#This Row],[DateofTermination]]),"N/A",YEAR(HRDataset_v14[[#This Row],[DateofTermination]]))</f>
        <v>2013</v>
      </c>
      <c r="AZ138" t="str" cm="1">
        <f t="array" ref="AZ138">INDEX(_xlfn.UNIQUE(Z138:Z448),MATCH(MAX(COUNTIF(Z138:Z448,_xlfn.UNIQUE(Z138:Z448))),COUNTIF(Z138:Z448,_xlfn.UNIQUE(Z138:Z448)),0))</f>
        <v xml:space="preserve">Production       </v>
      </c>
      <c r="BA138">
        <f t="shared" si="24"/>
        <v>91.666666666666657</v>
      </c>
      <c r="BB138">
        <f t="shared" si="25"/>
        <v>11</v>
      </c>
      <c r="BC138" t="str">
        <f t="shared" si="20"/>
        <v>Medium</v>
      </c>
      <c r="BD138" t="str">
        <f t="shared" si="21"/>
        <v/>
      </c>
      <c r="BE138">
        <f t="shared" si="22"/>
        <v>3.72</v>
      </c>
      <c r="BT138" t="str">
        <f t="shared" si="23"/>
        <v/>
      </c>
      <c r="BV138">
        <v>4.0999999999999996</v>
      </c>
    </row>
    <row r="139" spans="1:74" x14ac:dyDescent="0.3">
      <c r="A139" t="s">
        <v>366</v>
      </c>
      <c r="B139">
        <v>10289</v>
      </c>
      <c r="C139">
        <v>1</v>
      </c>
      <c r="D139">
        <v>1</v>
      </c>
      <c r="E139">
        <v>1</v>
      </c>
      <c r="F139">
        <v>5</v>
      </c>
      <c r="G139">
        <v>5</v>
      </c>
      <c r="H139">
        <v>2</v>
      </c>
      <c r="I139">
        <v>0</v>
      </c>
      <c r="J139">
        <v>83082</v>
      </c>
      <c r="K139">
        <v>1</v>
      </c>
      <c r="L139">
        <v>18</v>
      </c>
      <c r="M139" t="s">
        <v>154</v>
      </c>
      <c r="N139" t="s">
        <v>38</v>
      </c>
      <c r="O139">
        <v>2128</v>
      </c>
      <c r="P139">
        <v>28079</v>
      </c>
      <c r="Q139" t="s">
        <v>39</v>
      </c>
      <c r="R139" t="s">
        <v>53</v>
      </c>
      <c r="S139" t="s">
        <v>41</v>
      </c>
      <c r="T139" t="s">
        <v>42</v>
      </c>
      <c r="U139" t="s">
        <v>132</v>
      </c>
      <c r="V139">
        <v>40595</v>
      </c>
      <c r="W139">
        <v>41176</v>
      </c>
      <c r="X139" t="s">
        <v>105</v>
      </c>
      <c r="Y139" t="s">
        <v>56</v>
      </c>
      <c r="Z139" t="s">
        <v>46</v>
      </c>
      <c r="AA139" t="s">
        <v>156</v>
      </c>
      <c r="AB139">
        <v>2</v>
      </c>
      <c r="AC139" t="s">
        <v>59</v>
      </c>
      <c r="AD139" t="s">
        <v>141</v>
      </c>
      <c r="AE139">
        <v>2.34</v>
      </c>
      <c r="AF139">
        <v>2</v>
      </c>
      <c r="AG139">
        <v>0</v>
      </c>
      <c r="AH139" t="s">
        <v>367</v>
      </c>
      <c r="AI139">
        <v>3</v>
      </c>
      <c r="AJ139">
        <v>4</v>
      </c>
      <c r="AK139" t="str">
        <f t="shared" si="18"/>
        <v>Normal</v>
      </c>
      <c r="AL139" t="str">
        <f t="shared" si="19"/>
        <v>low Outlier</v>
      </c>
      <c r="AM139">
        <f ca="1">INT((TODAY()-HRDataset_v14[[#This Row],[DOB]])/365.25)</f>
        <v>49</v>
      </c>
      <c r="AN139">
        <f ca="1">DATEDIF(HRDataset_v14[[#This Row],[DateofHire]],TODAY(),"Y")</f>
        <v>15</v>
      </c>
      <c r="AO139">
        <f ca="1">IF(ISBLANK(HRDataset_v14[[#This Row],[DateofTermination]]),DATEDIF(HRDataset_v14[[#This Row],[DateofHire]],TODAY(),"Y"),DATEDIF(HRDataset_v14[[#This Row],[DateofHire]],HRDataset_v14[[#This Row],[DateofTermination]],"Y"))</f>
        <v>1</v>
      </c>
      <c r="AP139" t="str">
        <f ca="1">IF(HRDataset_v14[[#This Row],[Tenure in Years
]]&lt;1,"0-1 Year",IF(HRDataset_v14[[#This Row],[Tenure in Years
]]&lt;3,"1-3 Years",IF(HRDataset_v14[[#This Row],[Tenure in Years
]]&lt;5,"3-5 Years",IF(HRDataset_v14[[#This Row],[Tenure in Years
]]&lt;10,"5-10 Years","10+ Years"))))</f>
        <v>10+ Years</v>
      </c>
      <c r="AQ139" t="str">
        <f ca="1">IF(HRDataset_v14[[#This Row],[Age Calculation
]]&lt;26,"18-25",IF(HRDataset_v14[[#This Row],[Age Calculation
]]&lt;36,"26-35",IF(HRDataset_v14[[#This Row],[Age Calculation
]]&lt;46,"36-45",IF(HRDataset_v14[[#This Row],[Age Calculation
]]&lt;56,"46-55","55+"))))</f>
        <v>46-55</v>
      </c>
      <c r="AR139" t="str">
        <f>IF(HRDataset_v14[[#This Row],[Salary]]&lt;40000,"Entry (&lt;40K)",IF(HRDataset_v14[[#This Row],[Salary]]&lt;70000,"Mid (40-70K)",IF(HRDataset_v14[[#This Row],[Salary]]&lt;100000,"Senior (70-100K)","Executive (100K+)")))</f>
        <v>Senior (70-100K)</v>
      </c>
      <c r="AS139">
        <f>IF(HRDataset_v14[[#This Row],[EmploymentStatus]]="Active",1,0)</f>
        <v>0</v>
      </c>
      <c r="AT139">
        <f>YEAR(HRDataset_v14[[#This Row],[DateofHire]])</f>
        <v>2011</v>
      </c>
      <c r="AU139">
        <f>MONTH(HRDataset_v14[[#This Row],[DateofHire]])</f>
        <v>2</v>
      </c>
      <c r="AV139" t="str">
        <f>"Q"&amp;ROUNDUP(MONTH(HRDataset_v14[[#This Row],[DateofHire]])/3,0)</f>
        <v>Q1</v>
      </c>
      <c r="AW139" t="str">
        <f>TEXT(HRDataset_v14[[#This Row],[DateofHire]],"MMM")</f>
        <v>Feb</v>
      </c>
      <c r="AX139" t="str">
        <f>TEXT(HRDataset_v14[[#This Row],[DateofHire]],"YYYY-MM")</f>
        <v>2011-02</v>
      </c>
      <c r="AY139">
        <f>IF(ISBLANK(HRDataset_v14[[#This Row],[DateofTermination]]),"N/A",YEAR(HRDataset_v14[[#This Row],[DateofTermination]]))</f>
        <v>2012</v>
      </c>
      <c r="AZ139" t="str" cm="1">
        <f t="array" ref="AZ139">INDEX(_xlfn.UNIQUE(Z139:Z449),MATCH(MAX(COUNTIF(Z139:Z449,_xlfn.UNIQUE(Z139:Z449))),COUNTIF(Z139:Z449,_xlfn.UNIQUE(Z139:Z449)),0))</f>
        <v xml:space="preserve">Production       </v>
      </c>
      <c r="BA139">
        <f t="shared" si="24"/>
        <v>41.666666666666671</v>
      </c>
      <c r="BB139">
        <f t="shared" si="25"/>
        <v>10</v>
      </c>
      <c r="BC139" t="str">
        <f t="shared" si="20"/>
        <v>High</v>
      </c>
      <c r="BD139" t="str">
        <f t="shared" si="21"/>
        <v/>
      </c>
      <c r="BE139">
        <f t="shared" si="22"/>
        <v>2.34</v>
      </c>
      <c r="BT139" t="str">
        <f t="shared" si="23"/>
        <v/>
      </c>
      <c r="BV139">
        <v>3.81</v>
      </c>
    </row>
    <row r="140" spans="1:74" x14ac:dyDescent="0.3">
      <c r="A140" t="s">
        <v>368</v>
      </c>
      <c r="B140">
        <v>10139</v>
      </c>
      <c r="C140">
        <v>0</v>
      </c>
      <c r="D140">
        <v>0</v>
      </c>
      <c r="E140">
        <v>0</v>
      </c>
      <c r="F140">
        <v>1</v>
      </c>
      <c r="G140">
        <v>5</v>
      </c>
      <c r="H140">
        <v>3</v>
      </c>
      <c r="I140">
        <v>0</v>
      </c>
      <c r="J140">
        <v>51908</v>
      </c>
      <c r="K140">
        <v>0</v>
      </c>
      <c r="L140">
        <v>19</v>
      </c>
      <c r="M140" t="s">
        <v>37</v>
      </c>
      <c r="N140" t="s">
        <v>38</v>
      </c>
      <c r="O140">
        <v>1775</v>
      </c>
      <c r="P140">
        <v>33266</v>
      </c>
      <c r="Q140" t="s">
        <v>64</v>
      </c>
      <c r="R140" t="s">
        <v>40</v>
      </c>
      <c r="S140" t="s">
        <v>41</v>
      </c>
      <c r="T140" t="s">
        <v>42</v>
      </c>
      <c r="U140" t="s">
        <v>43</v>
      </c>
      <c r="V140">
        <v>41505</v>
      </c>
      <c r="X140" t="s">
        <v>44</v>
      </c>
      <c r="Y140" t="s">
        <v>45</v>
      </c>
      <c r="Z140" t="s">
        <v>46</v>
      </c>
      <c r="AA140" t="s">
        <v>92</v>
      </c>
      <c r="AB140">
        <v>12</v>
      </c>
      <c r="AC140" t="s">
        <v>59</v>
      </c>
      <c r="AD140" t="s">
        <v>60</v>
      </c>
      <c r="AE140">
        <v>3.99</v>
      </c>
      <c r="AF140">
        <v>3</v>
      </c>
      <c r="AG140">
        <v>0</v>
      </c>
      <c r="AH140" t="s">
        <v>124</v>
      </c>
      <c r="AI140">
        <v>0</v>
      </c>
      <c r="AJ140">
        <v>14</v>
      </c>
      <c r="AK140" t="str">
        <f t="shared" si="18"/>
        <v>Normal</v>
      </c>
      <c r="AL140" t="str">
        <f t="shared" si="19"/>
        <v>low Outlier</v>
      </c>
      <c r="AM140">
        <f ca="1">INT((TODAY()-HRDataset_v14[[#This Row],[DOB]])/365.25)</f>
        <v>35</v>
      </c>
      <c r="AN140">
        <f ca="1">DATEDIF(HRDataset_v14[[#This Row],[DateofHire]],TODAY(),"Y")</f>
        <v>12</v>
      </c>
      <c r="AO140">
        <f ca="1">IF(ISBLANK(HRDataset_v14[[#This Row],[DateofTermination]]),DATEDIF(HRDataset_v14[[#This Row],[DateofHire]],TODAY(),"Y"),DATEDIF(HRDataset_v14[[#This Row],[DateofHire]],HRDataset_v14[[#This Row],[DateofTermination]],"Y"))</f>
        <v>12</v>
      </c>
      <c r="AP140" t="str">
        <f ca="1">IF(HRDataset_v14[[#This Row],[Tenure in Years
]]&lt;1,"0-1 Year",IF(HRDataset_v14[[#This Row],[Tenure in Years
]]&lt;3,"1-3 Years",IF(HRDataset_v14[[#This Row],[Tenure in Years
]]&lt;5,"3-5 Years",IF(HRDataset_v14[[#This Row],[Tenure in Years
]]&lt;10,"5-10 Years","10+ Years"))))</f>
        <v>10+ Years</v>
      </c>
      <c r="AQ140" t="str">
        <f ca="1">IF(HRDataset_v14[[#This Row],[Age Calculation
]]&lt;26,"18-25",IF(HRDataset_v14[[#This Row],[Age Calculation
]]&lt;36,"26-35",IF(HRDataset_v14[[#This Row],[Age Calculation
]]&lt;46,"36-45",IF(HRDataset_v14[[#This Row],[Age Calculation
]]&lt;56,"46-55","55+"))))</f>
        <v>26-35</v>
      </c>
      <c r="AR140" t="str">
        <f>IF(HRDataset_v14[[#This Row],[Salary]]&lt;40000,"Entry (&lt;40K)",IF(HRDataset_v14[[#This Row],[Salary]]&lt;70000,"Mid (40-70K)",IF(HRDataset_v14[[#This Row],[Salary]]&lt;100000,"Senior (70-100K)","Executive (100K+)")))</f>
        <v>Mid (40-70K)</v>
      </c>
      <c r="AS140">
        <f>IF(HRDataset_v14[[#This Row],[EmploymentStatus]]="Active",1,0)</f>
        <v>1</v>
      </c>
      <c r="AT140">
        <f>YEAR(HRDataset_v14[[#This Row],[DateofHire]])</f>
        <v>2013</v>
      </c>
      <c r="AU140">
        <f>MONTH(HRDataset_v14[[#This Row],[DateofHire]])</f>
        <v>8</v>
      </c>
      <c r="AV140" t="str">
        <f>"Q"&amp;ROUNDUP(MONTH(HRDataset_v14[[#This Row],[DateofHire]])/3,0)</f>
        <v>Q3</v>
      </c>
      <c r="AW140" t="str">
        <f>TEXT(HRDataset_v14[[#This Row],[DateofHire]],"MMM")</f>
        <v>Aug</v>
      </c>
      <c r="AX140" t="str">
        <f>TEXT(HRDataset_v14[[#This Row],[DateofHire]],"YYYY-MM")</f>
        <v>2013-08</v>
      </c>
      <c r="AY140" t="str">
        <f>IF(ISBLANK(HRDataset_v14[[#This Row],[DateofTermination]]),"N/A",YEAR(HRDataset_v14[[#This Row],[DateofTermination]]))</f>
        <v>N/A</v>
      </c>
      <c r="AZ140" t="str" cm="1">
        <f t="array" ref="AZ140">INDEX(_xlfn.UNIQUE(Z140:Z450),MATCH(MAX(COUNTIF(Z140:Z450,_xlfn.UNIQUE(Z140:Z450))),COUNTIF(Z140:Z450,_xlfn.UNIQUE(Z140:Z450)),0))</f>
        <v xml:space="preserve">Production       </v>
      </c>
      <c r="BA140">
        <f t="shared" si="24"/>
        <v>30.76923076923077</v>
      </c>
      <c r="BB140">
        <f t="shared" si="25"/>
        <v>0</v>
      </c>
      <c r="BC140" t="str">
        <f t="shared" si="20"/>
        <v>Medium</v>
      </c>
      <c r="BD140">
        <f t="shared" si="21"/>
        <v>3.99</v>
      </c>
      <c r="BE140" t="str">
        <f t="shared" si="22"/>
        <v/>
      </c>
      <c r="BT140">
        <f t="shared" si="23"/>
        <v>3.99</v>
      </c>
      <c r="BV140">
        <v>4.4000000000000004</v>
      </c>
    </row>
    <row r="141" spans="1:74" x14ac:dyDescent="0.3">
      <c r="A141" t="s">
        <v>369</v>
      </c>
      <c r="B141">
        <v>10227</v>
      </c>
      <c r="C141">
        <v>0</v>
      </c>
      <c r="D141">
        <v>0</v>
      </c>
      <c r="E141">
        <v>0</v>
      </c>
      <c r="F141">
        <v>1</v>
      </c>
      <c r="G141">
        <v>5</v>
      </c>
      <c r="H141">
        <v>3</v>
      </c>
      <c r="I141">
        <v>0</v>
      </c>
      <c r="J141">
        <v>61242</v>
      </c>
      <c r="K141">
        <v>0</v>
      </c>
      <c r="L141">
        <v>19</v>
      </c>
      <c r="M141" t="s">
        <v>37</v>
      </c>
      <c r="N141" t="s">
        <v>38</v>
      </c>
      <c r="O141">
        <v>2081</v>
      </c>
      <c r="P141">
        <v>26553</v>
      </c>
      <c r="Q141" t="s">
        <v>64</v>
      </c>
      <c r="R141" t="s">
        <v>40</v>
      </c>
      <c r="S141" t="s">
        <v>41</v>
      </c>
      <c r="T141" t="s">
        <v>42</v>
      </c>
      <c r="U141" t="s">
        <v>91</v>
      </c>
      <c r="V141">
        <v>41218</v>
      </c>
      <c r="X141" t="s">
        <v>44</v>
      </c>
      <c r="Y141" t="s">
        <v>45</v>
      </c>
      <c r="Z141" t="s">
        <v>46</v>
      </c>
      <c r="AA141" t="s">
        <v>102</v>
      </c>
      <c r="AB141">
        <v>14</v>
      </c>
      <c r="AC141" t="s">
        <v>48</v>
      </c>
      <c r="AD141" t="s">
        <v>60</v>
      </c>
      <c r="AE141">
        <v>4.0999999999999996</v>
      </c>
      <c r="AF141">
        <v>3</v>
      </c>
      <c r="AG141">
        <v>0</v>
      </c>
      <c r="AH141" t="s">
        <v>50</v>
      </c>
      <c r="AI141">
        <v>0</v>
      </c>
      <c r="AJ141">
        <v>7</v>
      </c>
      <c r="AK141" t="str">
        <f t="shared" si="18"/>
        <v>Normal</v>
      </c>
      <c r="AL141" t="str">
        <f t="shared" si="19"/>
        <v>low Outlier</v>
      </c>
      <c r="AM141">
        <f ca="1">INT((TODAY()-HRDataset_v14[[#This Row],[DOB]])/365.25)</f>
        <v>53</v>
      </c>
      <c r="AN141">
        <f ca="1">DATEDIF(HRDataset_v14[[#This Row],[DateofHire]],TODAY(),"Y")</f>
        <v>13</v>
      </c>
      <c r="AO141">
        <f ca="1">IF(ISBLANK(HRDataset_v14[[#This Row],[DateofTermination]]),DATEDIF(HRDataset_v14[[#This Row],[DateofHire]],TODAY(),"Y"),DATEDIF(HRDataset_v14[[#This Row],[DateofHire]],HRDataset_v14[[#This Row],[DateofTermination]],"Y"))</f>
        <v>13</v>
      </c>
      <c r="AP141" t="str">
        <f ca="1">IF(HRDataset_v14[[#This Row],[Tenure in Years
]]&lt;1,"0-1 Year",IF(HRDataset_v14[[#This Row],[Tenure in Years
]]&lt;3,"1-3 Years",IF(HRDataset_v14[[#This Row],[Tenure in Years
]]&lt;5,"3-5 Years",IF(HRDataset_v14[[#This Row],[Tenure in Years
]]&lt;10,"5-10 Years","10+ Years"))))</f>
        <v>10+ Years</v>
      </c>
      <c r="AQ141" t="str">
        <f ca="1">IF(HRDataset_v14[[#This Row],[Age Calculation
]]&lt;26,"18-25",IF(HRDataset_v14[[#This Row],[Age Calculation
]]&lt;36,"26-35",IF(HRDataset_v14[[#This Row],[Age Calculation
]]&lt;46,"36-45",IF(HRDataset_v14[[#This Row],[Age Calculation
]]&lt;56,"46-55","55+"))))</f>
        <v>46-55</v>
      </c>
      <c r="AR141" t="str">
        <f>IF(HRDataset_v14[[#This Row],[Salary]]&lt;40000,"Entry (&lt;40K)",IF(HRDataset_v14[[#This Row],[Salary]]&lt;70000,"Mid (40-70K)",IF(HRDataset_v14[[#This Row],[Salary]]&lt;100000,"Senior (70-100K)","Executive (100K+)")))</f>
        <v>Mid (40-70K)</v>
      </c>
      <c r="AS141">
        <f>IF(HRDataset_v14[[#This Row],[EmploymentStatus]]="Active",1,0)</f>
        <v>1</v>
      </c>
      <c r="AT141">
        <f>YEAR(HRDataset_v14[[#This Row],[DateofHire]])</f>
        <v>2012</v>
      </c>
      <c r="AU141">
        <f>MONTH(HRDataset_v14[[#This Row],[DateofHire]])</f>
        <v>11</v>
      </c>
      <c r="AV141" t="str">
        <f>"Q"&amp;ROUNDUP(MONTH(HRDataset_v14[[#This Row],[DateofHire]])/3,0)</f>
        <v>Q4</v>
      </c>
      <c r="AW141" t="str">
        <f>TEXT(HRDataset_v14[[#This Row],[DateofHire]],"MMM")</f>
        <v>Nov</v>
      </c>
      <c r="AX141" t="str">
        <f>TEXT(HRDataset_v14[[#This Row],[DateofHire]],"YYYY-MM")</f>
        <v>2012-11</v>
      </c>
      <c r="AY141" t="str">
        <f>IF(ISBLANK(HRDataset_v14[[#This Row],[DateofTermination]]),"N/A",YEAR(HRDataset_v14[[#This Row],[DateofTermination]]))</f>
        <v>N/A</v>
      </c>
      <c r="AZ141" t="str" cm="1">
        <f t="array" ref="AZ141">INDEX(_xlfn.UNIQUE(Z141:Z451),MATCH(MAX(COUNTIF(Z141:Z451,_xlfn.UNIQUE(Z141:Z451))),COUNTIF(Z141:Z451,_xlfn.UNIQUE(Z141:Z451)),0))</f>
        <v xml:space="preserve">Production       </v>
      </c>
      <c r="BA141">
        <f t="shared" si="24"/>
        <v>23.076923076923077</v>
      </c>
      <c r="BB141">
        <f t="shared" si="25"/>
        <v>0</v>
      </c>
      <c r="BC141" t="str">
        <f t="shared" si="20"/>
        <v>Medium</v>
      </c>
      <c r="BD141">
        <f t="shared" si="21"/>
        <v>4.0999999999999996</v>
      </c>
      <c r="BE141" t="str">
        <f t="shared" si="22"/>
        <v/>
      </c>
      <c r="BT141">
        <f t="shared" si="23"/>
        <v>4.0999999999999996</v>
      </c>
      <c r="BV141">
        <v>4.29</v>
      </c>
    </row>
    <row r="142" spans="1:74" x14ac:dyDescent="0.3">
      <c r="A142" t="s">
        <v>370</v>
      </c>
      <c r="B142">
        <v>10236</v>
      </c>
      <c r="C142">
        <v>0</v>
      </c>
      <c r="D142">
        <v>2</v>
      </c>
      <c r="E142">
        <v>0</v>
      </c>
      <c r="F142">
        <v>1</v>
      </c>
      <c r="G142">
        <v>5</v>
      </c>
      <c r="H142">
        <v>3</v>
      </c>
      <c r="I142">
        <v>0</v>
      </c>
      <c r="J142">
        <v>45069</v>
      </c>
      <c r="K142">
        <v>0</v>
      </c>
      <c r="L142">
        <v>19</v>
      </c>
      <c r="M142" t="s">
        <v>37</v>
      </c>
      <c r="N142" t="s">
        <v>38</v>
      </c>
      <c r="O142">
        <v>1778</v>
      </c>
      <c r="P142">
        <v>24188</v>
      </c>
      <c r="Q142" t="s">
        <v>64</v>
      </c>
      <c r="R142" t="s">
        <v>72</v>
      </c>
      <c r="S142" t="s">
        <v>41</v>
      </c>
      <c r="T142" t="s">
        <v>42</v>
      </c>
      <c r="U142" t="s">
        <v>43</v>
      </c>
      <c r="V142">
        <v>41547</v>
      </c>
      <c r="X142" t="s">
        <v>44</v>
      </c>
      <c r="Y142" t="s">
        <v>45</v>
      </c>
      <c r="Z142" t="s">
        <v>46</v>
      </c>
      <c r="AA142" t="s">
        <v>66</v>
      </c>
      <c r="AB142">
        <v>20</v>
      </c>
      <c r="AC142" t="s">
        <v>88</v>
      </c>
      <c r="AD142" t="s">
        <v>60</v>
      </c>
      <c r="AE142">
        <v>4.3</v>
      </c>
      <c r="AF142">
        <v>5</v>
      </c>
      <c r="AG142">
        <v>0</v>
      </c>
      <c r="AH142" t="s">
        <v>182</v>
      </c>
      <c r="AI142">
        <v>0</v>
      </c>
      <c r="AJ142">
        <v>7</v>
      </c>
      <c r="AK142" t="str">
        <f t="shared" si="18"/>
        <v>Normal</v>
      </c>
      <c r="AL142" t="str">
        <f t="shared" si="19"/>
        <v>low Outlier</v>
      </c>
      <c r="AM142">
        <f ca="1">INT((TODAY()-HRDataset_v14[[#This Row],[DOB]])/365.25)</f>
        <v>60</v>
      </c>
      <c r="AN142">
        <f ca="1">DATEDIF(HRDataset_v14[[#This Row],[DateofHire]],TODAY(),"Y")</f>
        <v>12</v>
      </c>
      <c r="AO142">
        <f ca="1">IF(ISBLANK(HRDataset_v14[[#This Row],[DateofTermination]]),DATEDIF(HRDataset_v14[[#This Row],[DateofHire]],TODAY(),"Y"),DATEDIF(HRDataset_v14[[#This Row],[DateofHire]],HRDataset_v14[[#This Row],[DateofTermination]],"Y"))</f>
        <v>12</v>
      </c>
      <c r="AP142" t="str">
        <f ca="1">IF(HRDataset_v14[[#This Row],[Tenure in Years
]]&lt;1,"0-1 Year",IF(HRDataset_v14[[#This Row],[Tenure in Years
]]&lt;3,"1-3 Years",IF(HRDataset_v14[[#This Row],[Tenure in Years
]]&lt;5,"3-5 Years",IF(HRDataset_v14[[#This Row],[Tenure in Years
]]&lt;10,"5-10 Years","10+ Years"))))</f>
        <v>10+ Years</v>
      </c>
      <c r="AQ142" t="str">
        <f ca="1">IF(HRDataset_v14[[#This Row],[Age Calculation
]]&lt;26,"18-25",IF(HRDataset_v14[[#This Row],[Age Calculation
]]&lt;36,"26-35",IF(HRDataset_v14[[#This Row],[Age Calculation
]]&lt;46,"36-45",IF(HRDataset_v14[[#This Row],[Age Calculation
]]&lt;56,"46-55","55+"))))</f>
        <v>55+</v>
      </c>
      <c r="AR142" t="str">
        <f>IF(HRDataset_v14[[#This Row],[Salary]]&lt;40000,"Entry (&lt;40K)",IF(HRDataset_v14[[#This Row],[Salary]]&lt;70000,"Mid (40-70K)",IF(HRDataset_v14[[#This Row],[Salary]]&lt;100000,"Senior (70-100K)","Executive (100K+)")))</f>
        <v>Mid (40-70K)</v>
      </c>
      <c r="AS142">
        <f>IF(HRDataset_v14[[#This Row],[EmploymentStatus]]="Active",1,0)</f>
        <v>1</v>
      </c>
      <c r="AT142">
        <f>YEAR(HRDataset_v14[[#This Row],[DateofHire]])</f>
        <v>2013</v>
      </c>
      <c r="AU142">
        <f>MONTH(HRDataset_v14[[#This Row],[DateofHire]])</f>
        <v>9</v>
      </c>
      <c r="AV142" t="str">
        <f>"Q"&amp;ROUNDUP(MONTH(HRDataset_v14[[#This Row],[DateofHire]])/3,0)</f>
        <v>Q3</v>
      </c>
      <c r="AW142" t="str">
        <f>TEXT(HRDataset_v14[[#This Row],[DateofHire]],"MMM")</f>
        <v>Sep</v>
      </c>
      <c r="AX142" t="str">
        <f>TEXT(HRDataset_v14[[#This Row],[DateofHire]],"YYYY-MM")</f>
        <v>2013-09</v>
      </c>
      <c r="AY142" t="str">
        <f>IF(ISBLANK(HRDataset_v14[[#This Row],[DateofTermination]]),"N/A",YEAR(HRDataset_v14[[#This Row],[DateofTermination]]))</f>
        <v>N/A</v>
      </c>
      <c r="AZ142" t="str" cm="1">
        <f t="array" ref="AZ142">INDEX(_xlfn.UNIQUE(Z142:Z452),MATCH(MAX(COUNTIF(Z142:Z452,_xlfn.UNIQUE(Z142:Z452))),COUNTIF(Z142:Z452,_xlfn.UNIQUE(Z142:Z452)),0))</f>
        <v xml:space="preserve">Production       </v>
      </c>
      <c r="BA142">
        <f t="shared" si="24"/>
        <v>57.142857142857139</v>
      </c>
      <c r="BB142">
        <f t="shared" si="25"/>
        <v>0</v>
      </c>
      <c r="BC142" t="str">
        <f t="shared" si="20"/>
        <v>Medium</v>
      </c>
      <c r="BD142">
        <f t="shared" si="21"/>
        <v>4.3</v>
      </c>
      <c r="BE142" t="str">
        <f t="shared" si="22"/>
        <v/>
      </c>
      <c r="BT142">
        <f t="shared" si="23"/>
        <v>4.3</v>
      </c>
      <c r="BV142">
        <v>4.0999999999999996</v>
      </c>
    </row>
    <row r="143" spans="1:74" x14ac:dyDescent="0.3">
      <c r="A143" t="s">
        <v>371</v>
      </c>
      <c r="B143">
        <v>10009</v>
      </c>
      <c r="C143">
        <v>0</v>
      </c>
      <c r="D143">
        <v>2</v>
      </c>
      <c r="E143">
        <v>0</v>
      </c>
      <c r="F143">
        <v>1</v>
      </c>
      <c r="G143">
        <v>5</v>
      </c>
      <c r="H143">
        <v>4</v>
      </c>
      <c r="I143">
        <v>0</v>
      </c>
      <c r="J143">
        <v>60724</v>
      </c>
      <c r="K143">
        <v>0</v>
      </c>
      <c r="L143">
        <v>20</v>
      </c>
      <c r="M143" t="s">
        <v>63</v>
      </c>
      <c r="N143" t="s">
        <v>38</v>
      </c>
      <c r="O143">
        <v>1821</v>
      </c>
      <c r="P143">
        <v>31722</v>
      </c>
      <c r="Q143" t="s">
        <v>64</v>
      </c>
      <c r="R143" t="s">
        <v>72</v>
      </c>
      <c r="S143" t="s">
        <v>41</v>
      </c>
      <c r="T143" t="s">
        <v>42</v>
      </c>
      <c r="U143" t="s">
        <v>332</v>
      </c>
      <c r="V143">
        <v>40729</v>
      </c>
      <c r="X143" t="s">
        <v>44</v>
      </c>
      <c r="Y143" t="s">
        <v>45</v>
      </c>
      <c r="Z143" t="s">
        <v>46</v>
      </c>
      <c r="AA143" t="s">
        <v>87</v>
      </c>
      <c r="AB143">
        <v>19</v>
      </c>
      <c r="AC143" t="s">
        <v>48</v>
      </c>
      <c r="AD143" t="s">
        <v>49</v>
      </c>
      <c r="AE143">
        <v>4.5999999999999996</v>
      </c>
      <c r="AF143">
        <v>4</v>
      </c>
      <c r="AG143">
        <v>0</v>
      </c>
      <c r="AH143" t="s">
        <v>89</v>
      </c>
      <c r="AI143">
        <v>0</v>
      </c>
      <c r="AJ143">
        <v>11</v>
      </c>
      <c r="AK143" t="str">
        <f t="shared" si="18"/>
        <v>Normal</v>
      </c>
      <c r="AL143" t="str">
        <f t="shared" si="19"/>
        <v>low Outlier</v>
      </c>
      <c r="AM143">
        <f ca="1">INT((TODAY()-HRDataset_v14[[#This Row],[DOB]])/365.25)</f>
        <v>39</v>
      </c>
      <c r="AN143">
        <f ca="1">DATEDIF(HRDataset_v14[[#This Row],[DateofHire]],TODAY(),"Y")</f>
        <v>14</v>
      </c>
      <c r="AO143">
        <f ca="1">IF(ISBLANK(HRDataset_v14[[#This Row],[DateofTermination]]),DATEDIF(HRDataset_v14[[#This Row],[DateofHire]],TODAY(),"Y"),DATEDIF(HRDataset_v14[[#This Row],[DateofHire]],HRDataset_v14[[#This Row],[DateofTermination]],"Y"))</f>
        <v>14</v>
      </c>
      <c r="AP143" t="str">
        <f ca="1">IF(HRDataset_v14[[#This Row],[Tenure in Years
]]&lt;1,"0-1 Year",IF(HRDataset_v14[[#This Row],[Tenure in Years
]]&lt;3,"1-3 Years",IF(HRDataset_v14[[#This Row],[Tenure in Years
]]&lt;5,"3-5 Years",IF(HRDataset_v14[[#This Row],[Tenure in Years
]]&lt;10,"5-10 Years","10+ Years"))))</f>
        <v>10+ Years</v>
      </c>
      <c r="AQ143" t="str">
        <f ca="1">IF(HRDataset_v14[[#This Row],[Age Calculation
]]&lt;26,"18-25",IF(HRDataset_v14[[#This Row],[Age Calculation
]]&lt;36,"26-35",IF(HRDataset_v14[[#This Row],[Age Calculation
]]&lt;46,"36-45",IF(HRDataset_v14[[#This Row],[Age Calculation
]]&lt;56,"46-55","55+"))))</f>
        <v>36-45</v>
      </c>
      <c r="AR143" t="str">
        <f>IF(HRDataset_v14[[#This Row],[Salary]]&lt;40000,"Entry (&lt;40K)",IF(HRDataset_v14[[#This Row],[Salary]]&lt;70000,"Mid (40-70K)",IF(HRDataset_v14[[#This Row],[Salary]]&lt;100000,"Senior (70-100K)","Executive (100K+)")))</f>
        <v>Mid (40-70K)</v>
      </c>
      <c r="AS143">
        <f>IF(HRDataset_v14[[#This Row],[EmploymentStatus]]="Active",1,0)</f>
        <v>1</v>
      </c>
      <c r="AT143">
        <f>YEAR(HRDataset_v14[[#This Row],[DateofHire]])</f>
        <v>2011</v>
      </c>
      <c r="AU143">
        <f>MONTH(HRDataset_v14[[#This Row],[DateofHire]])</f>
        <v>7</v>
      </c>
      <c r="AV143" t="str">
        <f>"Q"&amp;ROUNDUP(MONTH(HRDataset_v14[[#This Row],[DateofHire]])/3,0)</f>
        <v>Q3</v>
      </c>
      <c r="AW143" t="str">
        <f>TEXT(HRDataset_v14[[#This Row],[DateofHire]],"MMM")</f>
        <v>Jul</v>
      </c>
      <c r="AX143" t="str">
        <f>TEXT(HRDataset_v14[[#This Row],[DateofHire]],"YYYY-MM")</f>
        <v>2011-07</v>
      </c>
      <c r="AY143" t="str">
        <f>IF(ISBLANK(HRDataset_v14[[#This Row],[DateofTermination]]),"N/A",YEAR(HRDataset_v14[[#This Row],[DateofTermination]]))</f>
        <v>N/A</v>
      </c>
      <c r="AZ143" t="str" cm="1">
        <f t="array" ref="AZ143">INDEX(_xlfn.UNIQUE(Z143:Z453),MATCH(MAX(COUNTIF(Z143:Z453,_xlfn.UNIQUE(Z143:Z453))),COUNTIF(Z143:Z453,_xlfn.UNIQUE(Z143:Z453)),0))</f>
        <v xml:space="preserve">Production       </v>
      </c>
      <c r="BA143">
        <f t="shared" si="24"/>
        <v>36.363636363636367</v>
      </c>
      <c r="BB143">
        <f t="shared" si="25"/>
        <v>0</v>
      </c>
      <c r="BC143" t="str">
        <f t="shared" si="20"/>
        <v>Low</v>
      </c>
      <c r="BD143">
        <f t="shared" si="21"/>
        <v>4.5999999999999996</v>
      </c>
      <c r="BE143" t="str">
        <f t="shared" si="22"/>
        <v/>
      </c>
      <c r="BT143">
        <f t="shared" si="23"/>
        <v>4.5999999999999996</v>
      </c>
      <c r="BV143">
        <v>5</v>
      </c>
    </row>
    <row r="144" spans="1:74" x14ac:dyDescent="0.3">
      <c r="A144" t="s">
        <v>372</v>
      </c>
      <c r="B144">
        <v>10060</v>
      </c>
      <c r="C144">
        <v>0</v>
      </c>
      <c r="D144">
        <v>3</v>
      </c>
      <c r="E144">
        <v>0</v>
      </c>
      <c r="F144">
        <v>1</v>
      </c>
      <c r="G144">
        <v>5</v>
      </c>
      <c r="H144">
        <v>3</v>
      </c>
      <c r="I144">
        <v>0</v>
      </c>
      <c r="J144">
        <v>60436</v>
      </c>
      <c r="K144">
        <v>0</v>
      </c>
      <c r="L144">
        <v>19</v>
      </c>
      <c r="M144" t="s">
        <v>37</v>
      </c>
      <c r="N144" t="s">
        <v>38</v>
      </c>
      <c r="O144">
        <v>2109</v>
      </c>
      <c r="P144">
        <v>23480</v>
      </c>
      <c r="Q144" t="s">
        <v>64</v>
      </c>
      <c r="R144" t="s">
        <v>166</v>
      </c>
      <c r="S144" t="s">
        <v>41</v>
      </c>
      <c r="T144" t="s">
        <v>42</v>
      </c>
      <c r="U144" t="s">
        <v>43</v>
      </c>
      <c r="V144">
        <v>41645</v>
      </c>
      <c r="X144" t="s">
        <v>44</v>
      </c>
      <c r="Y144" t="s">
        <v>45</v>
      </c>
      <c r="Z144" t="s">
        <v>46</v>
      </c>
      <c r="AA144" t="s">
        <v>113</v>
      </c>
      <c r="AB144">
        <v>18</v>
      </c>
      <c r="AC144" t="s">
        <v>48</v>
      </c>
      <c r="AD144" t="s">
        <v>60</v>
      </c>
      <c r="AE144">
        <v>5</v>
      </c>
      <c r="AF144">
        <v>5</v>
      </c>
      <c r="AG144">
        <v>0</v>
      </c>
      <c r="AH144" t="s">
        <v>167</v>
      </c>
      <c r="AI144">
        <v>0</v>
      </c>
      <c r="AJ144">
        <v>9</v>
      </c>
      <c r="AK144" t="str">
        <f t="shared" si="18"/>
        <v>Normal</v>
      </c>
      <c r="AL144" t="str">
        <f t="shared" si="19"/>
        <v>low Outlier</v>
      </c>
      <c r="AM144">
        <f ca="1">INT((TODAY()-HRDataset_v14[[#This Row],[DOB]])/365.25)</f>
        <v>61</v>
      </c>
      <c r="AN144">
        <f ca="1">DATEDIF(HRDataset_v14[[#This Row],[DateofHire]],TODAY(),"Y")</f>
        <v>12</v>
      </c>
      <c r="AO144">
        <f ca="1">IF(ISBLANK(HRDataset_v14[[#This Row],[DateofTermination]]),DATEDIF(HRDataset_v14[[#This Row],[DateofHire]],TODAY(),"Y"),DATEDIF(HRDataset_v14[[#This Row],[DateofHire]],HRDataset_v14[[#This Row],[DateofTermination]],"Y"))</f>
        <v>12</v>
      </c>
      <c r="AP144" t="str">
        <f ca="1">IF(HRDataset_v14[[#This Row],[Tenure in Years
]]&lt;1,"0-1 Year",IF(HRDataset_v14[[#This Row],[Tenure in Years
]]&lt;3,"1-3 Years",IF(HRDataset_v14[[#This Row],[Tenure in Years
]]&lt;5,"3-5 Years",IF(HRDataset_v14[[#This Row],[Tenure in Years
]]&lt;10,"5-10 Years","10+ Years"))))</f>
        <v>10+ Years</v>
      </c>
      <c r="AQ144" t="str">
        <f ca="1">IF(HRDataset_v14[[#This Row],[Age Calculation
]]&lt;26,"18-25",IF(HRDataset_v14[[#This Row],[Age Calculation
]]&lt;36,"26-35",IF(HRDataset_v14[[#This Row],[Age Calculation
]]&lt;46,"36-45",IF(HRDataset_v14[[#This Row],[Age Calculation
]]&lt;56,"46-55","55+"))))</f>
        <v>55+</v>
      </c>
      <c r="AR144" t="str">
        <f>IF(HRDataset_v14[[#This Row],[Salary]]&lt;40000,"Entry (&lt;40K)",IF(HRDataset_v14[[#This Row],[Salary]]&lt;70000,"Mid (40-70K)",IF(HRDataset_v14[[#This Row],[Salary]]&lt;100000,"Senior (70-100K)","Executive (100K+)")))</f>
        <v>Mid (40-70K)</v>
      </c>
      <c r="AS144">
        <f>IF(HRDataset_v14[[#This Row],[EmploymentStatus]]="Active",1,0)</f>
        <v>1</v>
      </c>
      <c r="AT144">
        <f>YEAR(HRDataset_v14[[#This Row],[DateofHire]])</f>
        <v>2014</v>
      </c>
      <c r="AU144">
        <f>MONTH(HRDataset_v14[[#This Row],[DateofHire]])</f>
        <v>1</v>
      </c>
      <c r="AV144" t="str">
        <f>"Q"&amp;ROUNDUP(MONTH(HRDataset_v14[[#This Row],[DateofHire]])/3,0)</f>
        <v>Q1</v>
      </c>
      <c r="AW144" t="str">
        <f>TEXT(HRDataset_v14[[#This Row],[DateofHire]],"MMM")</f>
        <v>Jan</v>
      </c>
      <c r="AX144" t="str">
        <f>TEXT(HRDataset_v14[[#This Row],[DateofHire]],"YYYY-MM")</f>
        <v>2014-01</v>
      </c>
      <c r="AY144" t="str">
        <f>IF(ISBLANK(HRDataset_v14[[#This Row],[DateofTermination]]),"N/A",YEAR(HRDataset_v14[[#This Row],[DateofTermination]]))</f>
        <v>N/A</v>
      </c>
      <c r="AZ144" t="str" cm="1">
        <f t="array" ref="AZ144">INDEX(_xlfn.UNIQUE(Z144:Z454),MATCH(MAX(COUNTIF(Z144:Z454,_xlfn.UNIQUE(Z144:Z454))),COUNTIF(Z144:Z454,_xlfn.UNIQUE(Z144:Z454)),0))</f>
        <v xml:space="preserve">Production       </v>
      </c>
      <c r="BA144">
        <f t="shared" si="24"/>
        <v>20</v>
      </c>
      <c r="BB144">
        <f t="shared" si="25"/>
        <v>0</v>
      </c>
      <c r="BC144" t="str">
        <f t="shared" si="20"/>
        <v>Medium</v>
      </c>
      <c r="BD144">
        <f t="shared" si="21"/>
        <v>5</v>
      </c>
      <c r="BE144" t="str">
        <f t="shared" si="22"/>
        <v/>
      </c>
      <c r="BT144">
        <f t="shared" si="23"/>
        <v>5</v>
      </c>
      <c r="BV144">
        <v>5</v>
      </c>
    </row>
    <row r="145" spans="1:74" x14ac:dyDescent="0.3">
      <c r="A145" t="s">
        <v>373</v>
      </c>
      <c r="B145">
        <v>10034</v>
      </c>
      <c r="C145">
        <v>1</v>
      </c>
      <c r="D145">
        <v>1</v>
      </c>
      <c r="E145">
        <v>1</v>
      </c>
      <c r="F145">
        <v>5</v>
      </c>
      <c r="G145">
        <v>5</v>
      </c>
      <c r="H145">
        <v>4</v>
      </c>
      <c r="I145">
        <v>0</v>
      </c>
      <c r="J145">
        <v>46837</v>
      </c>
      <c r="K145">
        <v>1</v>
      </c>
      <c r="L145">
        <v>19</v>
      </c>
      <c r="M145" t="s">
        <v>37</v>
      </c>
      <c r="N145" t="s">
        <v>38</v>
      </c>
      <c r="O145">
        <v>2445</v>
      </c>
      <c r="P145">
        <v>21781</v>
      </c>
      <c r="Q145" t="s">
        <v>39</v>
      </c>
      <c r="R145" t="s">
        <v>53</v>
      </c>
      <c r="S145" t="s">
        <v>41</v>
      </c>
      <c r="T145" t="s">
        <v>42</v>
      </c>
      <c r="U145" t="s">
        <v>43</v>
      </c>
      <c r="V145">
        <v>40854</v>
      </c>
      <c r="W145">
        <v>43219</v>
      </c>
      <c r="X145" t="s">
        <v>243</v>
      </c>
      <c r="Y145" t="s">
        <v>56</v>
      </c>
      <c r="Z145" t="s">
        <v>46</v>
      </c>
      <c r="AA145" t="s">
        <v>47</v>
      </c>
      <c r="AB145">
        <v>22</v>
      </c>
      <c r="AC145" t="s">
        <v>140</v>
      </c>
      <c r="AD145" t="s">
        <v>49</v>
      </c>
      <c r="AE145">
        <v>4.7</v>
      </c>
      <c r="AF145">
        <v>4</v>
      </c>
      <c r="AG145">
        <v>0</v>
      </c>
      <c r="AH145" t="s">
        <v>374</v>
      </c>
      <c r="AI145">
        <v>0</v>
      </c>
      <c r="AJ145">
        <v>9</v>
      </c>
      <c r="AK145" t="str">
        <f t="shared" si="18"/>
        <v>Normal</v>
      </c>
      <c r="AL145" t="str">
        <f t="shared" si="19"/>
        <v>low Outlier</v>
      </c>
      <c r="AM145">
        <f ca="1">INT((TODAY()-HRDataset_v14[[#This Row],[DOB]])/365.25)</f>
        <v>66</v>
      </c>
      <c r="AN145">
        <f ca="1">DATEDIF(HRDataset_v14[[#This Row],[DateofHire]],TODAY(),"Y")</f>
        <v>14</v>
      </c>
      <c r="AO145">
        <f ca="1">IF(ISBLANK(HRDataset_v14[[#This Row],[DateofTermination]]),DATEDIF(HRDataset_v14[[#This Row],[DateofHire]],TODAY(),"Y"),DATEDIF(HRDataset_v14[[#This Row],[DateofHire]],HRDataset_v14[[#This Row],[DateofTermination]],"Y"))</f>
        <v>6</v>
      </c>
      <c r="AP145" t="str">
        <f ca="1">IF(HRDataset_v14[[#This Row],[Tenure in Years
]]&lt;1,"0-1 Year",IF(HRDataset_v14[[#This Row],[Tenure in Years
]]&lt;3,"1-3 Years",IF(HRDataset_v14[[#This Row],[Tenure in Years
]]&lt;5,"3-5 Years",IF(HRDataset_v14[[#This Row],[Tenure in Years
]]&lt;10,"5-10 Years","10+ Years"))))</f>
        <v>10+ Years</v>
      </c>
      <c r="AQ145" t="str">
        <f ca="1">IF(HRDataset_v14[[#This Row],[Age Calculation
]]&lt;26,"18-25",IF(HRDataset_v14[[#This Row],[Age Calculation
]]&lt;36,"26-35",IF(HRDataset_v14[[#This Row],[Age Calculation
]]&lt;46,"36-45",IF(HRDataset_v14[[#This Row],[Age Calculation
]]&lt;56,"46-55","55+"))))</f>
        <v>55+</v>
      </c>
      <c r="AR145" t="str">
        <f>IF(HRDataset_v14[[#This Row],[Salary]]&lt;40000,"Entry (&lt;40K)",IF(HRDataset_v14[[#This Row],[Salary]]&lt;70000,"Mid (40-70K)",IF(HRDataset_v14[[#This Row],[Salary]]&lt;100000,"Senior (70-100K)","Executive (100K+)")))</f>
        <v>Mid (40-70K)</v>
      </c>
      <c r="AS145">
        <f>IF(HRDataset_v14[[#This Row],[EmploymentStatus]]="Active",1,0)</f>
        <v>0</v>
      </c>
      <c r="AT145">
        <f>YEAR(HRDataset_v14[[#This Row],[DateofHire]])</f>
        <v>2011</v>
      </c>
      <c r="AU145">
        <f>MONTH(HRDataset_v14[[#This Row],[DateofHire]])</f>
        <v>11</v>
      </c>
      <c r="AV145" t="str">
        <f>"Q"&amp;ROUNDUP(MONTH(HRDataset_v14[[#This Row],[DateofHire]])/3,0)</f>
        <v>Q4</v>
      </c>
      <c r="AW145" t="str">
        <f>TEXT(HRDataset_v14[[#This Row],[DateofHire]],"MMM")</f>
        <v>Nov</v>
      </c>
      <c r="AX145" t="str">
        <f>TEXT(HRDataset_v14[[#This Row],[DateofHire]],"YYYY-MM")</f>
        <v>2011-11</v>
      </c>
      <c r="AY145">
        <f>IF(ISBLANK(HRDataset_v14[[#This Row],[DateofTermination]]),"N/A",YEAR(HRDataset_v14[[#This Row],[DateofTermination]]))</f>
        <v>2018</v>
      </c>
      <c r="AZ145" t="str" cm="1">
        <f t="array" ref="AZ145">INDEX(_xlfn.UNIQUE(Z145:Z455),MATCH(MAX(COUNTIF(Z145:Z455,_xlfn.UNIQUE(Z145:Z455))),COUNTIF(Z145:Z455,_xlfn.UNIQUE(Z145:Z455)),0))</f>
        <v xml:space="preserve">Production       </v>
      </c>
      <c r="BA145">
        <f t="shared" si="24"/>
        <v>50</v>
      </c>
      <c r="BB145">
        <f t="shared" si="25"/>
        <v>9</v>
      </c>
      <c r="BC145" t="str">
        <f t="shared" si="20"/>
        <v>Low</v>
      </c>
      <c r="BD145" t="str">
        <f t="shared" si="21"/>
        <v/>
      </c>
      <c r="BE145">
        <f t="shared" si="22"/>
        <v>4.7</v>
      </c>
      <c r="BT145" t="str">
        <f t="shared" si="23"/>
        <v/>
      </c>
      <c r="BV145">
        <v>4</v>
      </c>
    </row>
    <row r="146" spans="1:74" x14ac:dyDescent="0.3">
      <c r="A146" t="s">
        <v>375</v>
      </c>
      <c r="B146">
        <v>10156</v>
      </c>
      <c r="C146">
        <v>1</v>
      </c>
      <c r="D146">
        <v>1</v>
      </c>
      <c r="E146">
        <v>0</v>
      </c>
      <c r="F146">
        <v>3</v>
      </c>
      <c r="G146">
        <v>3</v>
      </c>
      <c r="H146">
        <v>3</v>
      </c>
      <c r="I146">
        <v>0</v>
      </c>
      <c r="J146">
        <v>105700</v>
      </c>
      <c r="K146">
        <v>0</v>
      </c>
      <c r="L146">
        <v>8</v>
      </c>
      <c r="M146" t="s">
        <v>128</v>
      </c>
      <c r="N146" t="s">
        <v>38</v>
      </c>
      <c r="O146">
        <v>2301</v>
      </c>
      <c r="P146">
        <v>31723</v>
      </c>
      <c r="Q146" t="s">
        <v>64</v>
      </c>
      <c r="R146" t="s">
        <v>53</v>
      </c>
      <c r="S146" t="s">
        <v>41</v>
      </c>
      <c r="T146" t="s">
        <v>42</v>
      </c>
      <c r="U146" t="s">
        <v>132</v>
      </c>
      <c r="V146">
        <v>42009</v>
      </c>
      <c r="X146" t="s">
        <v>44</v>
      </c>
      <c r="Y146" t="s">
        <v>45</v>
      </c>
      <c r="Z146" t="s">
        <v>57</v>
      </c>
      <c r="AA146" t="s">
        <v>58</v>
      </c>
      <c r="AB146">
        <v>4</v>
      </c>
      <c r="AC146" t="s">
        <v>59</v>
      </c>
      <c r="AD146" t="s">
        <v>60</v>
      </c>
      <c r="AE146">
        <v>3.75</v>
      </c>
      <c r="AF146">
        <v>3</v>
      </c>
      <c r="AG146">
        <v>5</v>
      </c>
      <c r="AH146" t="s">
        <v>349</v>
      </c>
      <c r="AI146">
        <v>0</v>
      </c>
      <c r="AJ146">
        <v>2</v>
      </c>
      <c r="AK146" t="str">
        <f t="shared" si="18"/>
        <v>Normal</v>
      </c>
      <c r="AL146" t="str">
        <f t="shared" si="19"/>
        <v>low Outlier</v>
      </c>
      <c r="AM146">
        <f ca="1">INT((TODAY()-HRDataset_v14[[#This Row],[DOB]])/365.25)</f>
        <v>39</v>
      </c>
      <c r="AN146">
        <f ca="1">DATEDIF(HRDataset_v14[[#This Row],[DateofHire]],TODAY(),"Y")</f>
        <v>11</v>
      </c>
      <c r="AO146">
        <f ca="1">IF(ISBLANK(HRDataset_v14[[#This Row],[DateofTermination]]),DATEDIF(HRDataset_v14[[#This Row],[DateofHire]],TODAY(),"Y"),DATEDIF(HRDataset_v14[[#This Row],[DateofHire]],HRDataset_v14[[#This Row],[DateofTermination]],"Y"))</f>
        <v>11</v>
      </c>
      <c r="AP146" t="str">
        <f ca="1">IF(HRDataset_v14[[#This Row],[Tenure in Years
]]&lt;1,"0-1 Year",IF(HRDataset_v14[[#This Row],[Tenure in Years
]]&lt;3,"1-3 Years",IF(HRDataset_v14[[#This Row],[Tenure in Years
]]&lt;5,"3-5 Years",IF(HRDataset_v14[[#This Row],[Tenure in Years
]]&lt;10,"5-10 Years","10+ Years"))))</f>
        <v>10+ Years</v>
      </c>
      <c r="AQ146" t="str">
        <f ca="1">IF(HRDataset_v14[[#This Row],[Age Calculation
]]&lt;26,"18-25",IF(HRDataset_v14[[#This Row],[Age Calculation
]]&lt;36,"26-35",IF(HRDataset_v14[[#This Row],[Age Calculation
]]&lt;46,"36-45",IF(HRDataset_v14[[#This Row],[Age Calculation
]]&lt;56,"46-55","55+"))))</f>
        <v>36-45</v>
      </c>
      <c r="AR146" t="str">
        <f>IF(HRDataset_v14[[#This Row],[Salary]]&lt;40000,"Entry (&lt;40K)",IF(HRDataset_v14[[#This Row],[Salary]]&lt;70000,"Mid (40-70K)",IF(HRDataset_v14[[#This Row],[Salary]]&lt;100000,"Senior (70-100K)","Executive (100K+)")))</f>
        <v>Executive (100K+)</v>
      </c>
      <c r="AS146">
        <f>IF(HRDataset_v14[[#This Row],[EmploymentStatus]]="Active",1,0)</f>
        <v>1</v>
      </c>
      <c r="AT146">
        <f>YEAR(HRDataset_v14[[#This Row],[DateofHire]])</f>
        <v>2015</v>
      </c>
      <c r="AU146">
        <f>MONTH(HRDataset_v14[[#This Row],[DateofHire]])</f>
        <v>1</v>
      </c>
      <c r="AV146" t="str">
        <f>"Q"&amp;ROUNDUP(MONTH(HRDataset_v14[[#This Row],[DateofHire]])/3,0)</f>
        <v>Q1</v>
      </c>
      <c r="AW146" t="str">
        <f>TEXT(HRDataset_v14[[#This Row],[DateofHire]],"MMM")</f>
        <v>Jan</v>
      </c>
      <c r="AX146" t="str">
        <f>TEXT(HRDataset_v14[[#This Row],[DateofHire]],"YYYY-MM")</f>
        <v>2015-01</v>
      </c>
      <c r="AY146" t="str">
        <f>IF(ISBLANK(HRDataset_v14[[#This Row],[DateofTermination]]),"N/A",YEAR(HRDataset_v14[[#This Row],[DateofTermination]]))</f>
        <v>N/A</v>
      </c>
      <c r="AZ146" t="str" cm="1">
        <f t="array" ref="AZ146">INDEX(_xlfn.UNIQUE(Z146:Z456),MATCH(MAX(COUNTIF(Z146:Z456,_xlfn.UNIQUE(Z146:Z456))),COUNTIF(Z146:Z456,_xlfn.UNIQUE(Z146:Z456)),0))</f>
        <v xml:space="preserve">Production       </v>
      </c>
      <c r="BA146">
        <f t="shared" si="24"/>
        <v>44.444444444444443</v>
      </c>
      <c r="BB146">
        <f t="shared" si="25"/>
        <v>0</v>
      </c>
      <c r="BC146" t="str">
        <f t="shared" si="20"/>
        <v>Medium</v>
      </c>
      <c r="BD146">
        <f t="shared" si="21"/>
        <v>3.75</v>
      </c>
      <c r="BE146" t="str">
        <f t="shared" si="22"/>
        <v/>
      </c>
      <c r="BT146">
        <f t="shared" si="23"/>
        <v>3.75</v>
      </c>
      <c r="BV146">
        <v>5</v>
      </c>
    </row>
    <row r="147" spans="1:74" x14ac:dyDescent="0.3">
      <c r="A147" t="s">
        <v>376</v>
      </c>
      <c r="B147">
        <v>10036</v>
      </c>
      <c r="C147">
        <v>0</v>
      </c>
      <c r="D147">
        <v>0</v>
      </c>
      <c r="E147">
        <v>0</v>
      </c>
      <c r="F147">
        <v>1</v>
      </c>
      <c r="G147">
        <v>5</v>
      </c>
      <c r="H147">
        <v>4</v>
      </c>
      <c r="I147">
        <v>0</v>
      </c>
      <c r="J147">
        <v>63322</v>
      </c>
      <c r="K147">
        <v>0</v>
      </c>
      <c r="L147">
        <v>20</v>
      </c>
      <c r="M147" t="s">
        <v>63</v>
      </c>
      <c r="N147" t="s">
        <v>38</v>
      </c>
      <c r="O147">
        <v>2128</v>
      </c>
      <c r="P147">
        <v>25454</v>
      </c>
      <c r="Q147" t="s">
        <v>64</v>
      </c>
      <c r="R147" t="s">
        <v>40</v>
      </c>
      <c r="S147" t="s">
        <v>41</v>
      </c>
      <c r="T147" t="s">
        <v>42</v>
      </c>
      <c r="U147" t="s">
        <v>43</v>
      </c>
      <c r="V147">
        <v>41827</v>
      </c>
      <c r="X147" t="s">
        <v>44</v>
      </c>
      <c r="Y147" t="s">
        <v>45</v>
      </c>
      <c r="Z147" t="s">
        <v>46</v>
      </c>
      <c r="AA147" t="s">
        <v>92</v>
      </c>
      <c r="AB147">
        <v>12</v>
      </c>
      <c r="AC147" t="s">
        <v>48</v>
      </c>
      <c r="AD147" t="s">
        <v>49</v>
      </c>
      <c r="AE147">
        <v>4.3</v>
      </c>
      <c r="AF147">
        <v>3</v>
      </c>
      <c r="AG147">
        <v>0</v>
      </c>
      <c r="AH147" t="s">
        <v>133</v>
      </c>
      <c r="AI147">
        <v>0</v>
      </c>
      <c r="AJ147">
        <v>1</v>
      </c>
      <c r="AK147" t="str">
        <f t="shared" si="18"/>
        <v>Normal</v>
      </c>
      <c r="AL147" t="str">
        <f t="shared" si="19"/>
        <v>low Outlier</v>
      </c>
      <c r="AM147">
        <f ca="1">INT((TODAY()-HRDataset_v14[[#This Row],[DOB]])/365.25)</f>
        <v>56</v>
      </c>
      <c r="AN147">
        <f ca="1">DATEDIF(HRDataset_v14[[#This Row],[DateofHire]],TODAY(),"Y")</f>
        <v>11</v>
      </c>
      <c r="AO147">
        <f ca="1">IF(ISBLANK(HRDataset_v14[[#This Row],[DateofTermination]]),DATEDIF(HRDataset_v14[[#This Row],[DateofHire]],TODAY(),"Y"),DATEDIF(HRDataset_v14[[#This Row],[DateofHire]],HRDataset_v14[[#This Row],[DateofTermination]],"Y"))</f>
        <v>11</v>
      </c>
      <c r="AP147" t="str">
        <f ca="1">IF(HRDataset_v14[[#This Row],[Tenure in Years
]]&lt;1,"0-1 Year",IF(HRDataset_v14[[#This Row],[Tenure in Years
]]&lt;3,"1-3 Years",IF(HRDataset_v14[[#This Row],[Tenure in Years
]]&lt;5,"3-5 Years",IF(HRDataset_v14[[#This Row],[Tenure in Years
]]&lt;10,"5-10 Years","10+ Years"))))</f>
        <v>10+ Years</v>
      </c>
      <c r="AQ147" t="str">
        <f ca="1">IF(HRDataset_v14[[#This Row],[Age Calculation
]]&lt;26,"18-25",IF(HRDataset_v14[[#This Row],[Age Calculation
]]&lt;36,"26-35",IF(HRDataset_v14[[#This Row],[Age Calculation
]]&lt;46,"36-45",IF(HRDataset_v14[[#This Row],[Age Calculation
]]&lt;56,"46-55","55+"))))</f>
        <v>55+</v>
      </c>
      <c r="AR147" t="str">
        <f>IF(HRDataset_v14[[#This Row],[Salary]]&lt;40000,"Entry (&lt;40K)",IF(HRDataset_v14[[#This Row],[Salary]]&lt;70000,"Mid (40-70K)",IF(HRDataset_v14[[#This Row],[Salary]]&lt;100000,"Senior (70-100K)","Executive (100K+)")))</f>
        <v>Mid (40-70K)</v>
      </c>
      <c r="AS147">
        <f>IF(HRDataset_v14[[#This Row],[EmploymentStatus]]="Active",1,0)</f>
        <v>1</v>
      </c>
      <c r="AT147">
        <f>YEAR(HRDataset_v14[[#This Row],[DateofHire]])</f>
        <v>2014</v>
      </c>
      <c r="AU147">
        <f>MONTH(HRDataset_v14[[#This Row],[DateofHire]])</f>
        <v>7</v>
      </c>
      <c r="AV147" t="str">
        <f>"Q"&amp;ROUNDUP(MONTH(HRDataset_v14[[#This Row],[DateofHire]])/3,0)</f>
        <v>Q3</v>
      </c>
      <c r="AW147" t="str">
        <f>TEXT(HRDataset_v14[[#This Row],[DateofHire]],"MMM")</f>
        <v>Jul</v>
      </c>
      <c r="AX147" t="str">
        <f>TEXT(HRDataset_v14[[#This Row],[DateofHire]],"YYYY-MM")</f>
        <v>2014-07</v>
      </c>
      <c r="AY147" t="str">
        <f>IF(ISBLANK(HRDataset_v14[[#This Row],[DateofTermination]]),"N/A",YEAR(HRDataset_v14[[#This Row],[DateofTermination]]))</f>
        <v>N/A</v>
      </c>
      <c r="AZ147" t="str" cm="1">
        <f t="array" ref="AZ147">INDEX(_xlfn.UNIQUE(Z147:Z457),MATCH(MAX(COUNTIF(Z147:Z457,_xlfn.UNIQUE(Z147:Z457))),COUNTIF(Z147:Z457,_xlfn.UNIQUE(Z147:Z457)),0))</f>
        <v xml:space="preserve">Production       </v>
      </c>
      <c r="BA147">
        <f t="shared" si="24"/>
        <v>33.333333333333329</v>
      </c>
      <c r="BB147">
        <f t="shared" si="25"/>
        <v>0</v>
      </c>
      <c r="BC147" t="str">
        <f t="shared" si="20"/>
        <v>Low</v>
      </c>
      <c r="BD147">
        <f t="shared" si="21"/>
        <v>4.3</v>
      </c>
      <c r="BE147" t="str">
        <f t="shared" si="22"/>
        <v/>
      </c>
      <c r="BT147">
        <f t="shared" si="23"/>
        <v>4.3</v>
      </c>
      <c r="BV147">
        <v>3.6</v>
      </c>
    </row>
    <row r="148" spans="1:74" x14ac:dyDescent="0.3">
      <c r="A148" t="s">
        <v>377</v>
      </c>
      <c r="B148">
        <v>10138</v>
      </c>
      <c r="C148">
        <v>1</v>
      </c>
      <c r="D148">
        <v>1</v>
      </c>
      <c r="E148">
        <v>0</v>
      </c>
      <c r="F148">
        <v>5</v>
      </c>
      <c r="G148">
        <v>5</v>
      </c>
      <c r="H148">
        <v>3</v>
      </c>
      <c r="I148">
        <v>0</v>
      </c>
      <c r="J148">
        <v>61154</v>
      </c>
      <c r="K148">
        <v>1</v>
      </c>
      <c r="L148">
        <v>19</v>
      </c>
      <c r="M148" t="s">
        <v>37</v>
      </c>
      <c r="N148" t="s">
        <v>38</v>
      </c>
      <c r="O148">
        <v>2446</v>
      </c>
      <c r="P148">
        <v>31519</v>
      </c>
      <c r="Q148" t="s">
        <v>64</v>
      </c>
      <c r="R148" t="s">
        <v>53</v>
      </c>
      <c r="S148" t="s">
        <v>41</v>
      </c>
      <c r="T148" t="s">
        <v>42</v>
      </c>
      <c r="U148" t="s">
        <v>91</v>
      </c>
      <c r="V148">
        <v>40553</v>
      </c>
      <c r="W148">
        <v>42461</v>
      </c>
      <c r="X148" t="s">
        <v>105</v>
      </c>
      <c r="Y148" t="s">
        <v>56</v>
      </c>
      <c r="Z148" t="s">
        <v>46</v>
      </c>
      <c r="AA148" t="s">
        <v>69</v>
      </c>
      <c r="AB148">
        <v>16</v>
      </c>
      <c r="AC148" t="s">
        <v>140</v>
      </c>
      <c r="AD148" t="s">
        <v>60</v>
      </c>
      <c r="AE148">
        <v>4</v>
      </c>
      <c r="AF148">
        <v>4</v>
      </c>
      <c r="AG148">
        <v>0</v>
      </c>
      <c r="AH148" t="s">
        <v>378</v>
      </c>
      <c r="AI148">
        <v>0</v>
      </c>
      <c r="AJ148">
        <v>4</v>
      </c>
      <c r="AK148" t="str">
        <f t="shared" si="18"/>
        <v>Normal</v>
      </c>
      <c r="AL148" t="str">
        <f t="shared" si="19"/>
        <v>low Outlier</v>
      </c>
      <c r="AM148">
        <f ca="1">INT((TODAY()-HRDataset_v14[[#This Row],[DOB]])/365.25)</f>
        <v>39</v>
      </c>
      <c r="AN148">
        <f ca="1">DATEDIF(HRDataset_v14[[#This Row],[DateofHire]],TODAY(),"Y")</f>
        <v>15</v>
      </c>
      <c r="AO148">
        <f ca="1">IF(ISBLANK(HRDataset_v14[[#This Row],[DateofTermination]]),DATEDIF(HRDataset_v14[[#This Row],[DateofHire]],TODAY(),"Y"),DATEDIF(HRDataset_v14[[#This Row],[DateofHire]],HRDataset_v14[[#This Row],[DateofTermination]],"Y"))</f>
        <v>5</v>
      </c>
      <c r="AP148" t="str">
        <f ca="1">IF(HRDataset_v14[[#This Row],[Tenure in Years
]]&lt;1,"0-1 Year",IF(HRDataset_v14[[#This Row],[Tenure in Years
]]&lt;3,"1-3 Years",IF(HRDataset_v14[[#This Row],[Tenure in Years
]]&lt;5,"3-5 Years",IF(HRDataset_v14[[#This Row],[Tenure in Years
]]&lt;10,"5-10 Years","10+ Years"))))</f>
        <v>10+ Years</v>
      </c>
      <c r="AQ148" t="str">
        <f ca="1">IF(HRDataset_v14[[#This Row],[Age Calculation
]]&lt;26,"18-25",IF(HRDataset_v14[[#This Row],[Age Calculation
]]&lt;36,"26-35",IF(HRDataset_v14[[#This Row],[Age Calculation
]]&lt;46,"36-45",IF(HRDataset_v14[[#This Row],[Age Calculation
]]&lt;56,"46-55","55+"))))</f>
        <v>36-45</v>
      </c>
      <c r="AR148" t="str">
        <f>IF(HRDataset_v14[[#This Row],[Salary]]&lt;40000,"Entry (&lt;40K)",IF(HRDataset_v14[[#This Row],[Salary]]&lt;70000,"Mid (40-70K)",IF(HRDataset_v14[[#This Row],[Salary]]&lt;100000,"Senior (70-100K)","Executive (100K+)")))</f>
        <v>Mid (40-70K)</v>
      </c>
      <c r="AS148">
        <f>IF(HRDataset_v14[[#This Row],[EmploymentStatus]]="Active",1,0)</f>
        <v>0</v>
      </c>
      <c r="AT148">
        <f>YEAR(HRDataset_v14[[#This Row],[DateofHire]])</f>
        <v>2011</v>
      </c>
      <c r="AU148">
        <f>MONTH(HRDataset_v14[[#This Row],[DateofHire]])</f>
        <v>1</v>
      </c>
      <c r="AV148" t="str">
        <f>"Q"&amp;ROUNDUP(MONTH(HRDataset_v14[[#This Row],[DateofHire]])/3,0)</f>
        <v>Q1</v>
      </c>
      <c r="AW148" t="str">
        <f>TEXT(HRDataset_v14[[#This Row],[DateofHire]],"MMM")</f>
        <v>Jan</v>
      </c>
      <c r="AX148" t="str">
        <f>TEXT(HRDataset_v14[[#This Row],[DateofHire]],"YYYY-MM")</f>
        <v>2011-01</v>
      </c>
      <c r="AY148">
        <f>IF(ISBLANK(HRDataset_v14[[#This Row],[DateofTermination]]),"N/A",YEAR(HRDataset_v14[[#This Row],[DateofTermination]]))</f>
        <v>2016</v>
      </c>
      <c r="AZ148" t="str" cm="1">
        <f t="array" ref="AZ148">INDEX(_xlfn.UNIQUE(Z148:Z458),MATCH(MAX(COUNTIF(Z148:Z458,_xlfn.UNIQUE(Z148:Z458))),COUNTIF(Z148:Z458,_xlfn.UNIQUE(Z148:Z458)),0))</f>
        <v xml:space="preserve">Production       </v>
      </c>
      <c r="BA148">
        <f t="shared" si="24"/>
        <v>38.461538461538467</v>
      </c>
      <c r="BB148">
        <f t="shared" si="25"/>
        <v>9</v>
      </c>
      <c r="BC148" t="str">
        <f t="shared" si="20"/>
        <v>Medium</v>
      </c>
      <c r="BD148" t="str">
        <f t="shared" si="21"/>
        <v/>
      </c>
      <c r="BE148">
        <f t="shared" si="22"/>
        <v>4</v>
      </c>
      <c r="BT148" t="str">
        <f t="shared" si="23"/>
        <v/>
      </c>
      <c r="BV148">
        <v>4.53</v>
      </c>
    </row>
    <row r="149" spans="1:74" x14ac:dyDescent="0.3">
      <c r="A149" t="s">
        <v>379</v>
      </c>
      <c r="B149">
        <v>10244</v>
      </c>
      <c r="C149">
        <v>0</v>
      </c>
      <c r="D149">
        <v>0</v>
      </c>
      <c r="E149">
        <v>0</v>
      </c>
      <c r="F149">
        <v>5</v>
      </c>
      <c r="G149">
        <v>6</v>
      </c>
      <c r="H149">
        <v>3</v>
      </c>
      <c r="I149">
        <v>0</v>
      </c>
      <c r="J149">
        <v>68999</v>
      </c>
      <c r="K149">
        <v>1</v>
      </c>
      <c r="L149">
        <v>21</v>
      </c>
      <c r="M149" t="s">
        <v>227</v>
      </c>
      <c r="N149" t="s">
        <v>380</v>
      </c>
      <c r="O149">
        <v>19444</v>
      </c>
      <c r="P149">
        <v>32823</v>
      </c>
      <c r="Q149" t="s">
        <v>64</v>
      </c>
      <c r="R149" t="s">
        <v>40</v>
      </c>
      <c r="S149" t="s">
        <v>41</v>
      </c>
      <c r="T149" t="s">
        <v>42</v>
      </c>
      <c r="U149" t="s">
        <v>43</v>
      </c>
      <c r="V149">
        <v>40854</v>
      </c>
      <c r="W149">
        <v>41753</v>
      </c>
      <c r="X149" t="s">
        <v>381</v>
      </c>
      <c r="Y149" t="s">
        <v>56</v>
      </c>
      <c r="Z149" t="s">
        <v>171</v>
      </c>
      <c r="AA149" t="s">
        <v>228</v>
      </c>
      <c r="AB149">
        <v>15</v>
      </c>
      <c r="AC149" t="s">
        <v>75</v>
      </c>
      <c r="AD149" t="s">
        <v>60</v>
      </c>
      <c r="AE149">
        <v>4.5</v>
      </c>
      <c r="AF149">
        <v>5</v>
      </c>
      <c r="AG149">
        <v>0</v>
      </c>
      <c r="AH149" t="s">
        <v>382</v>
      </c>
      <c r="AI149">
        <v>0</v>
      </c>
      <c r="AJ149">
        <v>2</v>
      </c>
      <c r="AK149" t="str">
        <f t="shared" si="18"/>
        <v>Normal</v>
      </c>
      <c r="AL149" t="str">
        <f t="shared" si="19"/>
        <v>low Outlier</v>
      </c>
      <c r="AM149">
        <f ca="1">INT((TODAY()-HRDataset_v14[[#This Row],[DOB]])/365.25)</f>
        <v>36</v>
      </c>
      <c r="AN149">
        <f ca="1">DATEDIF(HRDataset_v14[[#This Row],[DateofHire]],TODAY(),"Y")</f>
        <v>14</v>
      </c>
      <c r="AO149">
        <f ca="1">IF(ISBLANK(HRDataset_v14[[#This Row],[DateofTermination]]),DATEDIF(HRDataset_v14[[#This Row],[DateofHire]],TODAY(),"Y"),DATEDIF(HRDataset_v14[[#This Row],[DateofHire]],HRDataset_v14[[#This Row],[DateofTermination]],"Y"))</f>
        <v>2</v>
      </c>
      <c r="AP149" t="str">
        <f ca="1">IF(HRDataset_v14[[#This Row],[Tenure in Years
]]&lt;1,"0-1 Year",IF(HRDataset_v14[[#This Row],[Tenure in Years
]]&lt;3,"1-3 Years",IF(HRDataset_v14[[#This Row],[Tenure in Years
]]&lt;5,"3-5 Years",IF(HRDataset_v14[[#This Row],[Tenure in Years
]]&lt;10,"5-10 Years","10+ Years"))))</f>
        <v>10+ Years</v>
      </c>
      <c r="AQ149" t="str">
        <f ca="1">IF(HRDataset_v14[[#This Row],[Age Calculation
]]&lt;26,"18-25",IF(HRDataset_v14[[#This Row],[Age Calculation
]]&lt;36,"26-35",IF(HRDataset_v14[[#This Row],[Age Calculation
]]&lt;46,"36-45",IF(HRDataset_v14[[#This Row],[Age Calculation
]]&lt;56,"46-55","55+"))))</f>
        <v>36-45</v>
      </c>
      <c r="AR149" t="str">
        <f>IF(HRDataset_v14[[#This Row],[Salary]]&lt;40000,"Entry (&lt;40K)",IF(HRDataset_v14[[#This Row],[Salary]]&lt;70000,"Mid (40-70K)",IF(HRDataset_v14[[#This Row],[Salary]]&lt;100000,"Senior (70-100K)","Executive (100K+)")))</f>
        <v>Mid (40-70K)</v>
      </c>
      <c r="AS149">
        <f>IF(HRDataset_v14[[#This Row],[EmploymentStatus]]="Active",1,0)</f>
        <v>0</v>
      </c>
      <c r="AT149">
        <f>YEAR(HRDataset_v14[[#This Row],[DateofHire]])</f>
        <v>2011</v>
      </c>
      <c r="AU149">
        <f>MONTH(HRDataset_v14[[#This Row],[DateofHire]])</f>
        <v>11</v>
      </c>
      <c r="AV149" t="str">
        <f>"Q"&amp;ROUNDUP(MONTH(HRDataset_v14[[#This Row],[DateofHire]])/3,0)</f>
        <v>Q4</v>
      </c>
      <c r="AW149" t="str">
        <f>TEXT(HRDataset_v14[[#This Row],[DateofHire]],"MMM")</f>
        <v>Nov</v>
      </c>
      <c r="AX149" t="str">
        <f>TEXT(HRDataset_v14[[#This Row],[DateofHire]],"YYYY-MM")</f>
        <v>2011-11</v>
      </c>
      <c r="AY149">
        <f>IF(ISBLANK(HRDataset_v14[[#This Row],[DateofTermination]]),"N/A",YEAR(HRDataset_v14[[#This Row],[DateofTermination]]))</f>
        <v>2014</v>
      </c>
      <c r="AZ149" t="str" cm="1">
        <f t="array" ref="AZ149">INDEX(_xlfn.UNIQUE(Z149:Z459),MATCH(MAX(COUNTIF(Z149:Z459,_xlfn.UNIQUE(Z149:Z459))),COUNTIF(Z149:Z459,_xlfn.UNIQUE(Z149:Z459)),0))</f>
        <v xml:space="preserve">Production       </v>
      </c>
      <c r="BA149">
        <f t="shared" si="24"/>
        <v>50</v>
      </c>
      <c r="BB149">
        <f t="shared" si="25"/>
        <v>3</v>
      </c>
      <c r="BC149" t="str">
        <f t="shared" si="20"/>
        <v>Medium</v>
      </c>
      <c r="BD149" t="str">
        <f t="shared" si="21"/>
        <v/>
      </c>
      <c r="BE149">
        <f t="shared" si="22"/>
        <v>4.5</v>
      </c>
      <c r="BT149" t="str">
        <f t="shared" si="23"/>
        <v/>
      </c>
      <c r="BV149">
        <v>4.28</v>
      </c>
    </row>
    <row r="150" spans="1:74" x14ac:dyDescent="0.3">
      <c r="A150" t="s">
        <v>383</v>
      </c>
      <c r="B150">
        <v>10192</v>
      </c>
      <c r="C150">
        <v>0</v>
      </c>
      <c r="D150">
        <v>0</v>
      </c>
      <c r="E150">
        <v>1</v>
      </c>
      <c r="F150">
        <v>1</v>
      </c>
      <c r="G150">
        <v>5</v>
      </c>
      <c r="H150">
        <v>3</v>
      </c>
      <c r="I150">
        <v>0</v>
      </c>
      <c r="J150">
        <v>50482</v>
      </c>
      <c r="K150">
        <v>0</v>
      </c>
      <c r="L150">
        <v>19</v>
      </c>
      <c r="M150" t="s">
        <v>37</v>
      </c>
      <c r="N150" t="s">
        <v>38</v>
      </c>
      <c r="O150">
        <v>1887</v>
      </c>
      <c r="P150">
        <v>27778</v>
      </c>
      <c r="Q150" t="s">
        <v>39</v>
      </c>
      <c r="R150" t="s">
        <v>40</v>
      </c>
      <c r="S150" t="s">
        <v>41</v>
      </c>
      <c r="T150" t="s">
        <v>42</v>
      </c>
      <c r="U150" t="s">
        <v>43</v>
      </c>
      <c r="V150">
        <v>41547</v>
      </c>
      <c r="X150" t="s">
        <v>44</v>
      </c>
      <c r="Y150" t="s">
        <v>45</v>
      </c>
      <c r="Z150" t="s">
        <v>46</v>
      </c>
      <c r="AA150" t="s">
        <v>47</v>
      </c>
      <c r="AB150">
        <v>22</v>
      </c>
      <c r="AC150" t="s">
        <v>59</v>
      </c>
      <c r="AD150" t="s">
        <v>60</v>
      </c>
      <c r="AE150">
        <v>3.07</v>
      </c>
      <c r="AF150">
        <v>4</v>
      </c>
      <c r="AG150">
        <v>0</v>
      </c>
      <c r="AH150" t="s">
        <v>250</v>
      </c>
      <c r="AI150">
        <v>0</v>
      </c>
      <c r="AJ150">
        <v>10</v>
      </c>
      <c r="AK150" t="str">
        <f t="shared" si="18"/>
        <v>Normal</v>
      </c>
      <c r="AL150" t="str">
        <f t="shared" si="19"/>
        <v>low Outlier</v>
      </c>
      <c r="AM150">
        <f ca="1">INT((TODAY()-HRDataset_v14[[#This Row],[DOB]])/365.25)</f>
        <v>50</v>
      </c>
      <c r="AN150">
        <f ca="1">DATEDIF(HRDataset_v14[[#This Row],[DateofHire]],TODAY(),"Y")</f>
        <v>12</v>
      </c>
      <c r="AO150">
        <f ca="1">IF(ISBLANK(HRDataset_v14[[#This Row],[DateofTermination]]),DATEDIF(HRDataset_v14[[#This Row],[DateofHire]],TODAY(),"Y"),DATEDIF(HRDataset_v14[[#This Row],[DateofHire]],HRDataset_v14[[#This Row],[DateofTermination]],"Y"))</f>
        <v>12</v>
      </c>
      <c r="AP150" t="str">
        <f ca="1">IF(HRDataset_v14[[#This Row],[Tenure in Years
]]&lt;1,"0-1 Year",IF(HRDataset_v14[[#This Row],[Tenure in Years
]]&lt;3,"1-3 Years",IF(HRDataset_v14[[#This Row],[Tenure in Years
]]&lt;5,"3-5 Years",IF(HRDataset_v14[[#This Row],[Tenure in Years
]]&lt;10,"5-10 Years","10+ Years"))))</f>
        <v>10+ Years</v>
      </c>
      <c r="AQ150" t="str">
        <f ca="1">IF(HRDataset_v14[[#This Row],[Age Calculation
]]&lt;26,"18-25",IF(HRDataset_v14[[#This Row],[Age Calculation
]]&lt;36,"26-35",IF(HRDataset_v14[[#This Row],[Age Calculation
]]&lt;46,"36-45",IF(HRDataset_v14[[#This Row],[Age Calculation
]]&lt;56,"46-55","55+"))))</f>
        <v>46-55</v>
      </c>
      <c r="AR150" t="str">
        <f>IF(HRDataset_v14[[#This Row],[Salary]]&lt;40000,"Entry (&lt;40K)",IF(HRDataset_v14[[#This Row],[Salary]]&lt;70000,"Mid (40-70K)",IF(HRDataset_v14[[#This Row],[Salary]]&lt;100000,"Senior (70-100K)","Executive (100K+)")))</f>
        <v>Mid (40-70K)</v>
      </c>
      <c r="AS150">
        <f>IF(HRDataset_v14[[#This Row],[EmploymentStatus]]="Active",1,0)</f>
        <v>1</v>
      </c>
      <c r="AT150">
        <f>YEAR(HRDataset_v14[[#This Row],[DateofHire]])</f>
        <v>2013</v>
      </c>
      <c r="AU150">
        <f>MONTH(HRDataset_v14[[#This Row],[DateofHire]])</f>
        <v>9</v>
      </c>
      <c r="AV150" t="str">
        <f>"Q"&amp;ROUNDUP(MONTH(HRDataset_v14[[#This Row],[DateofHire]])/3,0)</f>
        <v>Q3</v>
      </c>
      <c r="AW150" t="str">
        <f>TEXT(HRDataset_v14[[#This Row],[DateofHire]],"MMM")</f>
        <v>Sep</v>
      </c>
      <c r="AX150" t="str">
        <f>TEXT(HRDataset_v14[[#This Row],[DateofHire]],"YYYY-MM")</f>
        <v>2013-09</v>
      </c>
      <c r="AY150" t="str">
        <f>IF(ISBLANK(HRDataset_v14[[#This Row],[DateofTermination]]),"N/A",YEAR(HRDataset_v14[[#This Row],[DateofTermination]]))</f>
        <v>N/A</v>
      </c>
      <c r="AZ150" t="str" cm="1">
        <f t="array" ref="AZ150">INDEX(_xlfn.UNIQUE(Z150:Z460),MATCH(MAX(COUNTIF(Z150:Z460,_xlfn.UNIQUE(Z150:Z460))),COUNTIF(Z150:Z460,_xlfn.UNIQUE(Z150:Z460)),0))</f>
        <v xml:space="preserve">Production       </v>
      </c>
      <c r="BA150">
        <f t="shared" si="24"/>
        <v>45.454545454545453</v>
      </c>
      <c r="BB150">
        <f t="shared" si="25"/>
        <v>0</v>
      </c>
      <c r="BC150" t="str">
        <f t="shared" si="20"/>
        <v>Medium</v>
      </c>
      <c r="BD150">
        <f t="shared" si="21"/>
        <v>3.07</v>
      </c>
      <c r="BE150" t="str">
        <f t="shared" si="22"/>
        <v/>
      </c>
      <c r="BT150">
        <f t="shared" si="23"/>
        <v>3.07</v>
      </c>
      <c r="BV150">
        <v>5</v>
      </c>
    </row>
    <row r="151" spans="1:74" x14ac:dyDescent="0.3">
      <c r="A151" t="s">
        <v>384</v>
      </c>
      <c r="B151">
        <v>10231</v>
      </c>
      <c r="C151">
        <v>0</v>
      </c>
      <c r="D151">
        <v>0</v>
      </c>
      <c r="E151">
        <v>1</v>
      </c>
      <c r="F151">
        <v>1</v>
      </c>
      <c r="G151">
        <v>6</v>
      </c>
      <c r="H151">
        <v>3</v>
      </c>
      <c r="I151">
        <v>0</v>
      </c>
      <c r="J151">
        <v>65310</v>
      </c>
      <c r="K151">
        <v>0</v>
      </c>
      <c r="L151">
        <v>3</v>
      </c>
      <c r="M151" t="s">
        <v>169</v>
      </c>
      <c r="N151" t="s">
        <v>385</v>
      </c>
      <c r="O151">
        <v>80820</v>
      </c>
      <c r="P151">
        <v>29186</v>
      </c>
      <c r="Q151" t="s">
        <v>39</v>
      </c>
      <c r="R151" t="s">
        <v>40</v>
      </c>
      <c r="S151" t="s">
        <v>41</v>
      </c>
      <c r="T151" t="s">
        <v>42</v>
      </c>
      <c r="U151" t="s">
        <v>43</v>
      </c>
      <c r="V151">
        <v>41505</v>
      </c>
      <c r="X151" t="s">
        <v>44</v>
      </c>
      <c r="Y151" t="s">
        <v>45</v>
      </c>
      <c r="Z151" t="s">
        <v>171</v>
      </c>
      <c r="AA151" t="s">
        <v>197</v>
      </c>
      <c r="AB151">
        <v>21</v>
      </c>
      <c r="AC151" t="s">
        <v>59</v>
      </c>
      <c r="AD151" t="s">
        <v>60</v>
      </c>
      <c r="AE151">
        <v>4.3</v>
      </c>
      <c r="AF151">
        <v>5</v>
      </c>
      <c r="AG151">
        <v>0</v>
      </c>
      <c r="AH151" t="s">
        <v>221</v>
      </c>
      <c r="AI151">
        <v>0</v>
      </c>
      <c r="AJ151">
        <v>13</v>
      </c>
      <c r="AK151" t="str">
        <f t="shared" si="18"/>
        <v>Normal</v>
      </c>
      <c r="AL151" t="str">
        <f t="shared" si="19"/>
        <v>low Outlier</v>
      </c>
      <c r="AM151">
        <f ca="1">INT((TODAY()-HRDataset_v14[[#This Row],[DOB]])/365.25)</f>
        <v>46</v>
      </c>
      <c r="AN151">
        <f ca="1">DATEDIF(HRDataset_v14[[#This Row],[DateofHire]],TODAY(),"Y")</f>
        <v>12</v>
      </c>
      <c r="AO151">
        <f ca="1">IF(ISBLANK(HRDataset_v14[[#This Row],[DateofTermination]]),DATEDIF(HRDataset_v14[[#This Row],[DateofHire]],TODAY(),"Y"),DATEDIF(HRDataset_v14[[#This Row],[DateofHire]],HRDataset_v14[[#This Row],[DateofTermination]],"Y"))</f>
        <v>12</v>
      </c>
      <c r="AP151" t="str">
        <f ca="1">IF(HRDataset_v14[[#This Row],[Tenure in Years
]]&lt;1,"0-1 Year",IF(HRDataset_v14[[#This Row],[Tenure in Years
]]&lt;3,"1-3 Years",IF(HRDataset_v14[[#This Row],[Tenure in Years
]]&lt;5,"3-5 Years",IF(HRDataset_v14[[#This Row],[Tenure in Years
]]&lt;10,"5-10 Years","10+ Years"))))</f>
        <v>10+ Years</v>
      </c>
      <c r="AQ151" t="str">
        <f ca="1">IF(HRDataset_v14[[#This Row],[Age Calculation
]]&lt;26,"18-25",IF(HRDataset_v14[[#This Row],[Age Calculation
]]&lt;36,"26-35",IF(HRDataset_v14[[#This Row],[Age Calculation
]]&lt;46,"36-45",IF(HRDataset_v14[[#This Row],[Age Calculation
]]&lt;56,"46-55","55+"))))</f>
        <v>46-55</v>
      </c>
      <c r="AR151" t="str">
        <f>IF(HRDataset_v14[[#This Row],[Salary]]&lt;40000,"Entry (&lt;40K)",IF(HRDataset_v14[[#This Row],[Salary]]&lt;70000,"Mid (40-70K)",IF(HRDataset_v14[[#This Row],[Salary]]&lt;100000,"Senior (70-100K)","Executive (100K+)")))</f>
        <v>Mid (40-70K)</v>
      </c>
      <c r="AS151">
        <f>IF(HRDataset_v14[[#This Row],[EmploymentStatus]]="Active",1,0)</f>
        <v>1</v>
      </c>
      <c r="AT151">
        <f>YEAR(HRDataset_v14[[#This Row],[DateofHire]])</f>
        <v>2013</v>
      </c>
      <c r="AU151">
        <f>MONTH(HRDataset_v14[[#This Row],[DateofHire]])</f>
        <v>8</v>
      </c>
      <c r="AV151" t="str">
        <f>"Q"&amp;ROUNDUP(MONTH(HRDataset_v14[[#This Row],[DateofHire]])/3,0)</f>
        <v>Q3</v>
      </c>
      <c r="AW151" t="str">
        <f>TEXT(HRDataset_v14[[#This Row],[DateofHire]],"MMM")</f>
        <v>Aug</v>
      </c>
      <c r="AX151" t="str">
        <f>TEXT(HRDataset_v14[[#This Row],[DateofHire]],"YYYY-MM")</f>
        <v>2013-08</v>
      </c>
      <c r="AY151" t="str">
        <f>IF(ISBLANK(HRDataset_v14[[#This Row],[DateofTermination]]),"N/A",YEAR(HRDataset_v14[[#This Row],[DateofTermination]]))</f>
        <v>N/A</v>
      </c>
      <c r="AZ151" t="str" cm="1">
        <f t="array" ref="AZ151">INDEX(_xlfn.UNIQUE(Z151:Z461),MATCH(MAX(COUNTIF(Z151:Z461,_xlfn.UNIQUE(Z151:Z461))),COUNTIF(Z151:Z461,_xlfn.UNIQUE(Z151:Z461)),0))</f>
        <v xml:space="preserve">Production       </v>
      </c>
      <c r="BA151">
        <f t="shared" si="24"/>
        <v>0</v>
      </c>
      <c r="BB151">
        <f t="shared" si="25"/>
        <v>0</v>
      </c>
      <c r="BC151" t="str">
        <f t="shared" si="20"/>
        <v>Medium</v>
      </c>
      <c r="BD151">
        <f t="shared" si="21"/>
        <v>4.3</v>
      </c>
      <c r="BE151" t="str">
        <f t="shared" si="22"/>
        <v/>
      </c>
      <c r="BT151">
        <f t="shared" si="23"/>
        <v>4.3</v>
      </c>
      <c r="BV151">
        <v>4.25</v>
      </c>
    </row>
    <row r="152" spans="1:74" x14ac:dyDescent="0.3">
      <c r="A152" t="s">
        <v>386</v>
      </c>
      <c r="B152">
        <v>10089</v>
      </c>
      <c r="C152">
        <v>1</v>
      </c>
      <c r="D152">
        <v>1</v>
      </c>
      <c r="E152">
        <v>0</v>
      </c>
      <c r="F152">
        <v>1</v>
      </c>
      <c r="G152">
        <v>2</v>
      </c>
      <c r="H152">
        <v>3</v>
      </c>
      <c r="I152">
        <v>0</v>
      </c>
      <c r="J152">
        <v>250000</v>
      </c>
      <c r="K152">
        <v>0</v>
      </c>
      <c r="L152">
        <v>16</v>
      </c>
      <c r="M152" t="s">
        <v>387</v>
      </c>
      <c r="N152" t="s">
        <v>38</v>
      </c>
      <c r="O152">
        <v>1902</v>
      </c>
      <c r="P152">
        <v>19988</v>
      </c>
      <c r="Q152" t="s">
        <v>64</v>
      </c>
      <c r="R152" t="s">
        <v>53</v>
      </c>
      <c r="S152" t="s">
        <v>41</v>
      </c>
      <c r="T152" t="s">
        <v>100</v>
      </c>
      <c r="U152" t="s">
        <v>43</v>
      </c>
      <c r="V152">
        <v>41092</v>
      </c>
      <c r="X152" t="s">
        <v>44</v>
      </c>
      <c r="Y152" t="s">
        <v>45</v>
      </c>
      <c r="Z152" t="s">
        <v>388</v>
      </c>
      <c r="AA152" t="s">
        <v>301</v>
      </c>
      <c r="AB152">
        <v>9</v>
      </c>
      <c r="AC152" t="s">
        <v>59</v>
      </c>
      <c r="AD152" t="s">
        <v>60</v>
      </c>
      <c r="AE152">
        <v>4.83</v>
      </c>
      <c r="AF152">
        <v>3</v>
      </c>
      <c r="AG152">
        <v>0</v>
      </c>
      <c r="AH152" t="s">
        <v>50</v>
      </c>
      <c r="AI152">
        <v>0</v>
      </c>
      <c r="AJ152">
        <v>10</v>
      </c>
      <c r="AK152" t="str">
        <f t="shared" si="18"/>
        <v xml:space="preserve"> high Outlier</v>
      </c>
      <c r="AL152" t="str">
        <f t="shared" si="19"/>
        <v>low Outlier</v>
      </c>
      <c r="AM152">
        <f ca="1">INT((TODAY()-HRDataset_v14[[#This Row],[DOB]])/365.25)</f>
        <v>71</v>
      </c>
      <c r="AN152">
        <f ca="1">DATEDIF(HRDataset_v14[[#This Row],[DateofHire]],TODAY(),"Y")</f>
        <v>13</v>
      </c>
      <c r="AO152">
        <f ca="1">IF(ISBLANK(HRDataset_v14[[#This Row],[DateofTermination]]),DATEDIF(HRDataset_v14[[#This Row],[DateofHire]],TODAY(),"Y"),DATEDIF(HRDataset_v14[[#This Row],[DateofHire]],HRDataset_v14[[#This Row],[DateofTermination]],"Y"))</f>
        <v>13</v>
      </c>
      <c r="AP152" t="str">
        <f ca="1">IF(HRDataset_v14[[#This Row],[Tenure in Years
]]&lt;1,"0-1 Year",IF(HRDataset_v14[[#This Row],[Tenure in Years
]]&lt;3,"1-3 Years",IF(HRDataset_v14[[#This Row],[Tenure in Years
]]&lt;5,"3-5 Years",IF(HRDataset_v14[[#This Row],[Tenure in Years
]]&lt;10,"5-10 Years","10+ Years"))))</f>
        <v>10+ Years</v>
      </c>
      <c r="AQ152" t="str">
        <f ca="1">IF(HRDataset_v14[[#This Row],[Age Calculation
]]&lt;26,"18-25",IF(HRDataset_v14[[#This Row],[Age Calculation
]]&lt;36,"26-35",IF(HRDataset_v14[[#This Row],[Age Calculation
]]&lt;46,"36-45",IF(HRDataset_v14[[#This Row],[Age Calculation
]]&lt;56,"46-55","55+"))))</f>
        <v>55+</v>
      </c>
      <c r="AR152" t="str">
        <f>IF(HRDataset_v14[[#This Row],[Salary]]&lt;40000,"Entry (&lt;40K)",IF(HRDataset_v14[[#This Row],[Salary]]&lt;70000,"Mid (40-70K)",IF(HRDataset_v14[[#This Row],[Salary]]&lt;100000,"Senior (70-100K)","Executive (100K+)")))</f>
        <v>Executive (100K+)</v>
      </c>
      <c r="AS152">
        <f>IF(HRDataset_v14[[#This Row],[EmploymentStatus]]="Active",1,0)</f>
        <v>1</v>
      </c>
      <c r="AT152">
        <f>YEAR(HRDataset_v14[[#This Row],[DateofHire]])</f>
        <v>2012</v>
      </c>
      <c r="AU152">
        <f>MONTH(HRDataset_v14[[#This Row],[DateofHire]])</f>
        <v>7</v>
      </c>
      <c r="AV152" t="str">
        <f>"Q"&amp;ROUNDUP(MONTH(HRDataset_v14[[#This Row],[DateofHire]])/3,0)</f>
        <v>Q3</v>
      </c>
      <c r="AW152" t="str">
        <f>TEXT(HRDataset_v14[[#This Row],[DateofHire]],"MMM")</f>
        <v>Jul</v>
      </c>
      <c r="AX152" t="str">
        <f>TEXT(HRDataset_v14[[#This Row],[DateofHire]],"YYYY-MM")</f>
        <v>2012-07</v>
      </c>
      <c r="AY152" t="str">
        <f>IF(ISBLANK(HRDataset_v14[[#This Row],[DateofTermination]]),"N/A",YEAR(HRDataset_v14[[#This Row],[DateofTermination]]))</f>
        <v>N/A</v>
      </c>
      <c r="AZ152" t="str" cm="1">
        <f t="array" ref="AZ152">INDEX(_xlfn.UNIQUE(Z152:Z462),MATCH(MAX(COUNTIF(Z152:Z462,_xlfn.UNIQUE(Z152:Z462))),COUNTIF(Z152:Z462,_xlfn.UNIQUE(Z152:Z462)),0))</f>
        <v xml:space="preserve">Production       </v>
      </c>
      <c r="BA152">
        <f t="shared" si="24"/>
        <v>0</v>
      </c>
      <c r="BB152">
        <f t="shared" si="25"/>
        <v>0</v>
      </c>
      <c r="BC152" t="str">
        <f t="shared" si="20"/>
        <v>Medium</v>
      </c>
      <c r="BD152">
        <f t="shared" si="21"/>
        <v>4.83</v>
      </c>
      <c r="BE152" t="str">
        <f t="shared" si="22"/>
        <v/>
      </c>
      <c r="BT152">
        <f t="shared" si="23"/>
        <v>4.83</v>
      </c>
      <c r="BV152">
        <v>5</v>
      </c>
    </row>
    <row r="153" spans="1:74" x14ac:dyDescent="0.3">
      <c r="A153" t="s">
        <v>389</v>
      </c>
      <c r="B153">
        <v>10166</v>
      </c>
      <c r="C153">
        <v>1</v>
      </c>
      <c r="D153">
        <v>1</v>
      </c>
      <c r="E153">
        <v>0</v>
      </c>
      <c r="F153">
        <v>5</v>
      </c>
      <c r="G153">
        <v>5</v>
      </c>
      <c r="H153">
        <v>3</v>
      </c>
      <c r="I153">
        <v>0</v>
      </c>
      <c r="J153">
        <v>54005</v>
      </c>
      <c r="K153">
        <v>1</v>
      </c>
      <c r="L153">
        <v>19</v>
      </c>
      <c r="M153" t="s">
        <v>37</v>
      </c>
      <c r="N153" t="s">
        <v>38</v>
      </c>
      <c r="O153">
        <v>2170</v>
      </c>
      <c r="P153">
        <v>27006</v>
      </c>
      <c r="Q153" t="s">
        <v>64</v>
      </c>
      <c r="R153" t="s">
        <v>53</v>
      </c>
      <c r="S153" t="s">
        <v>41</v>
      </c>
      <c r="T153" t="s">
        <v>42</v>
      </c>
      <c r="U153" t="s">
        <v>43</v>
      </c>
      <c r="V153">
        <v>40812</v>
      </c>
      <c r="W153">
        <v>42159</v>
      </c>
      <c r="X153" t="s">
        <v>243</v>
      </c>
      <c r="Y153" t="s">
        <v>56</v>
      </c>
      <c r="Z153" t="s">
        <v>46</v>
      </c>
      <c r="AA153" t="s">
        <v>74</v>
      </c>
      <c r="AB153">
        <v>39</v>
      </c>
      <c r="AC153" t="s">
        <v>75</v>
      </c>
      <c r="AD153" t="s">
        <v>60</v>
      </c>
      <c r="AE153">
        <v>3.6</v>
      </c>
      <c r="AF153">
        <v>5</v>
      </c>
      <c r="AG153">
        <v>0</v>
      </c>
      <c r="AH153" t="s">
        <v>390</v>
      </c>
      <c r="AI153">
        <v>0</v>
      </c>
      <c r="AJ153">
        <v>16</v>
      </c>
      <c r="AK153" t="str">
        <f t="shared" si="18"/>
        <v>Normal</v>
      </c>
      <c r="AL153" t="str">
        <f t="shared" si="19"/>
        <v>low Outlier</v>
      </c>
      <c r="AM153">
        <f ca="1">INT((TODAY()-HRDataset_v14[[#This Row],[DOB]])/365.25)</f>
        <v>52</v>
      </c>
      <c r="AN153">
        <f ca="1">DATEDIF(HRDataset_v14[[#This Row],[DateofHire]],TODAY(),"Y")</f>
        <v>14</v>
      </c>
      <c r="AO153">
        <f ca="1">IF(ISBLANK(HRDataset_v14[[#This Row],[DateofTermination]]),DATEDIF(HRDataset_v14[[#This Row],[DateofHire]],TODAY(),"Y"),DATEDIF(HRDataset_v14[[#This Row],[DateofHire]],HRDataset_v14[[#This Row],[DateofTermination]],"Y"))</f>
        <v>3</v>
      </c>
      <c r="AP153" t="str">
        <f ca="1">IF(HRDataset_v14[[#This Row],[Tenure in Years
]]&lt;1,"0-1 Year",IF(HRDataset_v14[[#This Row],[Tenure in Years
]]&lt;3,"1-3 Years",IF(HRDataset_v14[[#This Row],[Tenure in Years
]]&lt;5,"3-5 Years",IF(HRDataset_v14[[#This Row],[Tenure in Years
]]&lt;10,"5-10 Years","10+ Years"))))</f>
        <v>10+ Years</v>
      </c>
      <c r="AQ153" t="str">
        <f ca="1">IF(HRDataset_v14[[#This Row],[Age Calculation
]]&lt;26,"18-25",IF(HRDataset_v14[[#This Row],[Age Calculation
]]&lt;36,"26-35",IF(HRDataset_v14[[#This Row],[Age Calculation
]]&lt;46,"36-45",IF(HRDataset_v14[[#This Row],[Age Calculation
]]&lt;56,"46-55","55+"))))</f>
        <v>46-55</v>
      </c>
      <c r="AR153" t="str">
        <f>IF(HRDataset_v14[[#This Row],[Salary]]&lt;40000,"Entry (&lt;40K)",IF(HRDataset_v14[[#This Row],[Salary]]&lt;70000,"Mid (40-70K)",IF(HRDataset_v14[[#This Row],[Salary]]&lt;100000,"Senior (70-100K)","Executive (100K+)")))</f>
        <v>Mid (40-70K)</v>
      </c>
      <c r="AS153">
        <f>IF(HRDataset_v14[[#This Row],[EmploymentStatus]]="Active",1,0)</f>
        <v>0</v>
      </c>
      <c r="AT153">
        <f>YEAR(HRDataset_v14[[#This Row],[DateofHire]])</f>
        <v>2011</v>
      </c>
      <c r="AU153">
        <f>MONTH(HRDataset_v14[[#This Row],[DateofHire]])</f>
        <v>9</v>
      </c>
      <c r="AV153" t="str">
        <f>"Q"&amp;ROUNDUP(MONTH(HRDataset_v14[[#This Row],[DateofHire]])/3,0)</f>
        <v>Q3</v>
      </c>
      <c r="AW153" t="str">
        <f>TEXT(HRDataset_v14[[#This Row],[DateofHire]],"MMM")</f>
        <v>Sep</v>
      </c>
      <c r="AX153" t="str">
        <f>TEXT(HRDataset_v14[[#This Row],[DateofHire]],"YYYY-MM")</f>
        <v>2011-09</v>
      </c>
      <c r="AY153">
        <f>IF(ISBLANK(HRDataset_v14[[#This Row],[DateofTermination]]),"N/A",YEAR(HRDataset_v14[[#This Row],[DateofTermination]]))</f>
        <v>2015</v>
      </c>
      <c r="AZ153" t="str" cm="1">
        <f t="array" ref="AZ153">INDEX(_xlfn.UNIQUE(Z153:Z463),MATCH(MAX(COUNTIF(Z153:Z463,_xlfn.UNIQUE(Z153:Z463))),COUNTIF(Z153:Z463,_xlfn.UNIQUE(Z153:Z463)),0))</f>
        <v xml:space="preserve">Production       </v>
      </c>
      <c r="BA153">
        <f t="shared" si="24"/>
        <v>72.727272727272734</v>
      </c>
      <c r="BB153">
        <f t="shared" si="25"/>
        <v>8</v>
      </c>
      <c r="BC153" t="str">
        <f t="shared" si="20"/>
        <v>Medium</v>
      </c>
      <c r="BD153" t="str">
        <f t="shared" si="21"/>
        <v/>
      </c>
      <c r="BE153">
        <f t="shared" si="22"/>
        <v>3.6</v>
      </c>
      <c r="BT153" t="str">
        <f t="shared" si="23"/>
        <v/>
      </c>
      <c r="BV153">
        <v>4.3</v>
      </c>
    </row>
    <row r="154" spans="1:74" x14ac:dyDescent="0.3">
      <c r="A154" t="s">
        <v>391</v>
      </c>
      <c r="B154">
        <v>10170</v>
      </c>
      <c r="C154">
        <v>1</v>
      </c>
      <c r="D154">
        <v>1</v>
      </c>
      <c r="E154">
        <v>0</v>
      </c>
      <c r="F154">
        <v>5</v>
      </c>
      <c r="G154">
        <v>5</v>
      </c>
      <c r="H154">
        <v>3</v>
      </c>
      <c r="I154">
        <v>0</v>
      </c>
      <c r="J154">
        <v>45433</v>
      </c>
      <c r="K154">
        <v>1</v>
      </c>
      <c r="L154">
        <v>19</v>
      </c>
      <c r="M154" t="s">
        <v>37</v>
      </c>
      <c r="N154" t="s">
        <v>38</v>
      </c>
      <c r="O154">
        <v>2127</v>
      </c>
      <c r="P154">
        <v>25849</v>
      </c>
      <c r="Q154" t="s">
        <v>64</v>
      </c>
      <c r="R154" t="s">
        <v>53</v>
      </c>
      <c r="S154" t="s">
        <v>41</v>
      </c>
      <c r="T154" t="s">
        <v>42</v>
      </c>
      <c r="U154" t="s">
        <v>43</v>
      </c>
      <c r="V154">
        <v>40812</v>
      </c>
      <c r="W154">
        <v>41648</v>
      </c>
      <c r="X154" t="s">
        <v>243</v>
      </c>
      <c r="Y154" t="s">
        <v>56</v>
      </c>
      <c r="Z154" t="s">
        <v>46</v>
      </c>
      <c r="AA154" t="s">
        <v>78</v>
      </c>
      <c r="AB154">
        <v>11</v>
      </c>
      <c r="AC154" t="s">
        <v>75</v>
      </c>
      <c r="AD154" t="s">
        <v>60</v>
      </c>
      <c r="AE154">
        <v>3.49</v>
      </c>
      <c r="AF154">
        <v>4</v>
      </c>
      <c r="AG154">
        <v>0</v>
      </c>
      <c r="AH154" t="s">
        <v>351</v>
      </c>
      <c r="AI154">
        <v>0</v>
      </c>
      <c r="AJ154">
        <v>6</v>
      </c>
      <c r="AK154" t="str">
        <f t="shared" si="18"/>
        <v>Normal</v>
      </c>
      <c r="AL154" t="str">
        <f t="shared" si="19"/>
        <v>low Outlier</v>
      </c>
      <c r="AM154">
        <f ca="1">INT((TODAY()-HRDataset_v14[[#This Row],[DOB]])/365.25)</f>
        <v>55</v>
      </c>
      <c r="AN154">
        <f ca="1">DATEDIF(HRDataset_v14[[#This Row],[DateofHire]],TODAY(),"Y")</f>
        <v>14</v>
      </c>
      <c r="AO154">
        <f ca="1">IF(ISBLANK(HRDataset_v14[[#This Row],[DateofTermination]]),DATEDIF(HRDataset_v14[[#This Row],[DateofHire]],TODAY(),"Y"),DATEDIF(HRDataset_v14[[#This Row],[DateofHire]],HRDataset_v14[[#This Row],[DateofTermination]],"Y"))</f>
        <v>2</v>
      </c>
      <c r="AP154" t="str">
        <f ca="1">IF(HRDataset_v14[[#This Row],[Tenure in Years
]]&lt;1,"0-1 Year",IF(HRDataset_v14[[#This Row],[Tenure in Years
]]&lt;3,"1-3 Years",IF(HRDataset_v14[[#This Row],[Tenure in Years
]]&lt;5,"3-5 Years",IF(HRDataset_v14[[#This Row],[Tenure in Years
]]&lt;10,"5-10 Years","10+ Years"))))</f>
        <v>10+ Years</v>
      </c>
      <c r="AQ154" t="str">
        <f ca="1">IF(HRDataset_v14[[#This Row],[Age Calculation
]]&lt;26,"18-25",IF(HRDataset_v14[[#This Row],[Age Calculation
]]&lt;36,"26-35",IF(HRDataset_v14[[#This Row],[Age Calculation
]]&lt;46,"36-45",IF(HRDataset_v14[[#This Row],[Age Calculation
]]&lt;56,"46-55","55+"))))</f>
        <v>46-55</v>
      </c>
      <c r="AR154" t="str">
        <f>IF(HRDataset_v14[[#This Row],[Salary]]&lt;40000,"Entry (&lt;40K)",IF(HRDataset_v14[[#This Row],[Salary]]&lt;70000,"Mid (40-70K)",IF(HRDataset_v14[[#This Row],[Salary]]&lt;100000,"Senior (70-100K)","Executive (100K+)")))</f>
        <v>Mid (40-70K)</v>
      </c>
      <c r="AS154">
        <f>IF(HRDataset_v14[[#This Row],[EmploymentStatus]]="Active",1,0)</f>
        <v>0</v>
      </c>
      <c r="AT154">
        <f>YEAR(HRDataset_v14[[#This Row],[DateofHire]])</f>
        <v>2011</v>
      </c>
      <c r="AU154">
        <f>MONTH(HRDataset_v14[[#This Row],[DateofHire]])</f>
        <v>9</v>
      </c>
      <c r="AV154" t="str">
        <f>"Q"&amp;ROUNDUP(MONTH(HRDataset_v14[[#This Row],[DateofHire]])/3,0)</f>
        <v>Q3</v>
      </c>
      <c r="AW154" t="str">
        <f>TEXT(HRDataset_v14[[#This Row],[DateofHire]],"MMM")</f>
        <v>Sep</v>
      </c>
      <c r="AX154" t="str">
        <f>TEXT(HRDataset_v14[[#This Row],[DateofHire]],"YYYY-MM")</f>
        <v>2011-09</v>
      </c>
      <c r="AY154">
        <f>IF(ISBLANK(HRDataset_v14[[#This Row],[DateofTermination]]),"N/A",YEAR(HRDataset_v14[[#This Row],[DateofTermination]]))</f>
        <v>2014</v>
      </c>
      <c r="AZ154" t="str" cm="1">
        <f t="array" ref="AZ154">INDEX(_xlfn.UNIQUE(Z154:Z464),MATCH(MAX(COUNTIF(Z154:Z464,_xlfn.UNIQUE(Z154:Z464))),COUNTIF(Z154:Z464,_xlfn.UNIQUE(Z154:Z464)),0))</f>
        <v xml:space="preserve">Production       </v>
      </c>
      <c r="BA154">
        <f t="shared" si="24"/>
        <v>90.909090909090907</v>
      </c>
      <c r="BB154">
        <f t="shared" si="25"/>
        <v>7</v>
      </c>
      <c r="BC154" t="str">
        <f t="shared" si="20"/>
        <v>Medium</v>
      </c>
      <c r="BD154" t="str">
        <f t="shared" si="21"/>
        <v/>
      </c>
      <c r="BE154">
        <f t="shared" si="22"/>
        <v>3.49</v>
      </c>
      <c r="BT154" t="str">
        <f t="shared" si="23"/>
        <v/>
      </c>
      <c r="BV154">
        <v>4.5999999999999996</v>
      </c>
    </row>
    <row r="155" spans="1:74" x14ac:dyDescent="0.3">
      <c r="A155" t="s">
        <v>392</v>
      </c>
      <c r="B155">
        <v>10208</v>
      </c>
      <c r="C155">
        <v>0</v>
      </c>
      <c r="D155">
        <v>0</v>
      </c>
      <c r="E155">
        <v>1</v>
      </c>
      <c r="F155">
        <v>1</v>
      </c>
      <c r="G155">
        <v>5</v>
      </c>
      <c r="H155">
        <v>3</v>
      </c>
      <c r="I155">
        <v>0</v>
      </c>
      <c r="J155">
        <v>46654</v>
      </c>
      <c r="K155">
        <v>0</v>
      </c>
      <c r="L155">
        <v>19</v>
      </c>
      <c r="M155" t="s">
        <v>37</v>
      </c>
      <c r="N155" t="s">
        <v>38</v>
      </c>
      <c r="O155">
        <v>1721</v>
      </c>
      <c r="P155">
        <v>28439</v>
      </c>
      <c r="Q155" t="s">
        <v>39</v>
      </c>
      <c r="R155" t="s">
        <v>40</v>
      </c>
      <c r="S155" t="s">
        <v>41</v>
      </c>
      <c r="T155" t="s">
        <v>42</v>
      </c>
      <c r="U155" t="s">
        <v>91</v>
      </c>
      <c r="V155">
        <v>41687</v>
      </c>
      <c r="X155" t="s">
        <v>44</v>
      </c>
      <c r="Y155" t="s">
        <v>45</v>
      </c>
      <c r="Z155" t="s">
        <v>46</v>
      </c>
      <c r="AA155" t="s">
        <v>87</v>
      </c>
      <c r="AB155">
        <v>19</v>
      </c>
      <c r="AC155" t="s">
        <v>48</v>
      </c>
      <c r="AD155" t="s">
        <v>60</v>
      </c>
      <c r="AE155">
        <v>3.1</v>
      </c>
      <c r="AF155">
        <v>3</v>
      </c>
      <c r="AG155">
        <v>0</v>
      </c>
      <c r="AH155" t="s">
        <v>393</v>
      </c>
      <c r="AI155">
        <v>0</v>
      </c>
      <c r="AJ155">
        <v>3</v>
      </c>
      <c r="AK155" t="str">
        <f t="shared" si="18"/>
        <v>Normal</v>
      </c>
      <c r="AL155" t="str">
        <f t="shared" si="19"/>
        <v>low Outlier</v>
      </c>
      <c r="AM155">
        <f ca="1">INT((TODAY()-HRDataset_v14[[#This Row],[DOB]])/365.25)</f>
        <v>48</v>
      </c>
      <c r="AN155">
        <f ca="1">DATEDIF(HRDataset_v14[[#This Row],[DateofHire]],TODAY(),"Y")</f>
        <v>12</v>
      </c>
      <c r="AO155">
        <f ca="1">IF(ISBLANK(HRDataset_v14[[#This Row],[DateofTermination]]),DATEDIF(HRDataset_v14[[#This Row],[DateofHire]],TODAY(),"Y"),DATEDIF(HRDataset_v14[[#This Row],[DateofHire]],HRDataset_v14[[#This Row],[DateofTermination]],"Y"))</f>
        <v>12</v>
      </c>
      <c r="AP155" t="str">
        <f ca="1">IF(HRDataset_v14[[#This Row],[Tenure in Years
]]&lt;1,"0-1 Year",IF(HRDataset_v14[[#This Row],[Tenure in Years
]]&lt;3,"1-3 Years",IF(HRDataset_v14[[#This Row],[Tenure in Years
]]&lt;5,"3-5 Years",IF(HRDataset_v14[[#This Row],[Tenure in Years
]]&lt;10,"5-10 Years","10+ Years"))))</f>
        <v>10+ Years</v>
      </c>
      <c r="AQ155" t="str">
        <f ca="1">IF(HRDataset_v14[[#This Row],[Age Calculation
]]&lt;26,"18-25",IF(HRDataset_v14[[#This Row],[Age Calculation
]]&lt;36,"26-35",IF(HRDataset_v14[[#This Row],[Age Calculation
]]&lt;46,"36-45",IF(HRDataset_v14[[#This Row],[Age Calculation
]]&lt;56,"46-55","55+"))))</f>
        <v>46-55</v>
      </c>
      <c r="AR155" t="str">
        <f>IF(HRDataset_v14[[#This Row],[Salary]]&lt;40000,"Entry (&lt;40K)",IF(HRDataset_v14[[#This Row],[Salary]]&lt;70000,"Mid (40-70K)",IF(HRDataset_v14[[#This Row],[Salary]]&lt;100000,"Senior (70-100K)","Executive (100K+)")))</f>
        <v>Mid (40-70K)</v>
      </c>
      <c r="AS155">
        <f>IF(HRDataset_v14[[#This Row],[EmploymentStatus]]="Active",1,0)</f>
        <v>1</v>
      </c>
      <c r="AT155">
        <f>YEAR(HRDataset_v14[[#This Row],[DateofHire]])</f>
        <v>2014</v>
      </c>
      <c r="AU155">
        <f>MONTH(HRDataset_v14[[#This Row],[DateofHire]])</f>
        <v>2</v>
      </c>
      <c r="AV155" t="str">
        <f>"Q"&amp;ROUNDUP(MONTH(HRDataset_v14[[#This Row],[DateofHire]])/3,0)</f>
        <v>Q1</v>
      </c>
      <c r="AW155" t="str">
        <f>TEXT(HRDataset_v14[[#This Row],[DateofHire]],"MMM")</f>
        <v>Feb</v>
      </c>
      <c r="AX155" t="str">
        <f>TEXT(HRDataset_v14[[#This Row],[DateofHire]],"YYYY-MM")</f>
        <v>2014-02</v>
      </c>
      <c r="AY155" t="str">
        <f>IF(ISBLANK(HRDataset_v14[[#This Row],[DateofTermination]]),"N/A",YEAR(HRDataset_v14[[#This Row],[DateofTermination]]))</f>
        <v>N/A</v>
      </c>
      <c r="AZ155" t="str" cm="1">
        <f t="array" ref="AZ155">INDEX(_xlfn.UNIQUE(Z155:Z465),MATCH(MAX(COUNTIF(Z155:Z465,_xlfn.UNIQUE(Z155:Z465))),COUNTIF(Z155:Z465,_xlfn.UNIQUE(Z155:Z465)),0))</f>
        <v xml:space="preserve">Production       </v>
      </c>
      <c r="BA155">
        <f t="shared" si="24"/>
        <v>40</v>
      </c>
      <c r="BB155">
        <f t="shared" si="25"/>
        <v>0</v>
      </c>
      <c r="BC155" t="str">
        <f t="shared" si="20"/>
        <v>Medium</v>
      </c>
      <c r="BD155">
        <f t="shared" si="21"/>
        <v>3.1</v>
      </c>
      <c r="BE155" t="str">
        <f t="shared" si="22"/>
        <v/>
      </c>
      <c r="BT155">
        <f t="shared" si="23"/>
        <v>3.1</v>
      </c>
      <c r="BV155">
        <v>3.66</v>
      </c>
    </row>
    <row r="156" spans="1:74" x14ac:dyDescent="0.3">
      <c r="A156" t="s">
        <v>394</v>
      </c>
      <c r="B156">
        <v>10176</v>
      </c>
      <c r="C156">
        <v>1</v>
      </c>
      <c r="D156">
        <v>1</v>
      </c>
      <c r="E156">
        <v>1</v>
      </c>
      <c r="F156">
        <v>1</v>
      </c>
      <c r="G156">
        <v>5</v>
      </c>
      <c r="H156">
        <v>3</v>
      </c>
      <c r="I156">
        <v>0</v>
      </c>
      <c r="J156">
        <v>63973</v>
      </c>
      <c r="K156">
        <v>0</v>
      </c>
      <c r="L156">
        <v>19</v>
      </c>
      <c r="M156" t="s">
        <v>37</v>
      </c>
      <c r="N156" t="s">
        <v>38</v>
      </c>
      <c r="O156">
        <v>1801</v>
      </c>
      <c r="P156">
        <v>29253</v>
      </c>
      <c r="Q156" t="s">
        <v>39</v>
      </c>
      <c r="R156" t="s">
        <v>53</v>
      </c>
      <c r="S156" t="s">
        <v>41</v>
      </c>
      <c r="T156" t="s">
        <v>42</v>
      </c>
      <c r="U156" t="s">
        <v>132</v>
      </c>
      <c r="V156">
        <v>40553</v>
      </c>
      <c r="X156" t="s">
        <v>44</v>
      </c>
      <c r="Y156" t="s">
        <v>45</v>
      </c>
      <c r="Z156" t="s">
        <v>46</v>
      </c>
      <c r="AA156" t="s">
        <v>92</v>
      </c>
      <c r="AB156">
        <v>12</v>
      </c>
      <c r="AC156" t="s">
        <v>59</v>
      </c>
      <c r="AD156" t="s">
        <v>60</v>
      </c>
      <c r="AE156">
        <v>3.38</v>
      </c>
      <c r="AF156">
        <v>3</v>
      </c>
      <c r="AG156">
        <v>0</v>
      </c>
      <c r="AH156" t="s">
        <v>167</v>
      </c>
      <c r="AI156">
        <v>0</v>
      </c>
      <c r="AJ156">
        <v>17</v>
      </c>
      <c r="AK156" t="str">
        <f t="shared" si="18"/>
        <v>Normal</v>
      </c>
      <c r="AL156" t="str">
        <f t="shared" si="19"/>
        <v>low Outlier</v>
      </c>
      <c r="AM156">
        <f ca="1">INT((TODAY()-HRDataset_v14[[#This Row],[DOB]])/365.25)</f>
        <v>46</v>
      </c>
      <c r="AN156">
        <f ca="1">DATEDIF(HRDataset_v14[[#This Row],[DateofHire]],TODAY(),"Y")</f>
        <v>15</v>
      </c>
      <c r="AO156">
        <f ca="1">IF(ISBLANK(HRDataset_v14[[#This Row],[DateofTermination]]),DATEDIF(HRDataset_v14[[#This Row],[DateofHire]],TODAY(),"Y"),DATEDIF(HRDataset_v14[[#This Row],[DateofHire]],HRDataset_v14[[#This Row],[DateofTermination]],"Y"))</f>
        <v>15</v>
      </c>
      <c r="AP156" t="str">
        <f ca="1">IF(HRDataset_v14[[#This Row],[Tenure in Years
]]&lt;1,"0-1 Year",IF(HRDataset_v14[[#This Row],[Tenure in Years
]]&lt;3,"1-3 Years",IF(HRDataset_v14[[#This Row],[Tenure in Years
]]&lt;5,"3-5 Years",IF(HRDataset_v14[[#This Row],[Tenure in Years
]]&lt;10,"5-10 Years","10+ Years"))))</f>
        <v>10+ Years</v>
      </c>
      <c r="AQ156" t="str">
        <f ca="1">IF(HRDataset_v14[[#This Row],[Age Calculation
]]&lt;26,"18-25",IF(HRDataset_v14[[#This Row],[Age Calculation
]]&lt;36,"26-35",IF(HRDataset_v14[[#This Row],[Age Calculation
]]&lt;46,"36-45",IF(HRDataset_v14[[#This Row],[Age Calculation
]]&lt;56,"46-55","55+"))))</f>
        <v>46-55</v>
      </c>
      <c r="AR156" t="str">
        <f>IF(HRDataset_v14[[#This Row],[Salary]]&lt;40000,"Entry (&lt;40K)",IF(HRDataset_v14[[#This Row],[Salary]]&lt;70000,"Mid (40-70K)",IF(HRDataset_v14[[#This Row],[Salary]]&lt;100000,"Senior (70-100K)","Executive (100K+)")))</f>
        <v>Mid (40-70K)</v>
      </c>
      <c r="AS156">
        <f>IF(HRDataset_v14[[#This Row],[EmploymentStatus]]="Active",1,0)</f>
        <v>1</v>
      </c>
      <c r="AT156">
        <f>YEAR(HRDataset_v14[[#This Row],[DateofHire]])</f>
        <v>2011</v>
      </c>
      <c r="AU156">
        <f>MONTH(HRDataset_v14[[#This Row],[DateofHire]])</f>
        <v>1</v>
      </c>
      <c r="AV156" t="str">
        <f>"Q"&amp;ROUNDUP(MONTH(HRDataset_v14[[#This Row],[DateofHire]])/3,0)</f>
        <v>Q1</v>
      </c>
      <c r="AW156" t="str">
        <f>TEXT(HRDataset_v14[[#This Row],[DateofHire]],"MMM")</f>
        <v>Jan</v>
      </c>
      <c r="AX156" t="str">
        <f>TEXT(HRDataset_v14[[#This Row],[DateofHire]],"YYYY-MM")</f>
        <v>2011-01</v>
      </c>
      <c r="AY156" t="str">
        <f>IF(ISBLANK(HRDataset_v14[[#This Row],[DateofTermination]]),"N/A",YEAR(HRDataset_v14[[#This Row],[DateofTermination]]))</f>
        <v>N/A</v>
      </c>
      <c r="AZ156" t="str" cm="1">
        <f t="array" ref="AZ156">INDEX(_xlfn.UNIQUE(Z156:Z466),MATCH(MAX(COUNTIF(Z156:Z466,_xlfn.UNIQUE(Z156:Z466))),COUNTIF(Z156:Z466,_xlfn.UNIQUE(Z156:Z466)),0))</f>
        <v xml:space="preserve">Production       </v>
      </c>
      <c r="BA156">
        <f t="shared" si="24"/>
        <v>36.363636363636367</v>
      </c>
      <c r="BB156">
        <f t="shared" si="25"/>
        <v>0</v>
      </c>
      <c r="BC156" t="str">
        <f t="shared" si="20"/>
        <v>Medium</v>
      </c>
      <c r="BD156">
        <f t="shared" si="21"/>
        <v>3.38</v>
      </c>
      <c r="BE156" t="str">
        <f t="shared" si="22"/>
        <v/>
      </c>
      <c r="BT156">
        <f t="shared" si="23"/>
        <v>3.38</v>
      </c>
      <c r="BV156">
        <v>4.2</v>
      </c>
    </row>
    <row r="157" spans="1:74" x14ac:dyDescent="0.3">
      <c r="A157" t="s">
        <v>395</v>
      </c>
      <c r="B157">
        <v>10165</v>
      </c>
      <c r="C157">
        <v>0</v>
      </c>
      <c r="D157">
        <v>0</v>
      </c>
      <c r="E157">
        <v>1</v>
      </c>
      <c r="F157">
        <v>1</v>
      </c>
      <c r="G157">
        <v>6</v>
      </c>
      <c r="H157">
        <v>3</v>
      </c>
      <c r="I157">
        <v>1</v>
      </c>
      <c r="J157">
        <v>71339</v>
      </c>
      <c r="K157">
        <v>0</v>
      </c>
      <c r="L157">
        <v>3</v>
      </c>
      <c r="M157" t="s">
        <v>169</v>
      </c>
      <c r="N157" t="s">
        <v>396</v>
      </c>
      <c r="O157">
        <v>10171</v>
      </c>
      <c r="P157">
        <v>25258</v>
      </c>
      <c r="Q157" t="s">
        <v>39</v>
      </c>
      <c r="R157" t="s">
        <v>40</v>
      </c>
      <c r="S157" t="s">
        <v>41</v>
      </c>
      <c r="T157" t="s">
        <v>100</v>
      </c>
      <c r="U157" t="s">
        <v>91</v>
      </c>
      <c r="V157">
        <v>40609</v>
      </c>
      <c r="X157" t="s">
        <v>44</v>
      </c>
      <c r="Y157" t="s">
        <v>45</v>
      </c>
      <c r="Z157" t="s">
        <v>171</v>
      </c>
      <c r="AA157" t="s">
        <v>172</v>
      </c>
      <c r="AB157">
        <v>17</v>
      </c>
      <c r="AC157" t="s">
        <v>93</v>
      </c>
      <c r="AD157" t="s">
        <v>60</v>
      </c>
      <c r="AE157">
        <v>3.65</v>
      </c>
      <c r="AF157">
        <v>5</v>
      </c>
      <c r="AG157">
        <v>0</v>
      </c>
      <c r="AH157" t="s">
        <v>50</v>
      </c>
      <c r="AI157">
        <v>0</v>
      </c>
      <c r="AJ157">
        <v>20</v>
      </c>
      <c r="AK157" t="str">
        <f t="shared" si="18"/>
        <v>Normal</v>
      </c>
      <c r="AL157" t="str">
        <f t="shared" si="19"/>
        <v>low Outlier</v>
      </c>
      <c r="AM157">
        <f ca="1">INT((TODAY()-HRDataset_v14[[#This Row],[DOB]])/365.25)</f>
        <v>57</v>
      </c>
      <c r="AN157">
        <f ca="1">DATEDIF(HRDataset_v14[[#This Row],[DateofHire]],TODAY(),"Y")</f>
        <v>15</v>
      </c>
      <c r="AO157">
        <f ca="1">IF(ISBLANK(HRDataset_v14[[#This Row],[DateofTermination]]),DATEDIF(HRDataset_v14[[#This Row],[DateofHire]],TODAY(),"Y"),DATEDIF(HRDataset_v14[[#This Row],[DateofHire]],HRDataset_v14[[#This Row],[DateofTermination]],"Y"))</f>
        <v>15</v>
      </c>
      <c r="AP157" t="str">
        <f ca="1">IF(HRDataset_v14[[#This Row],[Tenure in Years
]]&lt;1,"0-1 Year",IF(HRDataset_v14[[#This Row],[Tenure in Years
]]&lt;3,"1-3 Years",IF(HRDataset_v14[[#This Row],[Tenure in Years
]]&lt;5,"3-5 Years",IF(HRDataset_v14[[#This Row],[Tenure in Years
]]&lt;10,"5-10 Years","10+ Years"))))</f>
        <v>10+ Years</v>
      </c>
      <c r="AQ157" t="str">
        <f ca="1">IF(HRDataset_v14[[#This Row],[Age Calculation
]]&lt;26,"18-25",IF(HRDataset_v14[[#This Row],[Age Calculation
]]&lt;36,"26-35",IF(HRDataset_v14[[#This Row],[Age Calculation
]]&lt;46,"36-45",IF(HRDataset_v14[[#This Row],[Age Calculation
]]&lt;56,"46-55","55+"))))</f>
        <v>55+</v>
      </c>
      <c r="AR157" t="str">
        <f>IF(HRDataset_v14[[#This Row],[Salary]]&lt;40000,"Entry (&lt;40K)",IF(HRDataset_v14[[#This Row],[Salary]]&lt;70000,"Mid (40-70K)",IF(HRDataset_v14[[#This Row],[Salary]]&lt;100000,"Senior (70-100K)","Executive (100K+)")))</f>
        <v>Senior (70-100K)</v>
      </c>
      <c r="AS157">
        <f>IF(HRDataset_v14[[#This Row],[EmploymentStatus]]="Active",1,0)</f>
        <v>1</v>
      </c>
      <c r="AT157">
        <f>YEAR(HRDataset_v14[[#This Row],[DateofHire]])</f>
        <v>2011</v>
      </c>
      <c r="AU157">
        <f>MONTH(HRDataset_v14[[#This Row],[DateofHire]])</f>
        <v>3</v>
      </c>
      <c r="AV157" t="str">
        <f>"Q"&amp;ROUNDUP(MONTH(HRDataset_v14[[#This Row],[DateofHire]])/3,0)</f>
        <v>Q1</v>
      </c>
      <c r="AW157" t="str">
        <f>TEXT(HRDataset_v14[[#This Row],[DateofHire]],"MMM")</f>
        <v>Mar</v>
      </c>
      <c r="AX157" t="str">
        <f>TEXT(HRDataset_v14[[#This Row],[DateofHire]],"YYYY-MM")</f>
        <v>2011-03</v>
      </c>
      <c r="AY157" t="str">
        <f>IF(ISBLANK(HRDataset_v14[[#This Row],[DateofTermination]]),"N/A",YEAR(HRDataset_v14[[#This Row],[DateofTermination]]))</f>
        <v>N/A</v>
      </c>
      <c r="AZ157" t="str" cm="1">
        <f t="array" ref="AZ157">INDEX(_xlfn.UNIQUE(Z157:Z467),MATCH(MAX(COUNTIF(Z157:Z467,_xlfn.UNIQUE(Z157:Z467))),COUNTIF(Z157:Z467,_xlfn.UNIQUE(Z157:Z467)),0))</f>
        <v xml:space="preserve">Production       </v>
      </c>
      <c r="BA157">
        <f t="shared" si="24"/>
        <v>0</v>
      </c>
      <c r="BB157">
        <f t="shared" si="25"/>
        <v>0</v>
      </c>
      <c r="BC157" t="str">
        <f t="shared" si="20"/>
        <v>Medium</v>
      </c>
      <c r="BD157">
        <f t="shared" si="21"/>
        <v>3.65</v>
      </c>
      <c r="BE157" t="str">
        <f t="shared" si="22"/>
        <v/>
      </c>
      <c r="BT157">
        <f t="shared" si="23"/>
        <v>3.65</v>
      </c>
      <c r="BV157">
        <v>4.8</v>
      </c>
    </row>
    <row r="158" spans="1:74" x14ac:dyDescent="0.3">
      <c r="A158" t="s">
        <v>397</v>
      </c>
      <c r="B158">
        <v>10113</v>
      </c>
      <c r="C158">
        <v>1</v>
      </c>
      <c r="D158">
        <v>1</v>
      </c>
      <c r="E158">
        <v>1</v>
      </c>
      <c r="F158">
        <v>3</v>
      </c>
      <c r="G158">
        <v>3</v>
      </c>
      <c r="H158">
        <v>3</v>
      </c>
      <c r="I158">
        <v>0</v>
      </c>
      <c r="J158">
        <v>93206</v>
      </c>
      <c r="K158">
        <v>0</v>
      </c>
      <c r="L158">
        <v>28</v>
      </c>
      <c r="M158" t="s">
        <v>225</v>
      </c>
      <c r="N158" t="s">
        <v>38</v>
      </c>
      <c r="O158">
        <v>2169</v>
      </c>
      <c r="P158">
        <v>31525</v>
      </c>
      <c r="Q158" t="s">
        <v>39</v>
      </c>
      <c r="R158" t="s">
        <v>53</v>
      </c>
      <c r="S158" t="s">
        <v>41</v>
      </c>
      <c r="T158" t="s">
        <v>42</v>
      </c>
      <c r="U158" t="s">
        <v>43</v>
      </c>
      <c r="V158">
        <v>41953</v>
      </c>
      <c r="X158" t="s">
        <v>44</v>
      </c>
      <c r="Y158" t="s">
        <v>45</v>
      </c>
      <c r="Z158" t="s">
        <v>57</v>
      </c>
      <c r="AA158" t="s">
        <v>97</v>
      </c>
      <c r="AB158">
        <v>7</v>
      </c>
      <c r="AC158" t="s">
        <v>88</v>
      </c>
      <c r="AD158" t="s">
        <v>60</v>
      </c>
      <c r="AE158">
        <v>4.46</v>
      </c>
      <c r="AF158">
        <v>5</v>
      </c>
      <c r="AG158">
        <v>6</v>
      </c>
      <c r="AH158" t="s">
        <v>79</v>
      </c>
      <c r="AI158">
        <v>0</v>
      </c>
      <c r="AJ158">
        <v>7</v>
      </c>
      <c r="AK158" t="str">
        <f t="shared" si="18"/>
        <v>Normal</v>
      </c>
      <c r="AL158" t="str">
        <f t="shared" si="19"/>
        <v>low Outlier</v>
      </c>
      <c r="AM158">
        <f ca="1">INT((TODAY()-HRDataset_v14[[#This Row],[DOB]])/365.25)</f>
        <v>39</v>
      </c>
      <c r="AN158">
        <f ca="1">DATEDIF(HRDataset_v14[[#This Row],[DateofHire]],TODAY(),"Y")</f>
        <v>11</v>
      </c>
      <c r="AO158">
        <f ca="1">IF(ISBLANK(HRDataset_v14[[#This Row],[DateofTermination]]),DATEDIF(HRDataset_v14[[#This Row],[DateofHire]],TODAY(),"Y"),DATEDIF(HRDataset_v14[[#This Row],[DateofHire]],HRDataset_v14[[#This Row],[DateofTermination]],"Y"))</f>
        <v>11</v>
      </c>
      <c r="AP158" t="str">
        <f ca="1">IF(HRDataset_v14[[#This Row],[Tenure in Years
]]&lt;1,"0-1 Year",IF(HRDataset_v14[[#This Row],[Tenure in Years
]]&lt;3,"1-3 Years",IF(HRDataset_v14[[#This Row],[Tenure in Years
]]&lt;5,"3-5 Years",IF(HRDataset_v14[[#This Row],[Tenure in Years
]]&lt;10,"5-10 Years","10+ Years"))))</f>
        <v>10+ Years</v>
      </c>
      <c r="AQ158" t="str">
        <f ca="1">IF(HRDataset_v14[[#This Row],[Age Calculation
]]&lt;26,"18-25",IF(HRDataset_v14[[#This Row],[Age Calculation
]]&lt;36,"26-35",IF(HRDataset_v14[[#This Row],[Age Calculation
]]&lt;46,"36-45",IF(HRDataset_v14[[#This Row],[Age Calculation
]]&lt;56,"46-55","55+"))))</f>
        <v>36-45</v>
      </c>
      <c r="AR158" t="str">
        <f>IF(HRDataset_v14[[#This Row],[Salary]]&lt;40000,"Entry (&lt;40K)",IF(HRDataset_v14[[#This Row],[Salary]]&lt;70000,"Mid (40-70K)",IF(HRDataset_v14[[#This Row],[Salary]]&lt;100000,"Senior (70-100K)","Executive (100K+)")))</f>
        <v>Senior (70-100K)</v>
      </c>
      <c r="AS158">
        <f>IF(HRDataset_v14[[#This Row],[EmploymentStatus]]="Active",1,0)</f>
        <v>1</v>
      </c>
      <c r="AT158">
        <f>YEAR(HRDataset_v14[[#This Row],[DateofHire]])</f>
        <v>2014</v>
      </c>
      <c r="AU158">
        <f>MONTH(HRDataset_v14[[#This Row],[DateofHire]])</f>
        <v>11</v>
      </c>
      <c r="AV158" t="str">
        <f>"Q"&amp;ROUNDUP(MONTH(HRDataset_v14[[#This Row],[DateofHire]])/3,0)</f>
        <v>Q4</v>
      </c>
      <c r="AW158" t="str">
        <f>TEXT(HRDataset_v14[[#This Row],[DateofHire]],"MMM")</f>
        <v>Nov</v>
      </c>
      <c r="AX158" t="str">
        <f>TEXT(HRDataset_v14[[#This Row],[DateofHire]],"YYYY-MM")</f>
        <v>2014-11</v>
      </c>
      <c r="AY158" t="str">
        <f>IF(ISBLANK(HRDataset_v14[[#This Row],[DateofTermination]]),"N/A",YEAR(HRDataset_v14[[#This Row],[DateofTermination]]))</f>
        <v>N/A</v>
      </c>
      <c r="AZ158" t="str" cm="1">
        <f t="array" ref="AZ158">INDEX(_xlfn.UNIQUE(Z158:Z468),MATCH(MAX(COUNTIF(Z158:Z468,_xlfn.UNIQUE(Z158:Z468))),COUNTIF(Z158:Z468,_xlfn.UNIQUE(Z158:Z468)),0))</f>
        <v xml:space="preserve">Production       </v>
      </c>
      <c r="BA158">
        <f t="shared" si="24"/>
        <v>14.285714285714285</v>
      </c>
      <c r="BB158">
        <f t="shared" si="25"/>
        <v>0</v>
      </c>
      <c r="BC158" t="str">
        <f t="shared" si="20"/>
        <v>Medium</v>
      </c>
      <c r="BD158">
        <f t="shared" si="21"/>
        <v>4.46</v>
      </c>
      <c r="BE158" t="str">
        <f t="shared" si="22"/>
        <v/>
      </c>
      <c r="BT158">
        <f t="shared" si="23"/>
        <v>4.46</v>
      </c>
      <c r="BV158">
        <v>4.4000000000000004</v>
      </c>
    </row>
    <row r="159" spans="1:74" x14ac:dyDescent="0.3">
      <c r="A159" t="s">
        <v>398</v>
      </c>
      <c r="B159">
        <v>10092</v>
      </c>
      <c r="C159">
        <v>1</v>
      </c>
      <c r="D159">
        <v>1</v>
      </c>
      <c r="E159">
        <v>1</v>
      </c>
      <c r="F159">
        <v>4</v>
      </c>
      <c r="G159">
        <v>5</v>
      </c>
      <c r="H159">
        <v>3</v>
      </c>
      <c r="I159">
        <v>0</v>
      </c>
      <c r="J159">
        <v>82758</v>
      </c>
      <c r="K159">
        <v>1</v>
      </c>
      <c r="L159">
        <v>18</v>
      </c>
      <c r="M159" t="s">
        <v>154</v>
      </c>
      <c r="N159" t="s">
        <v>38</v>
      </c>
      <c r="O159">
        <v>1890</v>
      </c>
      <c r="P159">
        <v>26481</v>
      </c>
      <c r="Q159" t="s">
        <v>39</v>
      </c>
      <c r="R159" t="s">
        <v>53</v>
      </c>
      <c r="S159" t="s">
        <v>41</v>
      </c>
      <c r="T159" t="s">
        <v>42</v>
      </c>
      <c r="U159" t="s">
        <v>43</v>
      </c>
      <c r="V159">
        <v>40553</v>
      </c>
      <c r="W159">
        <v>42350</v>
      </c>
      <c r="X159" t="s">
        <v>120</v>
      </c>
      <c r="Y159" t="s">
        <v>121</v>
      </c>
      <c r="Z159" t="s">
        <v>46</v>
      </c>
      <c r="AA159" t="s">
        <v>156</v>
      </c>
      <c r="AB159">
        <v>2</v>
      </c>
      <c r="AC159" t="s">
        <v>88</v>
      </c>
      <c r="AD159" t="s">
        <v>60</v>
      </c>
      <c r="AE159">
        <v>4.78</v>
      </c>
      <c r="AF159">
        <v>4</v>
      </c>
      <c r="AG159">
        <v>0</v>
      </c>
      <c r="AH159" t="s">
        <v>399</v>
      </c>
      <c r="AI159">
        <v>0</v>
      </c>
      <c r="AJ159">
        <v>9</v>
      </c>
      <c r="AK159" t="str">
        <f t="shared" si="18"/>
        <v>Normal</v>
      </c>
      <c r="AL159" t="str">
        <f t="shared" si="19"/>
        <v>low Outlier</v>
      </c>
      <c r="AM159">
        <f ca="1">INT((TODAY()-HRDataset_v14[[#This Row],[DOB]])/365.25)</f>
        <v>53</v>
      </c>
      <c r="AN159">
        <f ca="1">DATEDIF(HRDataset_v14[[#This Row],[DateofHire]],TODAY(),"Y")</f>
        <v>15</v>
      </c>
      <c r="AO159">
        <f ca="1">IF(ISBLANK(HRDataset_v14[[#This Row],[DateofTermination]]),DATEDIF(HRDataset_v14[[#This Row],[DateofHire]],TODAY(),"Y"),DATEDIF(HRDataset_v14[[#This Row],[DateofHire]],HRDataset_v14[[#This Row],[DateofTermination]],"Y"))</f>
        <v>4</v>
      </c>
      <c r="AP159" t="str">
        <f ca="1">IF(HRDataset_v14[[#This Row],[Tenure in Years
]]&lt;1,"0-1 Year",IF(HRDataset_v14[[#This Row],[Tenure in Years
]]&lt;3,"1-3 Years",IF(HRDataset_v14[[#This Row],[Tenure in Years
]]&lt;5,"3-5 Years",IF(HRDataset_v14[[#This Row],[Tenure in Years
]]&lt;10,"5-10 Years","10+ Years"))))</f>
        <v>10+ Years</v>
      </c>
      <c r="AQ159" t="str">
        <f ca="1">IF(HRDataset_v14[[#This Row],[Age Calculation
]]&lt;26,"18-25",IF(HRDataset_v14[[#This Row],[Age Calculation
]]&lt;36,"26-35",IF(HRDataset_v14[[#This Row],[Age Calculation
]]&lt;46,"36-45",IF(HRDataset_v14[[#This Row],[Age Calculation
]]&lt;56,"46-55","55+"))))</f>
        <v>46-55</v>
      </c>
      <c r="AR159" t="str">
        <f>IF(HRDataset_v14[[#This Row],[Salary]]&lt;40000,"Entry (&lt;40K)",IF(HRDataset_v14[[#This Row],[Salary]]&lt;70000,"Mid (40-70K)",IF(HRDataset_v14[[#This Row],[Salary]]&lt;100000,"Senior (70-100K)","Executive (100K+)")))</f>
        <v>Senior (70-100K)</v>
      </c>
      <c r="AS159">
        <f>IF(HRDataset_v14[[#This Row],[EmploymentStatus]]="Active",1,0)</f>
        <v>0</v>
      </c>
      <c r="AT159">
        <f>YEAR(HRDataset_v14[[#This Row],[DateofHire]])</f>
        <v>2011</v>
      </c>
      <c r="AU159">
        <f>MONTH(HRDataset_v14[[#This Row],[DateofHire]])</f>
        <v>1</v>
      </c>
      <c r="AV159" t="str">
        <f>"Q"&amp;ROUNDUP(MONTH(HRDataset_v14[[#This Row],[DateofHire]])/3,0)</f>
        <v>Q1</v>
      </c>
      <c r="AW159" t="str">
        <f>TEXT(HRDataset_v14[[#This Row],[DateofHire]],"MMM")</f>
        <v>Jan</v>
      </c>
      <c r="AX159" t="str">
        <f>TEXT(HRDataset_v14[[#This Row],[DateofHire]],"YYYY-MM")</f>
        <v>2011-01</v>
      </c>
      <c r="AY159">
        <f>IF(ISBLANK(HRDataset_v14[[#This Row],[DateofTermination]]),"N/A",YEAR(HRDataset_v14[[#This Row],[DateofTermination]]))</f>
        <v>2015</v>
      </c>
      <c r="AZ159" t="str" cm="1">
        <f t="array" ref="AZ159">INDEX(_xlfn.UNIQUE(Z159:Z469),MATCH(MAX(COUNTIF(Z159:Z469,_xlfn.UNIQUE(Z159:Z469))),COUNTIF(Z159:Z469,_xlfn.UNIQUE(Z159:Z469)),0))</f>
        <v xml:space="preserve">Production       </v>
      </c>
      <c r="BA159">
        <f t="shared" si="24"/>
        <v>36.363636363636367</v>
      </c>
      <c r="BB159">
        <f t="shared" si="25"/>
        <v>3</v>
      </c>
      <c r="BC159" t="str">
        <f t="shared" si="20"/>
        <v>Medium</v>
      </c>
      <c r="BD159" t="str">
        <f t="shared" si="21"/>
        <v/>
      </c>
      <c r="BE159">
        <f t="shared" si="22"/>
        <v>4.78</v>
      </c>
      <c r="BT159" t="str">
        <f t="shared" si="23"/>
        <v/>
      </c>
      <c r="BV159">
        <v>3.98</v>
      </c>
    </row>
    <row r="160" spans="1:74" x14ac:dyDescent="0.3">
      <c r="A160" t="s">
        <v>400</v>
      </c>
      <c r="B160">
        <v>10106</v>
      </c>
      <c r="C160">
        <v>0</v>
      </c>
      <c r="D160">
        <v>2</v>
      </c>
      <c r="E160">
        <v>0</v>
      </c>
      <c r="F160">
        <v>5</v>
      </c>
      <c r="G160">
        <v>5</v>
      </c>
      <c r="H160">
        <v>3</v>
      </c>
      <c r="I160">
        <v>0</v>
      </c>
      <c r="J160">
        <v>66074</v>
      </c>
      <c r="K160">
        <v>1</v>
      </c>
      <c r="L160">
        <v>20</v>
      </c>
      <c r="M160" t="s">
        <v>63</v>
      </c>
      <c r="N160" t="s">
        <v>38</v>
      </c>
      <c r="O160">
        <v>2090</v>
      </c>
      <c r="P160">
        <v>29061</v>
      </c>
      <c r="Q160" t="s">
        <v>64</v>
      </c>
      <c r="R160" t="s">
        <v>72</v>
      </c>
      <c r="S160" t="s">
        <v>41</v>
      </c>
      <c r="T160" t="s">
        <v>42</v>
      </c>
      <c r="U160" t="s">
        <v>132</v>
      </c>
      <c r="V160">
        <v>41281</v>
      </c>
      <c r="W160">
        <v>41729</v>
      </c>
      <c r="X160" t="s">
        <v>101</v>
      </c>
      <c r="Y160" t="s">
        <v>56</v>
      </c>
      <c r="Z160" t="s">
        <v>46</v>
      </c>
      <c r="AA160" t="s">
        <v>102</v>
      </c>
      <c r="AB160">
        <v>14</v>
      </c>
      <c r="AC160" t="s">
        <v>59</v>
      </c>
      <c r="AD160" t="s">
        <v>60</v>
      </c>
      <c r="AE160">
        <v>4.5199999999999996</v>
      </c>
      <c r="AF160">
        <v>3</v>
      </c>
      <c r="AG160">
        <v>0</v>
      </c>
      <c r="AH160" t="s">
        <v>157</v>
      </c>
      <c r="AI160">
        <v>0</v>
      </c>
      <c r="AJ160">
        <v>20</v>
      </c>
      <c r="AK160" t="str">
        <f t="shared" si="18"/>
        <v>Normal</v>
      </c>
      <c r="AL160" t="str">
        <f t="shared" si="19"/>
        <v>low Outlier</v>
      </c>
      <c r="AM160">
        <f ca="1">INT((TODAY()-HRDataset_v14[[#This Row],[DOB]])/365.25)</f>
        <v>46</v>
      </c>
      <c r="AN160">
        <f ca="1">DATEDIF(HRDataset_v14[[#This Row],[DateofHire]],TODAY(),"Y")</f>
        <v>13</v>
      </c>
      <c r="AO160">
        <f ca="1">IF(ISBLANK(HRDataset_v14[[#This Row],[DateofTermination]]),DATEDIF(HRDataset_v14[[#This Row],[DateofHire]],TODAY(),"Y"),DATEDIF(HRDataset_v14[[#This Row],[DateofHire]],HRDataset_v14[[#This Row],[DateofTermination]],"Y"))</f>
        <v>1</v>
      </c>
      <c r="AP160" t="str">
        <f ca="1">IF(HRDataset_v14[[#This Row],[Tenure in Years
]]&lt;1,"0-1 Year",IF(HRDataset_v14[[#This Row],[Tenure in Years
]]&lt;3,"1-3 Years",IF(HRDataset_v14[[#This Row],[Tenure in Years
]]&lt;5,"3-5 Years",IF(HRDataset_v14[[#This Row],[Tenure in Years
]]&lt;10,"5-10 Years","10+ Years"))))</f>
        <v>10+ Years</v>
      </c>
      <c r="AQ160" t="str">
        <f ca="1">IF(HRDataset_v14[[#This Row],[Age Calculation
]]&lt;26,"18-25",IF(HRDataset_v14[[#This Row],[Age Calculation
]]&lt;36,"26-35",IF(HRDataset_v14[[#This Row],[Age Calculation
]]&lt;46,"36-45",IF(HRDataset_v14[[#This Row],[Age Calculation
]]&lt;56,"46-55","55+"))))</f>
        <v>46-55</v>
      </c>
      <c r="AR160" t="str">
        <f>IF(HRDataset_v14[[#This Row],[Salary]]&lt;40000,"Entry (&lt;40K)",IF(HRDataset_v14[[#This Row],[Salary]]&lt;70000,"Mid (40-70K)",IF(HRDataset_v14[[#This Row],[Salary]]&lt;100000,"Senior (70-100K)","Executive (100K+)")))</f>
        <v>Mid (40-70K)</v>
      </c>
      <c r="AS160">
        <f>IF(HRDataset_v14[[#This Row],[EmploymentStatus]]="Active",1,0)</f>
        <v>0</v>
      </c>
      <c r="AT160">
        <f>YEAR(HRDataset_v14[[#This Row],[DateofHire]])</f>
        <v>2013</v>
      </c>
      <c r="AU160">
        <f>MONTH(HRDataset_v14[[#This Row],[DateofHire]])</f>
        <v>1</v>
      </c>
      <c r="AV160" t="str">
        <f>"Q"&amp;ROUNDUP(MONTH(HRDataset_v14[[#This Row],[DateofHire]])/3,0)</f>
        <v>Q1</v>
      </c>
      <c r="AW160" t="str">
        <f>TEXT(HRDataset_v14[[#This Row],[DateofHire]],"MMM")</f>
        <v>Jan</v>
      </c>
      <c r="AX160" t="str">
        <f>TEXT(HRDataset_v14[[#This Row],[DateofHire]],"YYYY-MM")</f>
        <v>2013-01</v>
      </c>
      <c r="AY160">
        <f>IF(ISBLANK(HRDataset_v14[[#This Row],[DateofTermination]]),"N/A",YEAR(HRDataset_v14[[#This Row],[DateofTermination]]))</f>
        <v>2014</v>
      </c>
      <c r="AZ160" t="str" cm="1">
        <f t="array" ref="AZ160">INDEX(_xlfn.UNIQUE(Z160:Z470),MATCH(MAX(COUNTIF(Z160:Z470,_xlfn.UNIQUE(Z160:Z470))),COUNTIF(Z160:Z470,_xlfn.UNIQUE(Z160:Z470)),0))</f>
        <v xml:space="preserve">Production       </v>
      </c>
      <c r="BA160">
        <f t="shared" si="24"/>
        <v>25</v>
      </c>
      <c r="BB160">
        <f t="shared" si="25"/>
        <v>16</v>
      </c>
      <c r="BC160" t="str">
        <f t="shared" si="20"/>
        <v>Medium</v>
      </c>
      <c r="BD160" t="str">
        <f t="shared" si="21"/>
        <v/>
      </c>
      <c r="BE160">
        <f t="shared" si="22"/>
        <v>4.5199999999999996</v>
      </c>
      <c r="BT160" t="str">
        <f t="shared" si="23"/>
        <v/>
      </c>
      <c r="BV160">
        <v>4.3600000000000003</v>
      </c>
    </row>
    <row r="161" spans="1:74" x14ac:dyDescent="0.3">
      <c r="A161" t="s">
        <v>401</v>
      </c>
      <c r="B161">
        <v>10052</v>
      </c>
      <c r="C161">
        <v>1</v>
      </c>
      <c r="D161">
        <v>1</v>
      </c>
      <c r="E161">
        <v>1</v>
      </c>
      <c r="F161">
        <v>1</v>
      </c>
      <c r="G161">
        <v>5</v>
      </c>
      <c r="H161">
        <v>3</v>
      </c>
      <c r="I161">
        <v>0</v>
      </c>
      <c r="J161">
        <v>46120</v>
      </c>
      <c r="K161">
        <v>0</v>
      </c>
      <c r="L161">
        <v>19</v>
      </c>
      <c r="M161" t="s">
        <v>37</v>
      </c>
      <c r="N161" t="s">
        <v>38</v>
      </c>
      <c r="O161">
        <v>2048</v>
      </c>
      <c r="P161">
        <v>31755</v>
      </c>
      <c r="Q161" t="s">
        <v>39</v>
      </c>
      <c r="R161" t="s">
        <v>53</v>
      </c>
      <c r="S161" t="s">
        <v>41</v>
      </c>
      <c r="T161" t="s">
        <v>42</v>
      </c>
      <c r="U161" t="s">
        <v>43</v>
      </c>
      <c r="V161">
        <v>41099</v>
      </c>
      <c r="X161" t="s">
        <v>44</v>
      </c>
      <c r="Y161" t="s">
        <v>45</v>
      </c>
      <c r="Z161" t="s">
        <v>46</v>
      </c>
      <c r="AA161" t="s">
        <v>102</v>
      </c>
      <c r="AB161">
        <v>14</v>
      </c>
      <c r="AC161" t="s">
        <v>48</v>
      </c>
      <c r="AD161" t="s">
        <v>60</v>
      </c>
      <c r="AE161">
        <v>5</v>
      </c>
      <c r="AF161">
        <v>5</v>
      </c>
      <c r="AG161">
        <v>0</v>
      </c>
      <c r="AH161" t="s">
        <v>218</v>
      </c>
      <c r="AI161">
        <v>0</v>
      </c>
      <c r="AJ161">
        <v>13</v>
      </c>
      <c r="AK161" t="str">
        <f t="shared" si="18"/>
        <v>Normal</v>
      </c>
      <c r="AL161" t="str">
        <f t="shared" si="19"/>
        <v>low Outlier</v>
      </c>
      <c r="AM161">
        <f ca="1">INT((TODAY()-HRDataset_v14[[#This Row],[DOB]])/365.25)</f>
        <v>39</v>
      </c>
      <c r="AN161">
        <f ca="1">DATEDIF(HRDataset_v14[[#This Row],[DateofHire]],TODAY(),"Y")</f>
        <v>13</v>
      </c>
      <c r="AO161">
        <f ca="1">IF(ISBLANK(HRDataset_v14[[#This Row],[DateofTermination]]),DATEDIF(HRDataset_v14[[#This Row],[DateofHire]],TODAY(),"Y"),DATEDIF(HRDataset_v14[[#This Row],[DateofHire]],HRDataset_v14[[#This Row],[DateofTermination]],"Y"))</f>
        <v>13</v>
      </c>
      <c r="AP161" t="str">
        <f ca="1">IF(HRDataset_v14[[#This Row],[Tenure in Years
]]&lt;1,"0-1 Year",IF(HRDataset_v14[[#This Row],[Tenure in Years
]]&lt;3,"1-3 Years",IF(HRDataset_v14[[#This Row],[Tenure in Years
]]&lt;5,"3-5 Years",IF(HRDataset_v14[[#This Row],[Tenure in Years
]]&lt;10,"5-10 Years","10+ Years"))))</f>
        <v>10+ Years</v>
      </c>
      <c r="AQ161" t="str">
        <f ca="1">IF(HRDataset_v14[[#This Row],[Age Calculation
]]&lt;26,"18-25",IF(HRDataset_v14[[#This Row],[Age Calculation
]]&lt;36,"26-35",IF(HRDataset_v14[[#This Row],[Age Calculation
]]&lt;46,"36-45",IF(HRDataset_v14[[#This Row],[Age Calculation
]]&lt;56,"46-55","55+"))))</f>
        <v>36-45</v>
      </c>
      <c r="AR161" t="str">
        <f>IF(HRDataset_v14[[#This Row],[Salary]]&lt;40000,"Entry (&lt;40K)",IF(HRDataset_v14[[#This Row],[Salary]]&lt;70000,"Mid (40-70K)",IF(HRDataset_v14[[#This Row],[Salary]]&lt;100000,"Senior (70-100K)","Executive (100K+)")))</f>
        <v>Mid (40-70K)</v>
      </c>
      <c r="AS161">
        <f>IF(HRDataset_v14[[#This Row],[EmploymentStatus]]="Active",1,0)</f>
        <v>1</v>
      </c>
      <c r="AT161">
        <f>YEAR(HRDataset_v14[[#This Row],[DateofHire]])</f>
        <v>2012</v>
      </c>
      <c r="AU161">
        <f>MONTH(HRDataset_v14[[#This Row],[DateofHire]])</f>
        <v>7</v>
      </c>
      <c r="AV161" t="str">
        <f>"Q"&amp;ROUNDUP(MONTH(HRDataset_v14[[#This Row],[DateofHire]])/3,0)</f>
        <v>Q3</v>
      </c>
      <c r="AW161" t="str">
        <f>TEXT(HRDataset_v14[[#This Row],[DateofHire]],"MMM")</f>
        <v>Jul</v>
      </c>
      <c r="AX161" t="str">
        <f>TEXT(HRDataset_v14[[#This Row],[DateofHire]],"YYYY-MM")</f>
        <v>2012-07</v>
      </c>
      <c r="AY161" t="str">
        <f>IF(ISBLANK(HRDataset_v14[[#This Row],[DateofTermination]]),"N/A",YEAR(HRDataset_v14[[#This Row],[DateofTermination]]))</f>
        <v>N/A</v>
      </c>
      <c r="AZ161" t="str" cm="1">
        <f t="array" ref="AZ161">INDEX(_xlfn.UNIQUE(Z161:Z471),MATCH(MAX(COUNTIF(Z161:Z471,_xlfn.UNIQUE(Z161:Z471))),COUNTIF(Z161:Z471,_xlfn.UNIQUE(Z161:Z471)),0))</f>
        <v xml:space="preserve">Production       </v>
      </c>
      <c r="BA161">
        <f t="shared" si="24"/>
        <v>18.181818181818183</v>
      </c>
      <c r="BB161">
        <f t="shared" si="25"/>
        <v>0</v>
      </c>
      <c r="BC161" t="str">
        <f t="shared" si="20"/>
        <v>Medium</v>
      </c>
      <c r="BD161">
        <f t="shared" si="21"/>
        <v>5</v>
      </c>
      <c r="BE161" t="str">
        <f t="shared" si="22"/>
        <v/>
      </c>
      <c r="BT161">
        <f t="shared" si="23"/>
        <v>5</v>
      </c>
      <c r="BV161">
        <v>3.6</v>
      </c>
    </row>
    <row r="162" spans="1:74" x14ac:dyDescent="0.3">
      <c r="A162" t="s">
        <v>402</v>
      </c>
      <c r="B162">
        <v>10038</v>
      </c>
      <c r="C162">
        <v>0</v>
      </c>
      <c r="D162">
        <v>2</v>
      </c>
      <c r="E162">
        <v>1</v>
      </c>
      <c r="F162">
        <v>1</v>
      </c>
      <c r="G162">
        <v>1</v>
      </c>
      <c r="H162">
        <v>3</v>
      </c>
      <c r="I162">
        <v>0</v>
      </c>
      <c r="J162">
        <v>64520</v>
      </c>
      <c r="K162">
        <v>0</v>
      </c>
      <c r="L162">
        <v>1</v>
      </c>
      <c r="M162" t="s">
        <v>161</v>
      </c>
      <c r="N162" t="s">
        <v>38</v>
      </c>
      <c r="O162">
        <v>1460</v>
      </c>
      <c r="P162">
        <v>30798</v>
      </c>
      <c r="Q162" t="s">
        <v>39</v>
      </c>
      <c r="R162" t="s">
        <v>72</v>
      </c>
      <c r="S162" t="s">
        <v>41</v>
      </c>
      <c r="T162" t="s">
        <v>42</v>
      </c>
      <c r="U162" t="s">
        <v>91</v>
      </c>
      <c r="V162">
        <v>41645</v>
      </c>
      <c r="X162" t="s">
        <v>44</v>
      </c>
      <c r="Y162" t="s">
        <v>45</v>
      </c>
      <c r="Z162" t="s">
        <v>151</v>
      </c>
      <c r="AA162" t="s">
        <v>152</v>
      </c>
      <c r="AB162">
        <v>1</v>
      </c>
      <c r="AC162" t="s">
        <v>254</v>
      </c>
      <c r="AD162" t="s">
        <v>60</v>
      </c>
      <c r="AE162">
        <v>5</v>
      </c>
      <c r="AF162">
        <v>4</v>
      </c>
      <c r="AG162">
        <v>4</v>
      </c>
      <c r="AH162" t="s">
        <v>50</v>
      </c>
      <c r="AI162">
        <v>0</v>
      </c>
      <c r="AJ162">
        <v>3</v>
      </c>
      <c r="AK162" t="str">
        <f t="shared" si="18"/>
        <v>Normal</v>
      </c>
      <c r="AL162" t="str">
        <f t="shared" si="19"/>
        <v>low Outlier</v>
      </c>
      <c r="AM162">
        <f ca="1">INT((TODAY()-HRDataset_v14[[#This Row],[DOB]])/365.25)</f>
        <v>41</v>
      </c>
      <c r="AN162">
        <f ca="1">DATEDIF(HRDataset_v14[[#This Row],[DateofHire]],TODAY(),"Y")</f>
        <v>12</v>
      </c>
      <c r="AO162">
        <f ca="1">IF(ISBLANK(HRDataset_v14[[#This Row],[DateofTermination]]),DATEDIF(HRDataset_v14[[#This Row],[DateofHire]],TODAY(),"Y"),DATEDIF(HRDataset_v14[[#This Row],[DateofHire]],HRDataset_v14[[#This Row],[DateofTermination]],"Y"))</f>
        <v>12</v>
      </c>
      <c r="AP162" t="str">
        <f ca="1">IF(HRDataset_v14[[#This Row],[Tenure in Years
]]&lt;1,"0-1 Year",IF(HRDataset_v14[[#This Row],[Tenure in Years
]]&lt;3,"1-3 Years",IF(HRDataset_v14[[#This Row],[Tenure in Years
]]&lt;5,"3-5 Years",IF(HRDataset_v14[[#This Row],[Tenure in Years
]]&lt;10,"5-10 Years","10+ Years"))))</f>
        <v>10+ Years</v>
      </c>
      <c r="AQ162" t="str">
        <f ca="1">IF(HRDataset_v14[[#This Row],[Age Calculation
]]&lt;26,"18-25",IF(HRDataset_v14[[#This Row],[Age Calculation
]]&lt;36,"26-35",IF(HRDataset_v14[[#This Row],[Age Calculation
]]&lt;46,"36-45",IF(HRDataset_v14[[#This Row],[Age Calculation
]]&lt;56,"46-55","55+"))))</f>
        <v>36-45</v>
      </c>
      <c r="AR162" t="str">
        <f>IF(HRDataset_v14[[#This Row],[Salary]]&lt;40000,"Entry (&lt;40K)",IF(HRDataset_v14[[#This Row],[Salary]]&lt;70000,"Mid (40-70K)",IF(HRDataset_v14[[#This Row],[Salary]]&lt;100000,"Senior (70-100K)","Executive (100K+)")))</f>
        <v>Mid (40-70K)</v>
      </c>
      <c r="AS162">
        <f>IF(HRDataset_v14[[#This Row],[EmploymentStatus]]="Active",1,0)</f>
        <v>1</v>
      </c>
      <c r="AT162">
        <f>YEAR(HRDataset_v14[[#This Row],[DateofHire]])</f>
        <v>2014</v>
      </c>
      <c r="AU162">
        <f>MONTH(HRDataset_v14[[#This Row],[DateofHire]])</f>
        <v>1</v>
      </c>
      <c r="AV162" t="str">
        <f>"Q"&amp;ROUNDUP(MONTH(HRDataset_v14[[#This Row],[DateofHire]])/3,0)</f>
        <v>Q1</v>
      </c>
      <c r="AW162" t="str">
        <f>TEXT(HRDataset_v14[[#This Row],[DateofHire]],"MMM")</f>
        <v>Jan</v>
      </c>
      <c r="AX162" t="str">
        <f>TEXT(HRDataset_v14[[#This Row],[DateofHire]],"YYYY-MM")</f>
        <v>2014-01</v>
      </c>
      <c r="AY162" t="str">
        <f>IF(ISBLANK(HRDataset_v14[[#This Row],[DateofTermination]]),"N/A",YEAR(HRDataset_v14[[#This Row],[DateofTermination]]))</f>
        <v>N/A</v>
      </c>
      <c r="AZ162" t="str" cm="1">
        <f t="array" ref="AZ162">INDEX(_xlfn.UNIQUE(Z162:Z472),MATCH(MAX(COUNTIF(Z162:Z472,_xlfn.UNIQUE(Z162:Z472))),COUNTIF(Z162:Z472,_xlfn.UNIQUE(Z162:Z472)),0))</f>
        <v xml:space="preserve">Production       </v>
      </c>
      <c r="BA162">
        <f t="shared" si="24"/>
        <v>25</v>
      </c>
      <c r="BB162">
        <f t="shared" si="25"/>
        <v>0</v>
      </c>
      <c r="BC162" t="str">
        <f t="shared" si="20"/>
        <v>Medium</v>
      </c>
      <c r="BD162">
        <f t="shared" si="21"/>
        <v>5</v>
      </c>
      <c r="BE162" t="str">
        <f t="shared" si="22"/>
        <v/>
      </c>
      <c r="BT162">
        <f t="shared" si="23"/>
        <v>5</v>
      </c>
      <c r="BV162">
        <v>3.69</v>
      </c>
    </row>
    <row r="163" spans="1:74" x14ac:dyDescent="0.3">
      <c r="A163" t="s">
        <v>403</v>
      </c>
      <c r="B163">
        <v>10249</v>
      </c>
      <c r="C163">
        <v>1</v>
      </c>
      <c r="D163">
        <v>1</v>
      </c>
      <c r="E163">
        <v>1</v>
      </c>
      <c r="F163">
        <v>5</v>
      </c>
      <c r="G163">
        <v>5</v>
      </c>
      <c r="H163">
        <v>3</v>
      </c>
      <c r="I163">
        <v>0</v>
      </c>
      <c r="J163">
        <v>61962</v>
      </c>
      <c r="K163">
        <v>1</v>
      </c>
      <c r="L163">
        <v>20</v>
      </c>
      <c r="M163" t="s">
        <v>63</v>
      </c>
      <c r="N163" t="s">
        <v>38</v>
      </c>
      <c r="O163">
        <v>2126</v>
      </c>
      <c r="P163">
        <v>30811</v>
      </c>
      <c r="Q163" t="s">
        <v>39</v>
      </c>
      <c r="R163" t="s">
        <v>53</v>
      </c>
      <c r="S163" t="s">
        <v>41</v>
      </c>
      <c r="T163" t="s">
        <v>42</v>
      </c>
      <c r="U163" t="s">
        <v>43</v>
      </c>
      <c r="V163">
        <v>41001</v>
      </c>
      <c r="W163">
        <v>41379</v>
      </c>
      <c r="X163" t="s">
        <v>243</v>
      </c>
      <c r="Y163" t="s">
        <v>56</v>
      </c>
      <c r="Z163" t="s">
        <v>46</v>
      </c>
      <c r="AA163" t="s">
        <v>66</v>
      </c>
      <c r="AB163">
        <v>20</v>
      </c>
      <c r="AC163" t="s">
        <v>75</v>
      </c>
      <c r="AD163" t="s">
        <v>60</v>
      </c>
      <c r="AE163">
        <v>4.9000000000000004</v>
      </c>
      <c r="AF163">
        <v>3</v>
      </c>
      <c r="AG163">
        <v>0</v>
      </c>
      <c r="AH163" t="s">
        <v>404</v>
      </c>
      <c r="AI163">
        <v>0</v>
      </c>
      <c r="AJ163">
        <v>20</v>
      </c>
      <c r="AK163" t="str">
        <f t="shared" si="18"/>
        <v>Normal</v>
      </c>
      <c r="AL163" t="str">
        <f t="shared" si="19"/>
        <v>low Outlier</v>
      </c>
      <c r="AM163">
        <f ca="1">INT((TODAY()-HRDataset_v14[[#This Row],[DOB]])/365.25)</f>
        <v>41</v>
      </c>
      <c r="AN163">
        <f ca="1">DATEDIF(HRDataset_v14[[#This Row],[DateofHire]],TODAY(),"Y")</f>
        <v>14</v>
      </c>
      <c r="AO163">
        <f ca="1">IF(ISBLANK(HRDataset_v14[[#This Row],[DateofTermination]]),DATEDIF(HRDataset_v14[[#This Row],[DateofHire]],TODAY(),"Y"),DATEDIF(HRDataset_v14[[#This Row],[DateofHire]],HRDataset_v14[[#This Row],[DateofTermination]],"Y"))</f>
        <v>1</v>
      </c>
      <c r="AP163" t="str">
        <f ca="1">IF(HRDataset_v14[[#This Row],[Tenure in Years
]]&lt;1,"0-1 Year",IF(HRDataset_v14[[#This Row],[Tenure in Years
]]&lt;3,"1-3 Years",IF(HRDataset_v14[[#This Row],[Tenure in Years
]]&lt;5,"3-5 Years",IF(HRDataset_v14[[#This Row],[Tenure in Years
]]&lt;10,"5-10 Years","10+ Years"))))</f>
        <v>10+ Years</v>
      </c>
      <c r="AQ163" t="str">
        <f ca="1">IF(HRDataset_v14[[#This Row],[Age Calculation
]]&lt;26,"18-25",IF(HRDataset_v14[[#This Row],[Age Calculation
]]&lt;36,"26-35",IF(HRDataset_v14[[#This Row],[Age Calculation
]]&lt;46,"36-45",IF(HRDataset_v14[[#This Row],[Age Calculation
]]&lt;56,"46-55","55+"))))</f>
        <v>36-45</v>
      </c>
      <c r="AR163" t="str">
        <f>IF(HRDataset_v14[[#This Row],[Salary]]&lt;40000,"Entry (&lt;40K)",IF(HRDataset_v14[[#This Row],[Salary]]&lt;70000,"Mid (40-70K)",IF(HRDataset_v14[[#This Row],[Salary]]&lt;100000,"Senior (70-100K)","Executive (100K+)")))</f>
        <v>Mid (40-70K)</v>
      </c>
      <c r="AS163">
        <f>IF(HRDataset_v14[[#This Row],[EmploymentStatus]]="Active",1,0)</f>
        <v>0</v>
      </c>
      <c r="AT163">
        <f>YEAR(HRDataset_v14[[#This Row],[DateofHire]])</f>
        <v>2012</v>
      </c>
      <c r="AU163">
        <f>MONTH(HRDataset_v14[[#This Row],[DateofHire]])</f>
        <v>4</v>
      </c>
      <c r="AV163" t="str">
        <f>"Q"&amp;ROUNDUP(MONTH(HRDataset_v14[[#This Row],[DateofHire]])/3,0)</f>
        <v>Q2</v>
      </c>
      <c r="AW163" t="str">
        <f>TEXT(HRDataset_v14[[#This Row],[DateofHire]],"MMM")</f>
        <v>Apr</v>
      </c>
      <c r="AX163" t="str">
        <f>TEXT(HRDataset_v14[[#This Row],[DateofHire]],"YYYY-MM")</f>
        <v>2012-04</v>
      </c>
      <c r="AY163">
        <f>IF(ISBLANK(HRDataset_v14[[#This Row],[DateofTermination]]),"N/A",YEAR(HRDataset_v14[[#This Row],[DateofTermination]]))</f>
        <v>2013</v>
      </c>
      <c r="AZ163" t="str" cm="1">
        <f t="array" ref="AZ163">INDEX(_xlfn.UNIQUE(Z163:Z473),MATCH(MAX(COUNTIF(Z163:Z473,_xlfn.UNIQUE(Z163:Z473))),COUNTIF(Z163:Z473,_xlfn.UNIQUE(Z163:Z473)),0))</f>
        <v xml:space="preserve">Production       </v>
      </c>
      <c r="BA163">
        <f t="shared" si="24"/>
        <v>61.53846153846154</v>
      </c>
      <c r="BB163">
        <f t="shared" si="25"/>
        <v>6</v>
      </c>
      <c r="BC163" t="str">
        <f t="shared" si="20"/>
        <v>Medium</v>
      </c>
      <c r="BD163" t="str">
        <f t="shared" si="21"/>
        <v/>
      </c>
      <c r="BE163">
        <f t="shared" si="22"/>
        <v>4.9000000000000004</v>
      </c>
      <c r="BT163" t="str">
        <f t="shared" si="23"/>
        <v/>
      </c>
      <c r="BV163">
        <v>4.9400000000000004</v>
      </c>
    </row>
    <row r="164" spans="1:74" x14ac:dyDescent="0.3">
      <c r="A164" t="s">
        <v>405</v>
      </c>
      <c r="B164">
        <v>10232</v>
      </c>
      <c r="C164">
        <v>0</v>
      </c>
      <c r="D164">
        <v>0</v>
      </c>
      <c r="E164">
        <v>0</v>
      </c>
      <c r="F164">
        <v>1</v>
      </c>
      <c r="G164">
        <v>3</v>
      </c>
      <c r="H164">
        <v>3</v>
      </c>
      <c r="I164">
        <v>0</v>
      </c>
      <c r="J164">
        <v>81584</v>
      </c>
      <c r="K164">
        <v>0</v>
      </c>
      <c r="L164">
        <v>22</v>
      </c>
      <c r="M164" t="s">
        <v>406</v>
      </c>
      <c r="N164" t="s">
        <v>38</v>
      </c>
      <c r="O164">
        <v>1886</v>
      </c>
      <c r="P164">
        <v>31942</v>
      </c>
      <c r="Q164" t="s">
        <v>64</v>
      </c>
      <c r="R164" t="s">
        <v>40</v>
      </c>
      <c r="S164" t="s">
        <v>41</v>
      </c>
      <c r="T164" t="s">
        <v>42</v>
      </c>
      <c r="U164" t="s">
        <v>132</v>
      </c>
      <c r="V164">
        <v>42645</v>
      </c>
      <c r="X164" t="s">
        <v>44</v>
      </c>
      <c r="Y164" t="s">
        <v>45</v>
      </c>
      <c r="Z164" t="s">
        <v>57</v>
      </c>
      <c r="AA164" t="s">
        <v>249</v>
      </c>
      <c r="AB164">
        <v>13</v>
      </c>
      <c r="AC164" t="s">
        <v>59</v>
      </c>
      <c r="AD164" t="s">
        <v>60</v>
      </c>
      <c r="AE164">
        <v>4.0999999999999996</v>
      </c>
      <c r="AF164">
        <v>5</v>
      </c>
      <c r="AG164">
        <v>7</v>
      </c>
      <c r="AH164" t="s">
        <v>344</v>
      </c>
      <c r="AI164">
        <v>0</v>
      </c>
      <c r="AJ164">
        <v>2</v>
      </c>
      <c r="AK164" t="str">
        <f t="shared" si="18"/>
        <v>Normal</v>
      </c>
      <c r="AL164" t="str">
        <f t="shared" si="19"/>
        <v>low Outlier</v>
      </c>
      <c r="AM164">
        <f ca="1">INT((TODAY()-HRDataset_v14[[#This Row],[DOB]])/365.25)</f>
        <v>38</v>
      </c>
      <c r="AN164">
        <f ca="1">DATEDIF(HRDataset_v14[[#This Row],[DateofHire]],TODAY(),"Y")</f>
        <v>9</v>
      </c>
      <c r="AO164">
        <f ca="1">IF(ISBLANK(HRDataset_v14[[#This Row],[DateofTermination]]),DATEDIF(HRDataset_v14[[#This Row],[DateofHire]],TODAY(),"Y"),DATEDIF(HRDataset_v14[[#This Row],[DateofHire]],HRDataset_v14[[#This Row],[DateofTermination]],"Y"))</f>
        <v>9</v>
      </c>
      <c r="AP164" t="str">
        <f ca="1">IF(HRDataset_v14[[#This Row],[Tenure in Years
]]&lt;1,"0-1 Year",IF(HRDataset_v14[[#This Row],[Tenure in Years
]]&lt;3,"1-3 Years",IF(HRDataset_v14[[#This Row],[Tenure in Years
]]&lt;5,"3-5 Years",IF(HRDataset_v14[[#This Row],[Tenure in Years
]]&lt;10,"5-10 Years","10+ Years"))))</f>
        <v>5-10 Years</v>
      </c>
      <c r="AQ164" t="str">
        <f ca="1">IF(HRDataset_v14[[#This Row],[Age Calculation
]]&lt;26,"18-25",IF(HRDataset_v14[[#This Row],[Age Calculation
]]&lt;36,"26-35",IF(HRDataset_v14[[#This Row],[Age Calculation
]]&lt;46,"36-45",IF(HRDataset_v14[[#This Row],[Age Calculation
]]&lt;56,"46-55","55+"))))</f>
        <v>36-45</v>
      </c>
      <c r="AR164" t="str">
        <f>IF(HRDataset_v14[[#This Row],[Salary]]&lt;40000,"Entry (&lt;40K)",IF(HRDataset_v14[[#This Row],[Salary]]&lt;70000,"Mid (40-70K)",IF(HRDataset_v14[[#This Row],[Salary]]&lt;100000,"Senior (70-100K)","Executive (100K+)")))</f>
        <v>Senior (70-100K)</v>
      </c>
      <c r="AS164">
        <f>IF(HRDataset_v14[[#This Row],[EmploymentStatus]]="Active",1,0)</f>
        <v>1</v>
      </c>
      <c r="AT164">
        <f>YEAR(HRDataset_v14[[#This Row],[DateofHire]])</f>
        <v>2016</v>
      </c>
      <c r="AU164">
        <f>MONTH(HRDataset_v14[[#This Row],[DateofHire]])</f>
        <v>10</v>
      </c>
      <c r="AV164" t="str">
        <f>"Q"&amp;ROUNDUP(MONTH(HRDataset_v14[[#This Row],[DateofHire]])/3,0)</f>
        <v>Q4</v>
      </c>
      <c r="AW164" t="str">
        <f>TEXT(HRDataset_v14[[#This Row],[DateofHire]],"MMM")</f>
        <v>Oct</v>
      </c>
      <c r="AX164" t="str">
        <f>TEXT(HRDataset_v14[[#This Row],[DateofHire]],"YYYY-MM")</f>
        <v>2016-10</v>
      </c>
      <c r="AY164" t="str">
        <f>IF(ISBLANK(HRDataset_v14[[#This Row],[DateofTermination]]),"N/A",YEAR(HRDataset_v14[[#This Row],[DateofTermination]]))</f>
        <v>N/A</v>
      </c>
      <c r="AZ164" t="str" cm="1">
        <f t="array" ref="AZ164">INDEX(_xlfn.UNIQUE(Z164:Z474),MATCH(MAX(COUNTIF(Z164:Z474,_xlfn.UNIQUE(Z164:Z474))),COUNTIF(Z164:Z474,_xlfn.UNIQUE(Z164:Z474)),0))</f>
        <v xml:space="preserve">Production       </v>
      </c>
      <c r="BA164">
        <f t="shared" si="24"/>
        <v>0</v>
      </c>
      <c r="BB164">
        <f t="shared" si="25"/>
        <v>0</v>
      </c>
      <c r="BC164" t="str">
        <f t="shared" si="20"/>
        <v>Medium</v>
      </c>
      <c r="BD164">
        <f t="shared" si="21"/>
        <v>4.0999999999999996</v>
      </c>
      <c r="BE164" t="str">
        <f t="shared" si="22"/>
        <v/>
      </c>
      <c r="BT164">
        <f t="shared" si="23"/>
        <v>4.0999999999999996</v>
      </c>
      <c r="BV164">
        <v>5</v>
      </c>
    </row>
    <row r="165" spans="1:74" x14ac:dyDescent="0.3">
      <c r="A165" t="s">
        <v>407</v>
      </c>
      <c r="B165">
        <v>10087</v>
      </c>
      <c r="C165">
        <v>0</v>
      </c>
      <c r="D165">
        <v>0</v>
      </c>
      <c r="E165">
        <v>0</v>
      </c>
      <c r="F165">
        <v>5</v>
      </c>
      <c r="G165">
        <v>5</v>
      </c>
      <c r="H165">
        <v>3</v>
      </c>
      <c r="I165">
        <v>0</v>
      </c>
      <c r="J165">
        <v>63676</v>
      </c>
      <c r="K165">
        <v>1</v>
      </c>
      <c r="L165">
        <v>19</v>
      </c>
      <c r="M165" t="s">
        <v>37</v>
      </c>
      <c r="N165" t="s">
        <v>38</v>
      </c>
      <c r="O165">
        <v>1810</v>
      </c>
      <c r="P165">
        <v>28872</v>
      </c>
      <c r="Q165" t="s">
        <v>64</v>
      </c>
      <c r="R165" t="s">
        <v>40</v>
      </c>
      <c r="S165" t="s">
        <v>41</v>
      </c>
      <c r="T165" t="s">
        <v>42</v>
      </c>
      <c r="U165" t="s">
        <v>132</v>
      </c>
      <c r="V165">
        <v>40812</v>
      </c>
      <c r="W165">
        <v>43331</v>
      </c>
      <c r="X165" t="s">
        <v>73</v>
      </c>
      <c r="Y165" t="s">
        <v>56</v>
      </c>
      <c r="Z165" t="s">
        <v>46</v>
      </c>
      <c r="AA165" t="s">
        <v>66</v>
      </c>
      <c r="AB165">
        <v>20</v>
      </c>
      <c r="AC165" t="s">
        <v>140</v>
      </c>
      <c r="AD165" t="s">
        <v>60</v>
      </c>
      <c r="AE165">
        <v>4.88</v>
      </c>
      <c r="AF165">
        <v>3</v>
      </c>
      <c r="AG165">
        <v>0</v>
      </c>
      <c r="AH165" t="s">
        <v>408</v>
      </c>
      <c r="AI165">
        <v>0</v>
      </c>
      <c r="AJ165">
        <v>17</v>
      </c>
      <c r="AK165" t="str">
        <f t="shared" si="18"/>
        <v>Normal</v>
      </c>
      <c r="AL165" t="str">
        <f t="shared" si="19"/>
        <v>low Outlier</v>
      </c>
      <c r="AM165">
        <f ca="1">INT((TODAY()-HRDataset_v14[[#This Row],[DOB]])/365.25)</f>
        <v>47</v>
      </c>
      <c r="AN165">
        <f ca="1">DATEDIF(HRDataset_v14[[#This Row],[DateofHire]],TODAY(),"Y")</f>
        <v>14</v>
      </c>
      <c r="AO165">
        <f ca="1">IF(ISBLANK(HRDataset_v14[[#This Row],[DateofTermination]]),DATEDIF(HRDataset_v14[[#This Row],[DateofHire]],TODAY(),"Y"),DATEDIF(HRDataset_v14[[#This Row],[DateofHire]],HRDataset_v14[[#This Row],[DateofTermination]],"Y"))</f>
        <v>6</v>
      </c>
      <c r="AP165" t="str">
        <f ca="1">IF(HRDataset_v14[[#This Row],[Tenure in Years
]]&lt;1,"0-1 Year",IF(HRDataset_v14[[#This Row],[Tenure in Years
]]&lt;3,"1-3 Years",IF(HRDataset_v14[[#This Row],[Tenure in Years
]]&lt;5,"3-5 Years",IF(HRDataset_v14[[#This Row],[Tenure in Years
]]&lt;10,"5-10 Years","10+ Years"))))</f>
        <v>10+ Years</v>
      </c>
      <c r="AQ165" t="str">
        <f ca="1">IF(HRDataset_v14[[#This Row],[Age Calculation
]]&lt;26,"18-25",IF(HRDataset_v14[[#This Row],[Age Calculation
]]&lt;36,"26-35",IF(HRDataset_v14[[#This Row],[Age Calculation
]]&lt;46,"36-45",IF(HRDataset_v14[[#This Row],[Age Calculation
]]&lt;56,"46-55","55+"))))</f>
        <v>46-55</v>
      </c>
      <c r="AR165" t="str">
        <f>IF(HRDataset_v14[[#This Row],[Salary]]&lt;40000,"Entry (&lt;40K)",IF(HRDataset_v14[[#This Row],[Salary]]&lt;70000,"Mid (40-70K)",IF(HRDataset_v14[[#This Row],[Salary]]&lt;100000,"Senior (70-100K)","Executive (100K+)")))</f>
        <v>Mid (40-70K)</v>
      </c>
      <c r="AS165">
        <f>IF(HRDataset_v14[[#This Row],[EmploymentStatus]]="Active",1,0)</f>
        <v>0</v>
      </c>
      <c r="AT165">
        <f>YEAR(HRDataset_v14[[#This Row],[DateofHire]])</f>
        <v>2011</v>
      </c>
      <c r="AU165">
        <f>MONTH(HRDataset_v14[[#This Row],[DateofHire]])</f>
        <v>9</v>
      </c>
      <c r="AV165" t="str">
        <f>"Q"&amp;ROUNDUP(MONTH(HRDataset_v14[[#This Row],[DateofHire]])/3,0)</f>
        <v>Q3</v>
      </c>
      <c r="AW165" t="str">
        <f>TEXT(HRDataset_v14[[#This Row],[DateofHire]],"MMM")</f>
        <v>Sep</v>
      </c>
      <c r="AX165" t="str">
        <f>TEXT(HRDataset_v14[[#This Row],[DateofHire]],"YYYY-MM")</f>
        <v>2011-09</v>
      </c>
      <c r="AY165">
        <f>IF(ISBLANK(HRDataset_v14[[#This Row],[DateofTermination]]),"N/A",YEAR(HRDataset_v14[[#This Row],[DateofTermination]]))</f>
        <v>2018</v>
      </c>
      <c r="AZ165" t="str" cm="1">
        <f t="array" ref="AZ165">INDEX(_xlfn.UNIQUE(Z165:Z475),MATCH(MAX(COUNTIF(Z165:Z475,_xlfn.UNIQUE(Z165:Z475))),COUNTIF(Z165:Z475,_xlfn.UNIQUE(Z165:Z475)),0))</f>
        <v xml:space="preserve">Production       </v>
      </c>
      <c r="BA165">
        <f t="shared" si="24"/>
        <v>58.333333333333336</v>
      </c>
      <c r="BB165">
        <f t="shared" si="25"/>
        <v>4</v>
      </c>
      <c r="BC165" t="str">
        <f t="shared" si="20"/>
        <v>Medium</v>
      </c>
      <c r="BD165" t="str">
        <f t="shared" si="21"/>
        <v/>
      </c>
      <c r="BE165">
        <f t="shared" si="22"/>
        <v>4.88</v>
      </c>
      <c r="BT165" t="str">
        <f t="shared" si="23"/>
        <v/>
      </c>
      <c r="BV165">
        <v>3.6</v>
      </c>
    </row>
    <row r="166" spans="1:74" x14ac:dyDescent="0.3">
      <c r="A166" t="s">
        <v>409</v>
      </c>
      <c r="B166">
        <v>10134</v>
      </c>
      <c r="C166">
        <v>1</v>
      </c>
      <c r="D166">
        <v>1</v>
      </c>
      <c r="E166">
        <v>1</v>
      </c>
      <c r="F166">
        <v>1</v>
      </c>
      <c r="G166">
        <v>1</v>
      </c>
      <c r="H166">
        <v>3</v>
      </c>
      <c r="I166">
        <v>0</v>
      </c>
      <c r="J166">
        <v>93046</v>
      </c>
      <c r="K166">
        <v>0</v>
      </c>
      <c r="L166">
        <v>23</v>
      </c>
      <c r="M166" t="s">
        <v>410</v>
      </c>
      <c r="N166" t="s">
        <v>38</v>
      </c>
      <c r="O166">
        <v>1460</v>
      </c>
      <c r="P166">
        <v>30843</v>
      </c>
      <c r="Q166" t="s">
        <v>39</v>
      </c>
      <c r="R166" t="s">
        <v>53</v>
      </c>
      <c r="S166" t="s">
        <v>41</v>
      </c>
      <c r="T166" t="s">
        <v>42</v>
      </c>
      <c r="U166" t="s">
        <v>43</v>
      </c>
      <c r="V166">
        <v>42374</v>
      </c>
      <c r="X166" t="s">
        <v>44</v>
      </c>
      <c r="Y166" t="s">
        <v>45</v>
      </c>
      <c r="Z166" t="s">
        <v>151</v>
      </c>
      <c r="AA166" t="s">
        <v>156</v>
      </c>
      <c r="AB166">
        <v>2</v>
      </c>
      <c r="AC166" t="s">
        <v>140</v>
      </c>
      <c r="AD166" t="s">
        <v>60</v>
      </c>
      <c r="AE166">
        <v>4.0999999999999996</v>
      </c>
      <c r="AF166">
        <v>4</v>
      </c>
      <c r="AG166">
        <v>0</v>
      </c>
      <c r="AH166" t="s">
        <v>223</v>
      </c>
      <c r="AI166">
        <v>0</v>
      </c>
      <c r="AJ166">
        <v>20</v>
      </c>
      <c r="AK166" t="str">
        <f t="shared" si="18"/>
        <v>Normal</v>
      </c>
      <c r="AL166" t="str">
        <f t="shared" si="19"/>
        <v>low Outlier</v>
      </c>
      <c r="AM166">
        <f ca="1">INT((TODAY()-HRDataset_v14[[#This Row],[DOB]])/365.25)</f>
        <v>41</v>
      </c>
      <c r="AN166">
        <f ca="1">DATEDIF(HRDataset_v14[[#This Row],[DateofHire]],TODAY(),"Y")</f>
        <v>10</v>
      </c>
      <c r="AO166">
        <f ca="1">IF(ISBLANK(HRDataset_v14[[#This Row],[DateofTermination]]),DATEDIF(HRDataset_v14[[#This Row],[DateofHire]],TODAY(),"Y"),DATEDIF(HRDataset_v14[[#This Row],[DateofHire]],HRDataset_v14[[#This Row],[DateofTermination]],"Y"))</f>
        <v>10</v>
      </c>
      <c r="AP166" t="str">
        <f ca="1">IF(HRDataset_v14[[#This Row],[Tenure in Years
]]&lt;1,"0-1 Year",IF(HRDataset_v14[[#This Row],[Tenure in Years
]]&lt;3,"1-3 Years",IF(HRDataset_v14[[#This Row],[Tenure in Years
]]&lt;5,"3-5 Years",IF(HRDataset_v14[[#This Row],[Tenure in Years
]]&lt;10,"5-10 Years","10+ Years"))))</f>
        <v>10+ Years</v>
      </c>
      <c r="AQ166" t="str">
        <f ca="1">IF(HRDataset_v14[[#This Row],[Age Calculation
]]&lt;26,"18-25",IF(HRDataset_v14[[#This Row],[Age Calculation
]]&lt;36,"26-35",IF(HRDataset_v14[[#This Row],[Age Calculation
]]&lt;46,"36-45",IF(HRDataset_v14[[#This Row],[Age Calculation
]]&lt;56,"46-55","55+"))))</f>
        <v>36-45</v>
      </c>
      <c r="AR166" t="str">
        <f>IF(HRDataset_v14[[#This Row],[Salary]]&lt;40000,"Entry (&lt;40K)",IF(HRDataset_v14[[#This Row],[Salary]]&lt;70000,"Mid (40-70K)",IF(HRDataset_v14[[#This Row],[Salary]]&lt;100000,"Senior (70-100K)","Executive (100K+)")))</f>
        <v>Senior (70-100K)</v>
      </c>
      <c r="AS166">
        <f>IF(HRDataset_v14[[#This Row],[EmploymentStatus]]="Active",1,0)</f>
        <v>1</v>
      </c>
      <c r="AT166">
        <f>YEAR(HRDataset_v14[[#This Row],[DateofHire]])</f>
        <v>2016</v>
      </c>
      <c r="AU166">
        <f>MONTH(HRDataset_v14[[#This Row],[DateofHire]])</f>
        <v>1</v>
      </c>
      <c r="AV166" t="str">
        <f>"Q"&amp;ROUNDUP(MONTH(HRDataset_v14[[#This Row],[DateofHire]])/3,0)</f>
        <v>Q1</v>
      </c>
      <c r="AW166" t="str">
        <f>TEXT(HRDataset_v14[[#This Row],[DateofHire]],"MMM")</f>
        <v>Jan</v>
      </c>
      <c r="AX166" t="str">
        <f>TEXT(HRDataset_v14[[#This Row],[DateofHire]],"YYYY-MM")</f>
        <v>2016-01</v>
      </c>
      <c r="AY166" t="str">
        <f>IF(ISBLANK(HRDataset_v14[[#This Row],[DateofTermination]]),"N/A",YEAR(HRDataset_v14[[#This Row],[DateofTermination]]))</f>
        <v>N/A</v>
      </c>
      <c r="AZ166" t="str" cm="1">
        <f t="array" ref="AZ166">INDEX(_xlfn.UNIQUE(Z166:Z476),MATCH(MAX(COUNTIF(Z166:Z476,_xlfn.UNIQUE(Z166:Z476))),COUNTIF(Z166:Z476,_xlfn.UNIQUE(Z166:Z476)),0))</f>
        <v xml:space="preserve">Production       </v>
      </c>
      <c r="BA166">
        <f t="shared" si="24"/>
        <v>30</v>
      </c>
      <c r="BB166">
        <f t="shared" si="25"/>
        <v>0</v>
      </c>
      <c r="BC166" t="str">
        <f t="shared" si="20"/>
        <v>Medium</v>
      </c>
      <c r="BD166">
        <f t="shared" si="21"/>
        <v>4.0999999999999996</v>
      </c>
      <c r="BE166" t="str">
        <f t="shared" si="22"/>
        <v/>
      </c>
      <c r="BT166">
        <f t="shared" si="23"/>
        <v>4.0999999999999996</v>
      </c>
      <c r="BV166">
        <v>4.2</v>
      </c>
    </row>
    <row r="167" spans="1:74" x14ac:dyDescent="0.3">
      <c r="A167" t="s">
        <v>411</v>
      </c>
      <c r="B167">
        <v>10251</v>
      </c>
      <c r="C167">
        <v>1</v>
      </c>
      <c r="D167">
        <v>1</v>
      </c>
      <c r="E167">
        <v>1</v>
      </c>
      <c r="F167">
        <v>1</v>
      </c>
      <c r="G167">
        <v>5</v>
      </c>
      <c r="H167">
        <v>3</v>
      </c>
      <c r="I167">
        <v>0</v>
      </c>
      <c r="J167">
        <v>64738</v>
      </c>
      <c r="K167">
        <v>0</v>
      </c>
      <c r="L167">
        <v>19</v>
      </c>
      <c r="M167" t="s">
        <v>37</v>
      </c>
      <c r="N167" t="s">
        <v>38</v>
      </c>
      <c r="O167">
        <v>1776</v>
      </c>
      <c r="P167">
        <v>30196</v>
      </c>
      <c r="Q167" t="s">
        <v>39</v>
      </c>
      <c r="R167" t="s">
        <v>53</v>
      </c>
      <c r="S167" t="s">
        <v>41</v>
      </c>
      <c r="T167" t="s">
        <v>42</v>
      </c>
      <c r="U167" t="s">
        <v>132</v>
      </c>
      <c r="V167">
        <v>41043</v>
      </c>
      <c r="X167" t="s">
        <v>44</v>
      </c>
      <c r="Y167" t="s">
        <v>45</v>
      </c>
      <c r="Z167" t="s">
        <v>46</v>
      </c>
      <c r="AA167" t="s">
        <v>69</v>
      </c>
      <c r="AB167">
        <v>16</v>
      </c>
      <c r="AC167" t="s">
        <v>75</v>
      </c>
      <c r="AD167" t="s">
        <v>60</v>
      </c>
      <c r="AE167">
        <v>4.0999999999999996</v>
      </c>
      <c r="AF167">
        <v>3</v>
      </c>
      <c r="AG167">
        <v>0</v>
      </c>
      <c r="AH167" t="s">
        <v>182</v>
      </c>
      <c r="AI167">
        <v>0</v>
      </c>
      <c r="AJ167">
        <v>10</v>
      </c>
      <c r="AK167" t="str">
        <f t="shared" si="18"/>
        <v>Normal</v>
      </c>
      <c r="AL167" t="str">
        <f t="shared" si="19"/>
        <v>low Outlier</v>
      </c>
      <c r="AM167">
        <f ca="1">INT((TODAY()-HRDataset_v14[[#This Row],[DOB]])/365.25)</f>
        <v>43</v>
      </c>
      <c r="AN167">
        <f ca="1">DATEDIF(HRDataset_v14[[#This Row],[DateofHire]],TODAY(),"Y")</f>
        <v>13</v>
      </c>
      <c r="AO167">
        <f ca="1">IF(ISBLANK(HRDataset_v14[[#This Row],[DateofTermination]]),DATEDIF(HRDataset_v14[[#This Row],[DateofHire]],TODAY(),"Y"),DATEDIF(HRDataset_v14[[#This Row],[DateofHire]],HRDataset_v14[[#This Row],[DateofTermination]],"Y"))</f>
        <v>13</v>
      </c>
      <c r="AP167" t="str">
        <f ca="1">IF(HRDataset_v14[[#This Row],[Tenure in Years
]]&lt;1,"0-1 Year",IF(HRDataset_v14[[#This Row],[Tenure in Years
]]&lt;3,"1-3 Years",IF(HRDataset_v14[[#This Row],[Tenure in Years
]]&lt;5,"3-5 Years",IF(HRDataset_v14[[#This Row],[Tenure in Years
]]&lt;10,"5-10 Years","10+ Years"))))</f>
        <v>10+ Years</v>
      </c>
      <c r="AQ167" t="str">
        <f ca="1">IF(HRDataset_v14[[#This Row],[Age Calculation
]]&lt;26,"18-25",IF(HRDataset_v14[[#This Row],[Age Calculation
]]&lt;36,"26-35",IF(HRDataset_v14[[#This Row],[Age Calculation
]]&lt;46,"36-45",IF(HRDataset_v14[[#This Row],[Age Calculation
]]&lt;56,"46-55","55+"))))</f>
        <v>36-45</v>
      </c>
      <c r="AR167" t="str">
        <f>IF(HRDataset_v14[[#This Row],[Salary]]&lt;40000,"Entry (&lt;40K)",IF(HRDataset_v14[[#This Row],[Salary]]&lt;70000,"Mid (40-70K)",IF(HRDataset_v14[[#This Row],[Salary]]&lt;100000,"Senior (70-100K)","Executive (100K+)")))</f>
        <v>Mid (40-70K)</v>
      </c>
      <c r="AS167">
        <f>IF(HRDataset_v14[[#This Row],[EmploymentStatus]]="Active",1,0)</f>
        <v>1</v>
      </c>
      <c r="AT167">
        <f>YEAR(HRDataset_v14[[#This Row],[DateofHire]])</f>
        <v>2012</v>
      </c>
      <c r="AU167">
        <f>MONTH(HRDataset_v14[[#This Row],[DateofHire]])</f>
        <v>5</v>
      </c>
      <c r="AV167" t="str">
        <f>"Q"&amp;ROUNDUP(MONTH(HRDataset_v14[[#This Row],[DateofHire]])/3,0)</f>
        <v>Q2</v>
      </c>
      <c r="AW167" t="str">
        <f>TEXT(HRDataset_v14[[#This Row],[DateofHire]],"MMM")</f>
        <v>May</v>
      </c>
      <c r="AX167" t="str">
        <f>TEXT(HRDataset_v14[[#This Row],[DateofHire]],"YYYY-MM")</f>
        <v>2012-05</v>
      </c>
      <c r="AY167" t="str">
        <f>IF(ISBLANK(HRDataset_v14[[#This Row],[DateofTermination]]),"N/A",YEAR(HRDataset_v14[[#This Row],[DateofTermination]]))</f>
        <v>N/A</v>
      </c>
      <c r="AZ167" t="str" cm="1">
        <f t="array" ref="AZ167">INDEX(_xlfn.UNIQUE(Z167:Z477),MATCH(MAX(COUNTIF(Z167:Z477,_xlfn.UNIQUE(Z167:Z477))),COUNTIF(Z167:Z477,_xlfn.UNIQUE(Z167:Z477)),0))</f>
        <v xml:space="preserve">Production       </v>
      </c>
      <c r="BA167">
        <f t="shared" si="24"/>
        <v>33.333333333333329</v>
      </c>
      <c r="BB167">
        <f t="shared" si="25"/>
        <v>0</v>
      </c>
      <c r="BC167" t="str">
        <f t="shared" si="20"/>
        <v>Medium</v>
      </c>
      <c r="BD167">
        <f t="shared" si="21"/>
        <v>4.0999999999999996</v>
      </c>
      <c r="BE167" t="str">
        <f t="shared" si="22"/>
        <v/>
      </c>
      <c r="BT167">
        <f t="shared" si="23"/>
        <v>4.0999999999999996</v>
      </c>
      <c r="BV167">
        <v>2.6</v>
      </c>
    </row>
    <row r="168" spans="1:74" x14ac:dyDescent="0.3">
      <c r="A168" t="s">
        <v>412</v>
      </c>
      <c r="B168">
        <v>10103</v>
      </c>
      <c r="C168">
        <v>0</v>
      </c>
      <c r="D168">
        <v>3</v>
      </c>
      <c r="E168">
        <v>1</v>
      </c>
      <c r="F168">
        <v>1</v>
      </c>
      <c r="G168">
        <v>6</v>
      </c>
      <c r="H168">
        <v>3</v>
      </c>
      <c r="I168">
        <v>0</v>
      </c>
      <c r="J168">
        <v>70468</v>
      </c>
      <c r="K168">
        <v>0</v>
      </c>
      <c r="L168">
        <v>3</v>
      </c>
      <c r="M168" t="s">
        <v>169</v>
      </c>
      <c r="N168" t="s">
        <v>413</v>
      </c>
      <c r="O168">
        <v>84111</v>
      </c>
      <c r="P168">
        <v>32504</v>
      </c>
      <c r="Q168" t="s">
        <v>39</v>
      </c>
      <c r="R168" t="s">
        <v>166</v>
      </c>
      <c r="S168" t="s">
        <v>41</v>
      </c>
      <c r="T168" t="s">
        <v>42</v>
      </c>
      <c r="U168" t="s">
        <v>91</v>
      </c>
      <c r="V168">
        <v>41029</v>
      </c>
      <c r="X168" t="s">
        <v>44</v>
      </c>
      <c r="Y168" t="s">
        <v>45</v>
      </c>
      <c r="Z168" t="s">
        <v>171</v>
      </c>
      <c r="AA168" t="s">
        <v>172</v>
      </c>
      <c r="AB168">
        <v>17</v>
      </c>
      <c r="AC168" t="s">
        <v>254</v>
      </c>
      <c r="AD168" t="s">
        <v>60</v>
      </c>
      <c r="AE168">
        <v>4.53</v>
      </c>
      <c r="AF168">
        <v>3</v>
      </c>
      <c r="AG168">
        <v>0</v>
      </c>
      <c r="AH168" t="s">
        <v>255</v>
      </c>
      <c r="AI168">
        <v>0</v>
      </c>
      <c r="AJ168">
        <v>16</v>
      </c>
      <c r="AK168" t="str">
        <f t="shared" si="18"/>
        <v>Normal</v>
      </c>
      <c r="AL168" t="str">
        <f t="shared" si="19"/>
        <v>low Outlier</v>
      </c>
      <c r="AM168">
        <f ca="1">INT((TODAY()-HRDataset_v14[[#This Row],[DOB]])/365.25)</f>
        <v>37</v>
      </c>
      <c r="AN168">
        <f ca="1">DATEDIF(HRDataset_v14[[#This Row],[DateofHire]],TODAY(),"Y")</f>
        <v>13</v>
      </c>
      <c r="AO168">
        <f ca="1">IF(ISBLANK(HRDataset_v14[[#This Row],[DateofTermination]]),DATEDIF(HRDataset_v14[[#This Row],[DateofHire]],TODAY(),"Y"),DATEDIF(HRDataset_v14[[#This Row],[DateofHire]],HRDataset_v14[[#This Row],[DateofTermination]],"Y"))</f>
        <v>13</v>
      </c>
      <c r="AP168" t="str">
        <f ca="1">IF(HRDataset_v14[[#This Row],[Tenure in Years
]]&lt;1,"0-1 Year",IF(HRDataset_v14[[#This Row],[Tenure in Years
]]&lt;3,"1-3 Years",IF(HRDataset_v14[[#This Row],[Tenure in Years
]]&lt;5,"3-5 Years",IF(HRDataset_v14[[#This Row],[Tenure in Years
]]&lt;10,"5-10 Years","10+ Years"))))</f>
        <v>10+ Years</v>
      </c>
      <c r="AQ168" t="str">
        <f ca="1">IF(HRDataset_v14[[#This Row],[Age Calculation
]]&lt;26,"18-25",IF(HRDataset_v14[[#This Row],[Age Calculation
]]&lt;36,"26-35",IF(HRDataset_v14[[#This Row],[Age Calculation
]]&lt;46,"36-45",IF(HRDataset_v14[[#This Row],[Age Calculation
]]&lt;56,"46-55","55+"))))</f>
        <v>36-45</v>
      </c>
      <c r="AR168" t="str">
        <f>IF(HRDataset_v14[[#This Row],[Salary]]&lt;40000,"Entry (&lt;40K)",IF(HRDataset_v14[[#This Row],[Salary]]&lt;70000,"Mid (40-70K)",IF(HRDataset_v14[[#This Row],[Salary]]&lt;100000,"Senior (70-100K)","Executive (100K+)")))</f>
        <v>Senior (70-100K)</v>
      </c>
      <c r="AS168">
        <f>IF(HRDataset_v14[[#This Row],[EmploymentStatus]]="Active",1,0)</f>
        <v>1</v>
      </c>
      <c r="AT168">
        <f>YEAR(HRDataset_v14[[#This Row],[DateofHire]])</f>
        <v>2012</v>
      </c>
      <c r="AU168">
        <f>MONTH(HRDataset_v14[[#This Row],[DateofHire]])</f>
        <v>4</v>
      </c>
      <c r="AV168" t="str">
        <f>"Q"&amp;ROUNDUP(MONTH(HRDataset_v14[[#This Row],[DateofHire]])/3,0)</f>
        <v>Q2</v>
      </c>
      <c r="AW168" t="str">
        <f>TEXT(HRDataset_v14[[#This Row],[DateofHire]],"MMM")</f>
        <v>Apr</v>
      </c>
      <c r="AX168" t="str">
        <f>TEXT(HRDataset_v14[[#This Row],[DateofHire]],"YYYY-MM")</f>
        <v>2012-04</v>
      </c>
      <c r="AY168" t="str">
        <f>IF(ISBLANK(HRDataset_v14[[#This Row],[DateofTermination]]),"N/A",YEAR(HRDataset_v14[[#This Row],[DateofTermination]]))</f>
        <v>N/A</v>
      </c>
      <c r="AZ168" t="str" cm="1">
        <f t="array" ref="AZ168">INDEX(_xlfn.UNIQUE(Z168:Z478),MATCH(MAX(COUNTIF(Z168:Z478,_xlfn.UNIQUE(Z168:Z478))),COUNTIF(Z168:Z478,_xlfn.UNIQUE(Z168:Z478)),0))</f>
        <v xml:space="preserve">Production       </v>
      </c>
      <c r="BA168">
        <f t="shared" si="24"/>
        <v>0</v>
      </c>
      <c r="BB168">
        <f t="shared" si="25"/>
        <v>0</v>
      </c>
      <c r="BC168" t="str">
        <f t="shared" si="20"/>
        <v>Medium</v>
      </c>
      <c r="BD168">
        <f t="shared" si="21"/>
        <v>4.53</v>
      </c>
      <c r="BE168" t="str">
        <f t="shared" si="22"/>
        <v/>
      </c>
      <c r="BT168">
        <f t="shared" si="23"/>
        <v>4.53</v>
      </c>
      <c r="BV168">
        <v>4.0999999999999996</v>
      </c>
    </row>
    <row r="169" spans="1:74" x14ac:dyDescent="0.3">
      <c r="A169" t="s">
        <v>414</v>
      </c>
      <c r="B169">
        <v>10017</v>
      </c>
      <c r="C169">
        <v>1</v>
      </c>
      <c r="D169">
        <v>1</v>
      </c>
      <c r="E169">
        <v>0</v>
      </c>
      <c r="F169">
        <v>1</v>
      </c>
      <c r="G169">
        <v>5</v>
      </c>
      <c r="H169">
        <v>4</v>
      </c>
      <c r="I169">
        <v>0</v>
      </c>
      <c r="J169">
        <v>77915</v>
      </c>
      <c r="K169">
        <v>0</v>
      </c>
      <c r="L169">
        <v>18</v>
      </c>
      <c r="M169" t="s">
        <v>154</v>
      </c>
      <c r="N169" t="s">
        <v>38</v>
      </c>
      <c r="O169">
        <v>2110</v>
      </c>
      <c r="P169">
        <v>29885</v>
      </c>
      <c r="Q169" t="s">
        <v>64</v>
      </c>
      <c r="R169" t="s">
        <v>53</v>
      </c>
      <c r="S169" t="s">
        <v>41</v>
      </c>
      <c r="T169" t="s">
        <v>42</v>
      </c>
      <c r="U169" t="s">
        <v>43</v>
      </c>
      <c r="V169">
        <v>41547</v>
      </c>
      <c r="X169" t="s">
        <v>44</v>
      </c>
      <c r="Y169" t="s">
        <v>45</v>
      </c>
      <c r="Z169" t="s">
        <v>46</v>
      </c>
      <c r="AA169" t="s">
        <v>156</v>
      </c>
      <c r="AB169">
        <v>2</v>
      </c>
      <c r="AC169" t="s">
        <v>254</v>
      </c>
      <c r="AD169" t="s">
        <v>49</v>
      </c>
      <c r="AE169">
        <v>4.0999999999999996</v>
      </c>
      <c r="AF169">
        <v>3</v>
      </c>
      <c r="AG169">
        <v>0</v>
      </c>
      <c r="AH169" t="s">
        <v>167</v>
      </c>
      <c r="AI169">
        <v>0</v>
      </c>
      <c r="AJ169">
        <v>11</v>
      </c>
      <c r="AK169" t="str">
        <f t="shared" si="18"/>
        <v>Normal</v>
      </c>
      <c r="AL169" t="str">
        <f t="shared" si="19"/>
        <v>low Outlier</v>
      </c>
      <c r="AM169">
        <f ca="1">INT((TODAY()-HRDataset_v14[[#This Row],[DOB]])/365.25)</f>
        <v>44</v>
      </c>
      <c r="AN169">
        <f ca="1">DATEDIF(HRDataset_v14[[#This Row],[DateofHire]],TODAY(),"Y")</f>
        <v>12</v>
      </c>
      <c r="AO169">
        <f ca="1">IF(ISBLANK(HRDataset_v14[[#This Row],[DateofTermination]]),DATEDIF(HRDataset_v14[[#This Row],[DateofHire]],TODAY(),"Y"),DATEDIF(HRDataset_v14[[#This Row],[DateofHire]],HRDataset_v14[[#This Row],[DateofTermination]],"Y"))</f>
        <v>12</v>
      </c>
      <c r="AP169" t="str">
        <f ca="1">IF(HRDataset_v14[[#This Row],[Tenure in Years
]]&lt;1,"0-1 Year",IF(HRDataset_v14[[#This Row],[Tenure in Years
]]&lt;3,"1-3 Years",IF(HRDataset_v14[[#This Row],[Tenure in Years
]]&lt;5,"3-5 Years",IF(HRDataset_v14[[#This Row],[Tenure in Years
]]&lt;10,"5-10 Years","10+ Years"))))</f>
        <v>10+ Years</v>
      </c>
      <c r="AQ169" t="str">
        <f ca="1">IF(HRDataset_v14[[#This Row],[Age Calculation
]]&lt;26,"18-25",IF(HRDataset_v14[[#This Row],[Age Calculation
]]&lt;36,"26-35",IF(HRDataset_v14[[#This Row],[Age Calculation
]]&lt;46,"36-45",IF(HRDataset_v14[[#This Row],[Age Calculation
]]&lt;56,"46-55","55+"))))</f>
        <v>36-45</v>
      </c>
      <c r="AR169" t="str">
        <f>IF(HRDataset_v14[[#This Row],[Salary]]&lt;40000,"Entry (&lt;40K)",IF(HRDataset_v14[[#This Row],[Salary]]&lt;70000,"Mid (40-70K)",IF(HRDataset_v14[[#This Row],[Salary]]&lt;100000,"Senior (70-100K)","Executive (100K+)")))</f>
        <v>Senior (70-100K)</v>
      </c>
      <c r="AS169">
        <f>IF(HRDataset_v14[[#This Row],[EmploymentStatus]]="Active",1,0)</f>
        <v>1</v>
      </c>
      <c r="AT169">
        <f>YEAR(HRDataset_v14[[#This Row],[DateofHire]])</f>
        <v>2013</v>
      </c>
      <c r="AU169">
        <f>MONTH(HRDataset_v14[[#This Row],[DateofHire]])</f>
        <v>9</v>
      </c>
      <c r="AV169" t="str">
        <f>"Q"&amp;ROUNDUP(MONTH(HRDataset_v14[[#This Row],[DateofHire]])/3,0)</f>
        <v>Q3</v>
      </c>
      <c r="AW169" t="str">
        <f>TEXT(HRDataset_v14[[#This Row],[DateofHire]],"MMM")</f>
        <v>Sep</v>
      </c>
      <c r="AX169" t="str">
        <f>TEXT(HRDataset_v14[[#This Row],[DateofHire]],"YYYY-MM")</f>
        <v>2013-09</v>
      </c>
      <c r="AY169" t="str">
        <f>IF(ISBLANK(HRDataset_v14[[#This Row],[DateofTermination]]),"N/A",YEAR(HRDataset_v14[[#This Row],[DateofTermination]]))</f>
        <v>N/A</v>
      </c>
      <c r="AZ169" t="str" cm="1">
        <f t="array" ref="AZ169">INDEX(_xlfn.UNIQUE(Z169:Z479),MATCH(MAX(COUNTIF(Z169:Z479,_xlfn.UNIQUE(Z169:Z479))),COUNTIF(Z169:Z479,_xlfn.UNIQUE(Z169:Z479)),0))</f>
        <v xml:space="preserve">Production       </v>
      </c>
      <c r="BA169">
        <f t="shared" si="24"/>
        <v>33.333333333333329</v>
      </c>
      <c r="BB169">
        <f t="shared" si="25"/>
        <v>0</v>
      </c>
      <c r="BC169" t="str">
        <f t="shared" si="20"/>
        <v>Low</v>
      </c>
      <c r="BD169">
        <f t="shared" si="21"/>
        <v>4.0999999999999996</v>
      </c>
      <c r="BE169" t="str">
        <f t="shared" si="22"/>
        <v/>
      </c>
      <c r="BT169">
        <f t="shared" si="23"/>
        <v>4.0999999999999996</v>
      </c>
      <c r="BV169">
        <v>3.51</v>
      </c>
    </row>
    <row r="170" spans="1:74" x14ac:dyDescent="0.3">
      <c r="A170" t="s">
        <v>415</v>
      </c>
      <c r="B170">
        <v>10186</v>
      </c>
      <c r="C170">
        <v>1</v>
      </c>
      <c r="D170">
        <v>1</v>
      </c>
      <c r="E170">
        <v>0</v>
      </c>
      <c r="F170">
        <v>5</v>
      </c>
      <c r="G170">
        <v>5</v>
      </c>
      <c r="H170">
        <v>3</v>
      </c>
      <c r="I170">
        <v>0</v>
      </c>
      <c r="J170">
        <v>52624</v>
      </c>
      <c r="K170">
        <v>1</v>
      </c>
      <c r="L170">
        <v>19</v>
      </c>
      <c r="M170" t="s">
        <v>37</v>
      </c>
      <c r="N170" t="s">
        <v>38</v>
      </c>
      <c r="O170">
        <v>1886</v>
      </c>
      <c r="P170">
        <v>29671</v>
      </c>
      <c r="Q170" t="s">
        <v>64</v>
      </c>
      <c r="R170" t="s">
        <v>53</v>
      </c>
      <c r="S170" t="s">
        <v>41</v>
      </c>
      <c r="T170" t="s">
        <v>42</v>
      </c>
      <c r="U170" t="s">
        <v>43</v>
      </c>
      <c r="V170">
        <v>40729</v>
      </c>
      <c r="W170">
        <v>43369</v>
      </c>
      <c r="X170" t="s">
        <v>105</v>
      </c>
      <c r="Y170" t="s">
        <v>56</v>
      </c>
      <c r="Z170" t="s">
        <v>46</v>
      </c>
      <c r="AA170" t="s">
        <v>47</v>
      </c>
      <c r="AB170">
        <v>22</v>
      </c>
      <c r="AC170" t="s">
        <v>59</v>
      </c>
      <c r="AD170" t="s">
        <v>60</v>
      </c>
      <c r="AE170">
        <v>3.18</v>
      </c>
      <c r="AF170">
        <v>4</v>
      </c>
      <c r="AG170">
        <v>0</v>
      </c>
      <c r="AH170" t="s">
        <v>416</v>
      </c>
      <c r="AI170">
        <v>0</v>
      </c>
      <c r="AJ170">
        <v>16</v>
      </c>
      <c r="AK170" t="str">
        <f t="shared" si="18"/>
        <v>Normal</v>
      </c>
      <c r="AL170" t="str">
        <f t="shared" si="19"/>
        <v>low Outlier</v>
      </c>
      <c r="AM170">
        <f ca="1">INT((TODAY()-HRDataset_v14[[#This Row],[DOB]])/365.25)</f>
        <v>45</v>
      </c>
      <c r="AN170">
        <f ca="1">DATEDIF(HRDataset_v14[[#This Row],[DateofHire]],TODAY(),"Y")</f>
        <v>14</v>
      </c>
      <c r="AO170">
        <f ca="1">IF(ISBLANK(HRDataset_v14[[#This Row],[DateofTermination]]),DATEDIF(HRDataset_v14[[#This Row],[DateofHire]],TODAY(),"Y"),DATEDIF(HRDataset_v14[[#This Row],[DateofHire]],HRDataset_v14[[#This Row],[DateofTermination]],"Y"))</f>
        <v>7</v>
      </c>
      <c r="AP170" t="str">
        <f ca="1">IF(HRDataset_v14[[#This Row],[Tenure in Years
]]&lt;1,"0-1 Year",IF(HRDataset_v14[[#This Row],[Tenure in Years
]]&lt;3,"1-3 Years",IF(HRDataset_v14[[#This Row],[Tenure in Years
]]&lt;5,"3-5 Years",IF(HRDataset_v14[[#This Row],[Tenure in Years
]]&lt;10,"5-10 Years","10+ Years"))))</f>
        <v>10+ Years</v>
      </c>
      <c r="AQ170" t="str">
        <f ca="1">IF(HRDataset_v14[[#This Row],[Age Calculation
]]&lt;26,"18-25",IF(HRDataset_v14[[#This Row],[Age Calculation
]]&lt;36,"26-35",IF(HRDataset_v14[[#This Row],[Age Calculation
]]&lt;46,"36-45",IF(HRDataset_v14[[#This Row],[Age Calculation
]]&lt;56,"46-55","55+"))))</f>
        <v>36-45</v>
      </c>
      <c r="AR170" t="str">
        <f>IF(HRDataset_v14[[#This Row],[Salary]]&lt;40000,"Entry (&lt;40K)",IF(HRDataset_v14[[#This Row],[Salary]]&lt;70000,"Mid (40-70K)",IF(HRDataset_v14[[#This Row],[Salary]]&lt;100000,"Senior (70-100K)","Executive (100K+)")))</f>
        <v>Mid (40-70K)</v>
      </c>
      <c r="AS170">
        <f>IF(HRDataset_v14[[#This Row],[EmploymentStatus]]="Active",1,0)</f>
        <v>0</v>
      </c>
      <c r="AT170">
        <f>YEAR(HRDataset_v14[[#This Row],[DateofHire]])</f>
        <v>2011</v>
      </c>
      <c r="AU170">
        <f>MONTH(HRDataset_v14[[#This Row],[DateofHire]])</f>
        <v>7</v>
      </c>
      <c r="AV170" t="str">
        <f>"Q"&amp;ROUNDUP(MONTH(HRDataset_v14[[#This Row],[DateofHire]])/3,0)</f>
        <v>Q3</v>
      </c>
      <c r="AW170" t="str">
        <f>TEXT(HRDataset_v14[[#This Row],[DateofHire]],"MMM")</f>
        <v>Jul</v>
      </c>
      <c r="AX170" t="str">
        <f>TEXT(HRDataset_v14[[#This Row],[DateofHire]],"YYYY-MM")</f>
        <v>2011-07</v>
      </c>
      <c r="AY170">
        <f>IF(ISBLANK(HRDataset_v14[[#This Row],[DateofTermination]]),"N/A",YEAR(HRDataset_v14[[#This Row],[DateofTermination]]))</f>
        <v>2018</v>
      </c>
      <c r="AZ170" t="str" cm="1">
        <f t="array" ref="AZ170">INDEX(_xlfn.UNIQUE(Z170:Z480),MATCH(MAX(COUNTIF(Z170:Z480,_xlfn.UNIQUE(Z170:Z480))),COUNTIF(Z170:Z480,_xlfn.UNIQUE(Z170:Z480)),0))</f>
        <v xml:space="preserve">Production       </v>
      </c>
      <c r="BA170">
        <f t="shared" si="24"/>
        <v>50</v>
      </c>
      <c r="BB170">
        <f t="shared" si="25"/>
        <v>8</v>
      </c>
      <c r="BC170" t="str">
        <f t="shared" si="20"/>
        <v>Medium</v>
      </c>
      <c r="BD170" t="str">
        <f t="shared" si="21"/>
        <v/>
      </c>
      <c r="BE170">
        <f t="shared" si="22"/>
        <v>3.18</v>
      </c>
      <c r="BT170" t="str">
        <f t="shared" si="23"/>
        <v/>
      </c>
      <c r="BV170">
        <v>5</v>
      </c>
    </row>
    <row r="171" spans="1:74" x14ac:dyDescent="0.3">
      <c r="A171" t="s">
        <v>417</v>
      </c>
      <c r="B171">
        <v>10137</v>
      </c>
      <c r="C171">
        <v>1</v>
      </c>
      <c r="D171">
        <v>1</v>
      </c>
      <c r="E171">
        <v>1</v>
      </c>
      <c r="F171">
        <v>3</v>
      </c>
      <c r="G171">
        <v>5</v>
      </c>
      <c r="H171">
        <v>3</v>
      </c>
      <c r="I171">
        <v>0</v>
      </c>
      <c r="J171">
        <v>63450</v>
      </c>
      <c r="K171">
        <v>0</v>
      </c>
      <c r="L171">
        <v>20</v>
      </c>
      <c r="M171" t="s">
        <v>63</v>
      </c>
      <c r="N171" t="s">
        <v>38</v>
      </c>
      <c r="O171">
        <v>1770</v>
      </c>
      <c r="P171">
        <v>28933</v>
      </c>
      <c r="Q171" t="s">
        <v>39</v>
      </c>
      <c r="R171" t="s">
        <v>53</v>
      </c>
      <c r="S171" t="s">
        <v>41</v>
      </c>
      <c r="T171" t="s">
        <v>42</v>
      </c>
      <c r="U171" t="s">
        <v>43</v>
      </c>
      <c r="V171">
        <v>41463</v>
      </c>
      <c r="X171" t="s">
        <v>44</v>
      </c>
      <c r="Y171" t="s">
        <v>45</v>
      </c>
      <c r="Z171" t="s">
        <v>46</v>
      </c>
      <c r="AA171" t="s">
        <v>113</v>
      </c>
      <c r="AB171">
        <v>18</v>
      </c>
      <c r="AC171" t="s">
        <v>48</v>
      </c>
      <c r="AD171" t="s">
        <v>60</v>
      </c>
      <c r="AE171">
        <v>4</v>
      </c>
      <c r="AF171">
        <v>3</v>
      </c>
      <c r="AG171">
        <v>0</v>
      </c>
      <c r="AH171" t="s">
        <v>98</v>
      </c>
      <c r="AI171">
        <v>0</v>
      </c>
      <c r="AJ171">
        <v>7</v>
      </c>
      <c r="AK171" t="str">
        <f t="shared" si="18"/>
        <v>Normal</v>
      </c>
      <c r="AL171" t="str">
        <f t="shared" si="19"/>
        <v>low Outlier</v>
      </c>
      <c r="AM171">
        <f ca="1">INT((TODAY()-HRDataset_v14[[#This Row],[DOB]])/365.25)</f>
        <v>47</v>
      </c>
      <c r="AN171">
        <f ca="1">DATEDIF(HRDataset_v14[[#This Row],[DateofHire]],TODAY(),"Y")</f>
        <v>12</v>
      </c>
      <c r="AO171">
        <f ca="1">IF(ISBLANK(HRDataset_v14[[#This Row],[DateofTermination]]),DATEDIF(HRDataset_v14[[#This Row],[DateofHire]],TODAY(),"Y"),DATEDIF(HRDataset_v14[[#This Row],[DateofHire]],HRDataset_v14[[#This Row],[DateofTermination]],"Y"))</f>
        <v>12</v>
      </c>
      <c r="AP171" t="str">
        <f ca="1">IF(HRDataset_v14[[#This Row],[Tenure in Years
]]&lt;1,"0-1 Year",IF(HRDataset_v14[[#This Row],[Tenure in Years
]]&lt;3,"1-3 Years",IF(HRDataset_v14[[#This Row],[Tenure in Years
]]&lt;5,"3-5 Years",IF(HRDataset_v14[[#This Row],[Tenure in Years
]]&lt;10,"5-10 Years","10+ Years"))))</f>
        <v>10+ Years</v>
      </c>
      <c r="AQ171" t="str">
        <f ca="1">IF(HRDataset_v14[[#This Row],[Age Calculation
]]&lt;26,"18-25",IF(HRDataset_v14[[#This Row],[Age Calculation
]]&lt;36,"26-35",IF(HRDataset_v14[[#This Row],[Age Calculation
]]&lt;46,"36-45",IF(HRDataset_v14[[#This Row],[Age Calculation
]]&lt;56,"46-55","55+"))))</f>
        <v>46-55</v>
      </c>
      <c r="AR171" t="str">
        <f>IF(HRDataset_v14[[#This Row],[Salary]]&lt;40000,"Entry (&lt;40K)",IF(HRDataset_v14[[#This Row],[Salary]]&lt;70000,"Mid (40-70K)",IF(HRDataset_v14[[#This Row],[Salary]]&lt;100000,"Senior (70-100K)","Executive (100K+)")))</f>
        <v>Mid (40-70K)</v>
      </c>
      <c r="AS171">
        <f>IF(HRDataset_v14[[#This Row],[EmploymentStatus]]="Active",1,0)</f>
        <v>1</v>
      </c>
      <c r="AT171">
        <f>YEAR(HRDataset_v14[[#This Row],[DateofHire]])</f>
        <v>2013</v>
      </c>
      <c r="AU171">
        <f>MONTH(HRDataset_v14[[#This Row],[DateofHire]])</f>
        <v>7</v>
      </c>
      <c r="AV171" t="str">
        <f>"Q"&amp;ROUNDUP(MONTH(HRDataset_v14[[#This Row],[DateofHire]])/3,0)</f>
        <v>Q3</v>
      </c>
      <c r="AW171" t="str">
        <f>TEXT(HRDataset_v14[[#This Row],[DateofHire]],"MMM")</f>
        <v>Jul</v>
      </c>
      <c r="AX171" t="str">
        <f>TEXT(HRDataset_v14[[#This Row],[DateofHire]],"YYYY-MM")</f>
        <v>2013-07</v>
      </c>
      <c r="AY171" t="str">
        <f>IF(ISBLANK(HRDataset_v14[[#This Row],[DateofTermination]]),"N/A",YEAR(HRDataset_v14[[#This Row],[DateofTermination]]))</f>
        <v>N/A</v>
      </c>
      <c r="AZ171" t="str" cm="1">
        <f t="array" ref="AZ171">INDEX(_xlfn.UNIQUE(Z171:Z481),MATCH(MAX(COUNTIF(Z171:Z481,_xlfn.UNIQUE(Z171:Z481))),COUNTIF(Z171:Z481,_xlfn.UNIQUE(Z171:Z481)),0))</f>
        <v xml:space="preserve">Production       </v>
      </c>
      <c r="BA171">
        <f t="shared" si="24"/>
        <v>22.222222222222221</v>
      </c>
      <c r="BB171">
        <f t="shared" si="25"/>
        <v>0</v>
      </c>
      <c r="BC171" t="str">
        <f t="shared" si="20"/>
        <v>Medium</v>
      </c>
      <c r="BD171">
        <f t="shared" si="21"/>
        <v>4</v>
      </c>
      <c r="BE171" t="str">
        <f t="shared" si="22"/>
        <v/>
      </c>
      <c r="BT171">
        <f t="shared" si="23"/>
        <v>4</v>
      </c>
      <c r="BV171">
        <v>3.31</v>
      </c>
    </row>
    <row r="172" spans="1:74" x14ac:dyDescent="0.3">
      <c r="A172" t="s">
        <v>418</v>
      </c>
      <c r="B172">
        <v>10008</v>
      </c>
      <c r="C172">
        <v>0</v>
      </c>
      <c r="D172">
        <v>0</v>
      </c>
      <c r="E172">
        <v>0</v>
      </c>
      <c r="F172">
        <v>1</v>
      </c>
      <c r="G172">
        <v>3</v>
      </c>
      <c r="H172">
        <v>4</v>
      </c>
      <c r="I172">
        <v>1</v>
      </c>
      <c r="J172">
        <v>51777</v>
      </c>
      <c r="K172">
        <v>0</v>
      </c>
      <c r="L172">
        <v>14</v>
      </c>
      <c r="M172" t="s">
        <v>96</v>
      </c>
      <c r="N172" t="s">
        <v>146</v>
      </c>
      <c r="O172">
        <v>6070</v>
      </c>
      <c r="P172">
        <v>32421</v>
      </c>
      <c r="Q172" t="s">
        <v>64</v>
      </c>
      <c r="R172" t="s">
        <v>40</v>
      </c>
      <c r="S172" t="s">
        <v>41</v>
      </c>
      <c r="T172" t="s">
        <v>100</v>
      </c>
      <c r="U172" t="s">
        <v>91</v>
      </c>
      <c r="V172">
        <v>40564</v>
      </c>
      <c r="X172" t="s">
        <v>44</v>
      </c>
      <c r="Y172" t="s">
        <v>45</v>
      </c>
      <c r="Z172" t="s">
        <v>57</v>
      </c>
      <c r="AA172" t="s">
        <v>205</v>
      </c>
      <c r="AB172">
        <v>6</v>
      </c>
      <c r="AC172" t="s">
        <v>93</v>
      </c>
      <c r="AD172" t="s">
        <v>49</v>
      </c>
      <c r="AE172">
        <v>4.6399999999999997</v>
      </c>
      <c r="AF172">
        <v>4</v>
      </c>
      <c r="AG172">
        <v>5</v>
      </c>
      <c r="AH172" t="s">
        <v>94</v>
      </c>
      <c r="AI172">
        <v>0</v>
      </c>
      <c r="AJ172">
        <v>14</v>
      </c>
      <c r="AK172" t="str">
        <f t="shared" si="18"/>
        <v>Normal</v>
      </c>
      <c r="AL172" t="str">
        <f t="shared" si="19"/>
        <v>low Outlier</v>
      </c>
      <c r="AM172">
        <f ca="1">INT((TODAY()-HRDataset_v14[[#This Row],[DOB]])/365.25)</f>
        <v>37</v>
      </c>
      <c r="AN172">
        <f ca="1">DATEDIF(HRDataset_v14[[#This Row],[DateofHire]],TODAY(),"Y")</f>
        <v>15</v>
      </c>
      <c r="AO172">
        <f ca="1">IF(ISBLANK(HRDataset_v14[[#This Row],[DateofTermination]]),DATEDIF(HRDataset_v14[[#This Row],[DateofHire]],TODAY(),"Y"),DATEDIF(HRDataset_v14[[#This Row],[DateofHire]],HRDataset_v14[[#This Row],[DateofTermination]],"Y"))</f>
        <v>15</v>
      </c>
      <c r="AP172" t="str">
        <f ca="1">IF(HRDataset_v14[[#This Row],[Tenure in Years
]]&lt;1,"0-1 Year",IF(HRDataset_v14[[#This Row],[Tenure in Years
]]&lt;3,"1-3 Years",IF(HRDataset_v14[[#This Row],[Tenure in Years
]]&lt;5,"3-5 Years",IF(HRDataset_v14[[#This Row],[Tenure in Years
]]&lt;10,"5-10 Years","10+ Years"))))</f>
        <v>10+ Years</v>
      </c>
      <c r="AQ172" t="str">
        <f ca="1">IF(HRDataset_v14[[#This Row],[Age Calculation
]]&lt;26,"18-25",IF(HRDataset_v14[[#This Row],[Age Calculation
]]&lt;36,"26-35",IF(HRDataset_v14[[#This Row],[Age Calculation
]]&lt;46,"36-45",IF(HRDataset_v14[[#This Row],[Age Calculation
]]&lt;56,"46-55","55+"))))</f>
        <v>36-45</v>
      </c>
      <c r="AR172" t="str">
        <f>IF(HRDataset_v14[[#This Row],[Salary]]&lt;40000,"Entry (&lt;40K)",IF(HRDataset_v14[[#This Row],[Salary]]&lt;70000,"Mid (40-70K)",IF(HRDataset_v14[[#This Row],[Salary]]&lt;100000,"Senior (70-100K)","Executive (100K+)")))</f>
        <v>Mid (40-70K)</v>
      </c>
      <c r="AS172">
        <f>IF(HRDataset_v14[[#This Row],[EmploymentStatus]]="Active",1,0)</f>
        <v>1</v>
      </c>
      <c r="AT172">
        <f>YEAR(HRDataset_v14[[#This Row],[DateofHire]])</f>
        <v>2011</v>
      </c>
      <c r="AU172">
        <f>MONTH(HRDataset_v14[[#This Row],[DateofHire]])</f>
        <v>1</v>
      </c>
      <c r="AV172" t="str">
        <f>"Q"&amp;ROUNDUP(MONTH(HRDataset_v14[[#This Row],[DateofHire]])/3,0)</f>
        <v>Q1</v>
      </c>
      <c r="AW172" t="str">
        <f>TEXT(HRDataset_v14[[#This Row],[DateofHire]],"MMM")</f>
        <v>Jan</v>
      </c>
      <c r="AX172" t="str">
        <f>TEXT(HRDataset_v14[[#This Row],[DateofHire]],"YYYY-MM")</f>
        <v>2011-01</v>
      </c>
      <c r="AY172" t="str">
        <f>IF(ISBLANK(HRDataset_v14[[#This Row],[DateofTermination]]),"N/A",YEAR(HRDataset_v14[[#This Row],[DateofTermination]]))</f>
        <v>N/A</v>
      </c>
      <c r="AZ172" t="str" cm="1">
        <f t="array" ref="AZ172">INDEX(_xlfn.UNIQUE(Z172:Z482),MATCH(MAX(COUNTIF(Z172:Z482,_xlfn.UNIQUE(Z172:Z482))),COUNTIF(Z172:Z482,_xlfn.UNIQUE(Z172:Z482)),0))</f>
        <v xml:space="preserve">Production       </v>
      </c>
      <c r="BA172">
        <f t="shared" si="24"/>
        <v>0</v>
      </c>
      <c r="BB172">
        <f t="shared" si="25"/>
        <v>0</v>
      </c>
      <c r="BC172" t="str">
        <f t="shared" si="20"/>
        <v>Low</v>
      </c>
      <c r="BD172">
        <f t="shared" si="21"/>
        <v>4.6399999999999997</v>
      </c>
      <c r="BE172" t="str">
        <f t="shared" si="22"/>
        <v/>
      </c>
      <c r="BT172">
        <f t="shared" si="23"/>
        <v>4.6399999999999997</v>
      </c>
      <c r="BV172">
        <v>4.8099999999999996</v>
      </c>
    </row>
    <row r="173" spans="1:74" x14ac:dyDescent="0.3">
      <c r="A173" t="s">
        <v>419</v>
      </c>
      <c r="B173">
        <v>10096</v>
      </c>
      <c r="C173">
        <v>0</v>
      </c>
      <c r="D173">
        <v>4</v>
      </c>
      <c r="E173">
        <v>0</v>
      </c>
      <c r="F173">
        <v>5</v>
      </c>
      <c r="G173">
        <v>5</v>
      </c>
      <c r="H173">
        <v>3</v>
      </c>
      <c r="I173">
        <v>0</v>
      </c>
      <c r="J173">
        <v>67237</v>
      </c>
      <c r="K173">
        <v>1</v>
      </c>
      <c r="L173">
        <v>20</v>
      </c>
      <c r="M173" t="s">
        <v>63</v>
      </c>
      <c r="N173" t="s">
        <v>38</v>
      </c>
      <c r="O173">
        <v>2122</v>
      </c>
      <c r="P173">
        <v>28120</v>
      </c>
      <c r="Q173" t="s">
        <v>64</v>
      </c>
      <c r="R173" t="s">
        <v>86</v>
      </c>
      <c r="S173" t="s">
        <v>41</v>
      </c>
      <c r="T173" t="s">
        <v>42</v>
      </c>
      <c r="U173" t="s">
        <v>43</v>
      </c>
      <c r="V173">
        <v>41463</v>
      </c>
      <c r="W173">
        <v>42628</v>
      </c>
      <c r="X173" t="s">
        <v>243</v>
      </c>
      <c r="Y173" t="s">
        <v>56</v>
      </c>
      <c r="Z173" t="s">
        <v>46</v>
      </c>
      <c r="AA173" t="s">
        <v>47</v>
      </c>
      <c r="AB173">
        <v>22</v>
      </c>
      <c r="AC173" t="s">
        <v>48</v>
      </c>
      <c r="AD173" t="s">
        <v>60</v>
      </c>
      <c r="AE173">
        <v>4.6500000000000004</v>
      </c>
      <c r="AF173">
        <v>4</v>
      </c>
      <c r="AG173">
        <v>0</v>
      </c>
      <c r="AH173" t="s">
        <v>420</v>
      </c>
      <c r="AI173">
        <v>0</v>
      </c>
      <c r="AJ173">
        <v>15</v>
      </c>
      <c r="AK173" t="str">
        <f t="shared" si="18"/>
        <v>Normal</v>
      </c>
      <c r="AL173" t="str">
        <f t="shared" si="19"/>
        <v>low Outlier</v>
      </c>
      <c r="AM173">
        <f ca="1">INT((TODAY()-HRDataset_v14[[#This Row],[DOB]])/365.25)</f>
        <v>49</v>
      </c>
      <c r="AN173">
        <f ca="1">DATEDIF(HRDataset_v14[[#This Row],[DateofHire]],TODAY(),"Y")</f>
        <v>12</v>
      </c>
      <c r="AO173">
        <f ca="1">IF(ISBLANK(HRDataset_v14[[#This Row],[DateofTermination]]),DATEDIF(HRDataset_v14[[#This Row],[DateofHire]],TODAY(),"Y"),DATEDIF(HRDataset_v14[[#This Row],[DateofHire]],HRDataset_v14[[#This Row],[DateofTermination]],"Y"))</f>
        <v>3</v>
      </c>
      <c r="AP173" t="str">
        <f ca="1">IF(HRDataset_v14[[#This Row],[Tenure in Years
]]&lt;1,"0-1 Year",IF(HRDataset_v14[[#This Row],[Tenure in Years
]]&lt;3,"1-3 Years",IF(HRDataset_v14[[#This Row],[Tenure in Years
]]&lt;5,"3-5 Years",IF(HRDataset_v14[[#This Row],[Tenure in Years
]]&lt;10,"5-10 Years","10+ Years"))))</f>
        <v>10+ Years</v>
      </c>
      <c r="AQ173" t="str">
        <f ca="1">IF(HRDataset_v14[[#This Row],[Age Calculation
]]&lt;26,"18-25",IF(HRDataset_v14[[#This Row],[Age Calculation
]]&lt;36,"26-35",IF(HRDataset_v14[[#This Row],[Age Calculation
]]&lt;46,"36-45",IF(HRDataset_v14[[#This Row],[Age Calculation
]]&lt;56,"46-55","55+"))))</f>
        <v>46-55</v>
      </c>
      <c r="AR173" t="str">
        <f>IF(HRDataset_v14[[#This Row],[Salary]]&lt;40000,"Entry (&lt;40K)",IF(HRDataset_v14[[#This Row],[Salary]]&lt;70000,"Mid (40-70K)",IF(HRDataset_v14[[#This Row],[Salary]]&lt;100000,"Senior (70-100K)","Executive (100K+)")))</f>
        <v>Mid (40-70K)</v>
      </c>
      <c r="AS173">
        <f>IF(HRDataset_v14[[#This Row],[EmploymentStatus]]="Active",1,0)</f>
        <v>0</v>
      </c>
      <c r="AT173">
        <f>YEAR(HRDataset_v14[[#This Row],[DateofHire]])</f>
        <v>2013</v>
      </c>
      <c r="AU173">
        <f>MONTH(HRDataset_v14[[#This Row],[DateofHire]])</f>
        <v>7</v>
      </c>
      <c r="AV173" t="str">
        <f>"Q"&amp;ROUNDUP(MONTH(HRDataset_v14[[#This Row],[DateofHire]])/3,0)</f>
        <v>Q3</v>
      </c>
      <c r="AW173" t="str">
        <f>TEXT(HRDataset_v14[[#This Row],[DateofHire]],"MMM")</f>
        <v>Jul</v>
      </c>
      <c r="AX173" t="str">
        <f>TEXT(HRDataset_v14[[#This Row],[DateofHire]],"YYYY-MM")</f>
        <v>2013-07</v>
      </c>
      <c r="AY173">
        <f>IF(ISBLANK(HRDataset_v14[[#This Row],[DateofTermination]]),"N/A",YEAR(HRDataset_v14[[#This Row],[DateofTermination]]))</f>
        <v>2016</v>
      </c>
      <c r="AZ173" t="str" cm="1">
        <f t="array" ref="AZ173">INDEX(_xlfn.UNIQUE(Z173:Z483),MATCH(MAX(COUNTIF(Z173:Z483,_xlfn.UNIQUE(Z173:Z483))),COUNTIF(Z173:Z483,_xlfn.UNIQUE(Z173:Z483)),0))</f>
        <v xml:space="preserve">Production       </v>
      </c>
      <c r="BA173">
        <f t="shared" si="24"/>
        <v>44.444444444444443</v>
      </c>
      <c r="BB173">
        <f t="shared" si="25"/>
        <v>5</v>
      </c>
      <c r="BC173" t="str">
        <f t="shared" si="20"/>
        <v>Medium</v>
      </c>
      <c r="BD173" t="str">
        <f t="shared" si="21"/>
        <v/>
      </c>
      <c r="BE173">
        <f t="shared" si="22"/>
        <v>4.6500000000000004</v>
      </c>
      <c r="BT173" t="str">
        <f t="shared" si="23"/>
        <v/>
      </c>
      <c r="BV173">
        <v>3.32</v>
      </c>
    </row>
    <row r="174" spans="1:74" x14ac:dyDescent="0.3">
      <c r="A174" t="s">
        <v>421</v>
      </c>
      <c r="B174">
        <v>10035</v>
      </c>
      <c r="C174">
        <v>0</v>
      </c>
      <c r="D174">
        <v>0</v>
      </c>
      <c r="E174">
        <v>0</v>
      </c>
      <c r="F174">
        <v>1</v>
      </c>
      <c r="G174">
        <v>5</v>
      </c>
      <c r="H174">
        <v>4</v>
      </c>
      <c r="I174">
        <v>0</v>
      </c>
      <c r="J174">
        <v>73330</v>
      </c>
      <c r="K174">
        <v>0</v>
      </c>
      <c r="L174">
        <v>20</v>
      </c>
      <c r="M174" t="s">
        <v>63</v>
      </c>
      <c r="N174" t="s">
        <v>38</v>
      </c>
      <c r="O174">
        <v>2324</v>
      </c>
      <c r="P174">
        <v>30038</v>
      </c>
      <c r="Q174" t="s">
        <v>64</v>
      </c>
      <c r="R174" t="s">
        <v>40</v>
      </c>
      <c r="S174" t="s">
        <v>41</v>
      </c>
      <c r="T174" t="s">
        <v>42</v>
      </c>
      <c r="U174" t="s">
        <v>91</v>
      </c>
      <c r="V174">
        <v>41505</v>
      </c>
      <c r="X174" t="s">
        <v>44</v>
      </c>
      <c r="Y174" t="s">
        <v>45</v>
      </c>
      <c r="Z174" t="s">
        <v>46</v>
      </c>
      <c r="AA174" t="s">
        <v>69</v>
      </c>
      <c r="AB174">
        <v>16</v>
      </c>
      <c r="AC174" t="s">
        <v>59</v>
      </c>
      <c r="AD174" t="s">
        <v>49</v>
      </c>
      <c r="AE174">
        <v>4.2</v>
      </c>
      <c r="AF174">
        <v>4</v>
      </c>
      <c r="AG174">
        <v>0</v>
      </c>
      <c r="AH174" t="s">
        <v>190</v>
      </c>
      <c r="AI174">
        <v>0</v>
      </c>
      <c r="AJ174">
        <v>19</v>
      </c>
      <c r="AK174" t="str">
        <f t="shared" si="18"/>
        <v>Normal</v>
      </c>
      <c r="AL174" t="str">
        <f t="shared" si="19"/>
        <v>low Outlier</v>
      </c>
      <c r="AM174">
        <f ca="1">INT((TODAY()-HRDataset_v14[[#This Row],[DOB]])/365.25)</f>
        <v>44</v>
      </c>
      <c r="AN174">
        <f ca="1">DATEDIF(HRDataset_v14[[#This Row],[DateofHire]],TODAY(),"Y")</f>
        <v>12</v>
      </c>
      <c r="AO174">
        <f ca="1">IF(ISBLANK(HRDataset_v14[[#This Row],[DateofTermination]]),DATEDIF(HRDataset_v14[[#This Row],[DateofHire]],TODAY(),"Y"),DATEDIF(HRDataset_v14[[#This Row],[DateofHire]],HRDataset_v14[[#This Row],[DateofTermination]],"Y"))</f>
        <v>12</v>
      </c>
      <c r="AP174" t="str">
        <f ca="1">IF(HRDataset_v14[[#This Row],[Tenure in Years
]]&lt;1,"0-1 Year",IF(HRDataset_v14[[#This Row],[Tenure in Years
]]&lt;3,"1-3 Years",IF(HRDataset_v14[[#This Row],[Tenure in Years
]]&lt;5,"3-5 Years",IF(HRDataset_v14[[#This Row],[Tenure in Years
]]&lt;10,"5-10 Years","10+ Years"))))</f>
        <v>10+ Years</v>
      </c>
      <c r="AQ174" t="str">
        <f ca="1">IF(HRDataset_v14[[#This Row],[Age Calculation
]]&lt;26,"18-25",IF(HRDataset_v14[[#This Row],[Age Calculation
]]&lt;36,"26-35",IF(HRDataset_v14[[#This Row],[Age Calculation
]]&lt;46,"36-45",IF(HRDataset_v14[[#This Row],[Age Calculation
]]&lt;56,"46-55","55+"))))</f>
        <v>36-45</v>
      </c>
      <c r="AR174" t="str">
        <f>IF(HRDataset_v14[[#This Row],[Salary]]&lt;40000,"Entry (&lt;40K)",IF(HRDataset_v14[[#This Row],[Salary]]&lt;70000,"Mid (40-70K)",IF(HRDataset_v14[[#This Row],[Salary]]&lt;100000,"Senior (70-100K)","Executive (100K+)")))</f>
        <v>Senior (70-100K)</v>
      </c>
      <c r="AS174">
        <f>IF(HRDataset_v14[[#This Row],[EmploymentStatus]]="Active",1,0)</f>
        <v>1</v>
      </c>
      <c r="AT174">
        <f>YEAR(HRDataset_v14[[#This Row],[DateofHire]])</f>
        <v>2013</v>
      </c>
      <c r="AU174">
        <f>MONTH(HRDataset_v14[[#This Row],[DateofHire]])</f>
        <v>8</v>
      </c>
      <c r="AV174" t="str">
        <f>"Q"&amp;ROUNDUP(MONTH(HRDataset_v14[[#This Row],[DateofHire]])/3,0)</f>
        <v>Q3</v>
      </c>
      <c r="AW174" t="str">
        <f>TEXT(HRDataset_v14[[#This Row],[DateofHire]],"MMM")</f>
        <v>Aug</v>
      </c>
      <c r="AX174" t="str">
        <f>TEXT(HRDataset_v14[[#This Row],[DateofHire]],"YYYY-MM")</f>
        <v>2013-08</v>
      </c>
      <c r="AY174" t="str">
        <f>IF(ISBLANK(HRDataset_v14[[#This Row],[DateofTermination]]),"N/A",YEAR(HRDataset_v14[[#This Row],[DateofTermination]]))</f>
        <v>N/A</v>
      </c>
      <c r="AZ174" t="str" cm="1">
        <f t="array" ref="AZ174">INDEX(_xlfn.UNIQUE(Z174:Z484),MATCH(MAX(COUNTIF(Z174:Z484,_xlfn.UNIQUE(Z174:Z484))),COUNTIF(Z174:Z484,_xlfn.UNIQUE(Z174:Z484)),0))</f>
        <v xml:space="preserve">Production       </v>
      </c>
      <c r="BA174">
        <f t="shared" si="24"/>
        <v>36.363636363636367</v>
      </c>
      <c r="BB174">
        <f t="shared" si="25"/>
        <v>0</v>
      </c>
      <c r="BC174" t="str">
        <f t="shared" si="20"/>
        <v>Low</v>
      </c>
      <c r="BD174">
        <f t="shared" si="21"/>
        <v>4.2</v>
      </c>
      <c r="BE174" t="str">
        <f t="shared" si="22"/>
        <v/>
      </c>
      <c r="BT174">
        <f t="shared" si="23"/>
        <v>4.2</v>
      </c>
      <c r="BV174">
        <v>5</v>
      </c>
    </row>
    <row r="175" spans="1:74" x14ac:dyDescent="0.3">
      <c r="A175" t="s">
        <v>422</v>
      </c>
      <c r="B175">
        <v>10057</v>
      </c>
      <c r="C175">
        <v>1</v>
      </c>
      <c r="D175">
        <v>1</v>
      </c>
      <c r="E175">
        <v>0</v>
      </c>
      <c r="F175">
        <v>3</v>
      </c>
      <c r="G175">
        <v>5</v>
      </c>
      <c r="H175">
        <v>3</v>
      </c>
      <c r="I175">
        <v>0</v>
      </c>
      <c r="J175">
        <v>52057</v>
      </c>
      <c r="K175">
        <v>0</v>
      </c>
      <c r="L175">
        <v>19</v>
      </c>
      <c r="M175" t="s">
        <v>37</v>
      </c>
      <c r="N175" t="s">
        <v>38</v>
      </c>
      <c r="O175">
        <v>2122</v>
      </c>
      <c r="P175">
        <v>27689</v>
      </c>
      <c r="Q175" t="s">
        <v>64</v>
      </c>
      <c r="R175" t="s">
        <v>53</v>
      </c>
      <c r="S175" t="s">
        <v>41</v>
      </c>
      <c r="T175" t="s">
        <v>42</v>
      </c>
      <c r="U175" t="s">
        <v>91</v>
      </c>
      <c r="V175">
        <v>42051</v>
      </c>
      <c r="X175" t="s">
        <v>44</v>
      </c>
      <c r="Y175" t="s">
        <v>45</v>
      </c>
      <c r="Z175" t="s">
        <v>46</v>
      </c>
      <c r="AA175" t="s">
        <v>69</v>
      </c>
      <c r="AB175">
        <v>16</v>
      </c>
      <c r="AC175" t="s">
        <v>254</v>
      </c>
      <c r="AD175" t="s">
        <v>60</v>
      </c>
      <c r="AE175">
        <v>5</v>
      </c>
      <c r="AF175">
        <v>3</v>
      </c>
      <c r="AG175">
        <v>0</v>
      </c>
      <c r="AH175" t="s">
        <v>250</v>
      </c>
      <c r="AI175">
        <v>0</v>
      </c>
      <c r="AJ175">
        <v>6</v>
      </c>
      <c r="AK175" t="str">
        <f t="shared" si="18"/>
        <v>Normal</v>
      </c>
      <c r="AL175" t="str">
        <f t="shared" si="19"/>
        <v>low Outlier</v>
      </c>
      <c r="AM175">
        <f ca="1">INT((TODAY()-HRDataset_v14[[#This Row],[DOB]])/365.25)</f>
        <v>50</v>
      </c>
      <c r="AN175">
        <f ca="1">DATEDIF(HRDataset_v14[[#This Row],[DateofHire]],TODAY(),"Y")</f>
        <v>11</v>
      </c>
      <c r="AO175">
        <f ca="1">IF(ISBLANK(HRDataset_v14[[#This Row],[DateofTermination]]),DATEDIF(HRDataset_v14[[#This Row],[DateofHire]],TODAY(),"Y"),DATEDIF(HRDataset_v14[[#This Row],[DateofHire]],HRDataset_v14[[#This Row],[DateofTermination]],"Y"))</f>
        <v>11</v>
      </c>
      <c r="AP175" t="str">
        <f ca="1">IF(HRDataset_v14[[#This Row],[Tenure in Years
]]&lt;1,"0-1 Year",IF(HRDataset_v14[[#This Row],[Tenure in Years
]]&lt;3,"1-3 Years",IF(HRDataset_v14[[#This Row],[Tenure in Years
]]&lt;5,"3-5 Years",IF(HRDataset_v14[[#This Row],[Tenure in Years
]]&lt;10,"5-10 Years","10+ Years"))))</f>
        <v>10+ Years</v>
      </c>
      <c r="AQ175" t="str">
        <f ca="1">IF(HRDataset_v14[[#This Row],[Age Calculation
]]&lt;26,"18-25",IF(HRDataset_v14[[#This Row],[Age Calculation
]]&lt;36,"26-35",IF(HRDataset_v14[[#This Row],[Age Calculation
]]&lt;46,"36-45",IF(HRDataset_v14[[#This Row],[Age Calculation
]]&lt;56,"46-55","55+"))))</f>
        <v>46-55</v>
      </c>
      <c r="AR175" t="str">
        <f>IF(HRDataset_v14[[#This Row],[Salary]]&lt;40000,"Entry (&lt;40K)",IF(HRDataset_v14[[#This Row],[Salary]]&lt;70000,"Mid (40-70K)",IF(HRDataset_v14[[#This Row],[Salary]]&lt;100000,"Senior (70-100K)","Executive (100K+)")))</f>
        <v>Mid (40-70K)</v>
      </c>
      <c r="AS175">
        <f>IF(HRDataset_v14[[#This Row],[EmploymentStatus]]="Active",1,0)</f>
        <v>1</v>
      </c>
      <c r="AT175">
        <f>YEAR(HRDataset_v14[[#This Row],[DateofHire]])</f>
        <v>2015</v>
      </c>
      <c r="AU175">
        <f>MONTH(HRDataset_v14[[#This Row],[DateofHire]])</f>
        <v>2</v>
      </c>
      <c r="AV175" t="str">
        <f>"Q"&amp;ROUNDUP(MONTH(HRDataset_v14[[#This Row],[DateofHire]])/3,0)</f>
        <v>Q1</v>
      </c>
      <c r="AW175" t="str">
        <f>TEXT(HRDataset_v14[[#This Row],[DateofHire]],"MMM")</f>
        <v>Feb</v>
      </c>
      <c r="AX175" t="str">
        <f>TEXT(HRDataset_v14[[#This Row],[DateofHire]],"YYYY-MM")</f>
        <v>2015-02</v>
      </c>
      <c r="AY175" t="str">
        <f>IF(ISBLANK(HRDataset_v14[[#This Row],[DateofTermination]]),"N/A",YEAR(HRDataset_v14[[#This Row],[DateofTermination]]))</f>
        <v>N/A</v>
      </c>
      <c r="AZ175" t="str" cm="1">
        <f t="array" ref="AZ175">INDEX(_xlfn.UNIQUE(Z175:Z485),MATCH(MAX(COUNTIF(Z175:Z485,_xlfn.UNIQUE(Z175:Z485))),COUNTIF(Z175:Z485,_xlfn.UNIQUE(Z175:Z485)),0))</f>
        <v xml:space="preserve">Production       </v>
      </c>
      <c r="BA175">
        <f t="shared" si="24"/>
        <v>40</v>
      </c>
      <c r="BB175">
        <f t="shared" si="25"/>
        <v>0</v>
      </c>
      <c r="BC175" t="str">
        <f t="shared" si="20"/>
        <v>Medium</v>
      </c>
      <c r="BD175">
        <f t="shared" si="21"/>
        <v>5</v>
      </c>
      <c r="BE175" t="str">
        <f t="shared" si="22"/>
        <v/>
      </c>
      <c r="BT175">
        <f t="shared" si="23"/>
        <v>5</v>
      </c>
      <c r="BV175">
        <v>4.3</v>
      </c>
    </row>
    <row r="176" spans="1:74" x14ac:dyDescent="0.3">
      <c r="A176" t="s">
        <v>423</v>
      </c>
      <c r="B176">
        <v>10004</v>
      </c>
      <c r="C176">
        <v>0</v>
      </c>
      <c r="D176">
        <v>0</v>
      </c>
      <c r="E176">
        <v>0</v>
      </c>
      <c r="F176">
        <v>5</v>
      </c>
      <c r="G176">
        <v>5</v>
      </c>
      <c r="H176">
        <v>4</v>
      </c>
      <c r="I176">
        <v>1</v>
      </c>
      <c r="J176">
        <v>47434</v>
      </c>
      <c r="K176">
        <v>1</v>
      </c>
      <c r="L176">
        <v>19</v>
      </c>
      <c r="M176" t="s">
        <v>37</v>
      </c>
      <c r="N176" t="s">
        <v>38</v>
      </c>
      <c r="O176">
        <v>1844</v>
      </c>
      <c r="P176">
        <v>26709</v>
      </c>
      <c r="Q176" t="s">
        <v>64</v>
      </c>
      <c r="R176" t="s">
        <v>40</v>
      </c>
      <c r="S176" t="s">
        <v>41</v>
      </c>
      <c r="T176" t="s">
        <v>100</v>
      </c>
      <c r="U176" t="s">
        <v>91</v>
      </c>
      <c r="V176">
        <v>40854</v>
      </c>
      <c r="W176">
        <v>42322</v>
      </c>
      <c r="X176" t="s">
        <v>101</v>
      </c>
      <c r="Y176" t="s">
        <v>56</v>
      </c>
      <c r="Z176" t="s">
        <v>46</v>
      </c>
      <c r="AA176" t="s">
        <v>74</v>
      </c>
      <c r="AB176">
        <v>39</v>
      </c>
      <c r="AC176" t="s">
        <v>93</v>
      </c>
      <c r="AD176" t="s">
        <v>49</v>
      </c>
      <c r="AE176">
        <v>5</v>
      </c>
      <c r="AF176">
        <v>4</v>
      </c>
      <c r="AG176">
        <v>0</v>
      </c>
      <c r="AH176" t="s">
        <v>424</v>
      </c>
      <c r="AI176">
        <v>0</v>
      </c>
      <c r="AJ176">
        <v>17</v>
      </c>
      <c r="AK176" t="str">
        <f t="shared" si="18"/>
        <v>Normal</v>
      </c>
      <c r="AL176" t="str">
        <f t="shared" si="19"/>
        <v>low Outlier</v>
      </c>
      <c r="AM176">
        <f ca="1">INT((TODAY()-HRDataset_v14[[#This Row],[DOB]])/365.25)</f>
        <v>53</v>
      </c>
      <c r="AN176">
        <f ca="1">DATEDIF(HRDataset_v14[[#This Row],[DateofHire]],TODAY(),"Y")</f>
        <v>14</v>
      </c>
      <c r="AO176">
        <f ca="1">IF(ISBLANK(HRDataset_v14[[#This Row],[DateofTermination]]),DATEDIF(HRDataset_v14[[#This Row],[DateofHire]],TODAY(),"Y"),DATEDIF(HRDataset_v14[[#This Row],[DateofHire]],HRDataset_v14[[#This Row],[DateofTermination]],"Y"))</f>
        <v>4</v>
      </c>
      <c r="AP176" t="str">
        <f ca="1">IF(HRDataset_v14[[#This Row],[Tenure in Years
]]&lt;1,"0-1 Year",IF(HRDataset_v14[[#This Row],[Tenure in Years
]]&lt;3,"1-3 Years",IF(HRDataset_v14[[#This Row],[Tenure in Years
]]&lt;5,"3-5 Years",IF(HRDataset_v14[[#This Row],[Tenure in Years
]]&lt;10,"5-10 Years","10+ Years"))))</f>
        <v>10+ Years</v>
      </c>
      <c r="AQ176" t="str">
        <f ca="1">IF(HRDataset_v14[[#This Row],[Age Calculation
]]&lt;26,"18-25",IF(HRDataset_v14[[#This Row],[Age Calculation
]]&lt;36,"26-35",IF(HRDataset_v14[[#This Row],[Age Calculation
]]&lt;46,"36-45",IF(HRDataset_v14[[#This Row],[Age Calculation
]]&lt;56,"46-55","55+"))))</f>
        <v>46-55</v>
      </c>
      <c r="AR176" t="str">
        <f>IF(HRDataset_v14[[#This Row],[Salary]]&lt;40000,"Entry (&lt;40K)",IF(HRDataset_v14[[#This Row],[Salary]]&lt;70000,"Mid (40-70K)",IF(HRDataset_v14[[#This Row],[Salary]]&lt;100000,"Senior (70-100K)","Executive (100K+)")))</f>
        <v>Mid (40-70K)</v>
      </c>
      <c r="AS176">
        <f>IF(HRDataset_v14[[#This Row],[EmploymentStatus]]="Active",1,0)</f>
        <v>0</v>
      </c>
      <c r="AT176">
        <f>YEAR(HRDataset_v14[[#This Row],[DateofHire]])</f>
        <v>2011</v>
      </c>
      <c r="AU176">
        <f>MONTH(HRDataset_v14[[#This Row],[DateofHire]])</f>
        <v>11</v>
      </c>
      <c r="AV176" t="str">
        <f>"Q"&amp;ROUNDUP(MONTH(HRDataset_v14[[#This Row],[DateofHire]])/3,0)</f>
        <v>Q4</v>
      </c>
      <c r="AW176" t="str">
        <f>TEXT(HRDataset_v14[[#This Row],[DateofHire]],"MMM")</f>
        <v>Nov</v>
      </c>
      <c r="AX176" t="str">
        <f>TEXT(HRDataset_v14[[#This Row],[DateofHire]],"YYYY-MM")</f>
        <v>2011-11</v>
      </c>
      <c r="AY176">
        <f>IF(ISBLANK(HRDataset_v14[[#This Row],[DateofTermination]]),"N/A",YEAR(HRDataset_v14[[#This Row],[DateofTermination]]))</f>
        <v>2015</v>
      </c>
      <c r="AZ176" t="str" cm="1">
        <f t="array" ref="AZ176">INDEX(_xlfn.UNIQUE(Z176:Z486),MATCH(MAX(COUNTIF(Z176:Z486,_xlfn.UNIQUE(Z176:Z486))),COUNTIF(Z176:Z486,_xlfn.UNIQUE(Z176:Z486)),0))</f>
        <v xml:space="preserve">Production       </v>
      </c>
      <c r="BA176">
        <f t="shared" si="24"/>
        <v>70</v>
      </c>
      <c r="BB176">
        <f t="shared" si="25"/>
        <v>15</v>
      </c>
      <c r="BC176" t="str">
        <f t="shared" si="20"/>
        <v>Low</v>
      </c>
      <c r="BD176" t="str">
        <f t="shared" si="21"/>
        <v/>
      </c>
      <c r="BE176">
        <f t="shared" si="22"/>
        <v>5</v>
      </c>
      <c r="BT176" t="str">
        <f t="shared" si="23"/>
        <v/>
      </c>
      <c r="BV176">
        <v>2.4</v>
      </c>
    </row>
    <row r="177" spans="1:74" x14ac:dyDescent="0.3">
      <c r="A177" t="s">
        <v>425</v>
      </c>
      <c r="B177">
        <v>10191</v>
      </c>
      <c r="C177">
        <v>0</v>
      </c>
      <c r="D177">
        <v>4</v>
      </c>
      <c r="E177">
        <v>1</v>
      </c>
      <c r="F177">
        <v>5</v>
      </c>
      <c r="G177">
        <v>5</v>
      </c>
      <c r="H177">
        <v>3</v>
      </c>
      <c r="I177">
        <v>0</v>
      </c>
      <c r="J177">
        <v>52788</v>
      </c>
      <c r="K177">
        <v>1</v>
      </c>
      <c r="L177">
        <v>19</v>
      </c>
      <c r="M177" t="s">
        <v>37</v>
      </c>
      <c r="N177" t="s">
        <v>38</v>
      </c>
      <c r="O177">
        <v>1938</v>
      </c>
      <c r="P177">
        <v>26612</v>
      </c>
      <c r="Q177" t="s">
        <v>39</v>
      </c>
      <c r="R177" t="s">
        <v>86</v>
      </c>
      <c r="S177" t="s">
        <v>41</v>
      </c>
      <c r="T177" t="s">
        <v>42</v>
      </c>
      <c r="U177" t="s">
        <v>43</v>
      </c>
      <c r="V177">
        <v>41176</v>
      </c>
      <c r="W177">
        <v>43004</v>
      </c>
      <c r="X177" t="s">
        <v>65</v>
      </c>
      <c r="Y177" t="s">
        <v>56</v>
      </c>
      <c r="Z177" t="s">
        <v>46</v>
      </c>
      <c r="AA177" t="s">
        <v>78</v>
      </c>
      <c r="AB177">
        <v>11</v>
      </c>
      <c r="AC177" t="s">
        <v>59</v>
      </c>
      <c r="AD177" t="s">
        <v>60</v>
      </c>
      <c r="AE177">
        <v>3.08</v>
      </c>
      <c r="AF177">
        <v>4</v>
      </c>
      <c r="AG177">
        <v>0</v>
      </c>
      <c r="AH177" t="s">
        <v>426</v>
      </c>
      <c r="AI177">
        <v>0</v>
      </c>
      <c r="AJ177">
        <v>18</v>
      </c>
      <c r="AK177" t="str">
        <f t="shared" si="18"/>
        <v>Normal</v>
      </c>
      <c r="AL177" t="str">
        <f t="shared" si="19"/>
        <v>low Outlier</v>
      </c>
      <c r="AM177">
        <f ca="1">INT((TODAY()-HRDataset_v14[[#This Row],[DOB]])/365.25)</f>
        <v>53</v>
      </c>
      <c r="AN177">
        <f ca="1">DATEDIF(HRDataset_v14[[#This Row],[DateofHire]],TODAY(),"Y")</f>
        <v>13</v>
      </c>
      <c r="AO177">
        <f ca="1">IF(ISBLANK(HRDataset_v14[[#This Row],[DateofTermination]]),DATEDIF(HRDataset_v14[[#This Row],[DateofHire]],TODAY(),"Y"),DATEDIF(HRDataset_v14[[#This Row],[DateofHire]],HRDataset_v14[[#This Row],[DateofTermination]],"Y"))</f>
        <v>5</v>
      </c>
      <c r="AP177" t="str">
        <f ca="1">IF(HRDataset_v14[[#This Row],[Tenure in Years
]]&lt;1,"0-1 Year",IF(HRDataset_v14[[#This Row],[Tenure in Years
]]&lt;3,"1-3 Years",IF(HRDataset_v14[[#This Row],[Tenure in Years
]]&lt;5,"3-5 Years",IF(HRDataset_v14[[#This Row],[Tenure in Years
]]&lt;10,"5-10 Years","10+ Years"))))</f>
        <v>10+ Years</v>
      </c>
      <c r="AQ177" t="str">
        <f ca="1">IF(HRDataset_v14[[#This Row],[Age Calculation
]]&lt;26,"18-25",IF(HRDataset_v14[[#This Row],[Age Calculation
]]&lt;36,"26-35",IF(HRDataset_v14[[#This Row],[Age Calculation
]]&lt;46,"36-45",IF(HRDataset_v14[[#This Row],[Age Calculation
]]&lt;56,"46-55","55+"))))</f>
        <v>46-55</v>
      </c>
      <c r="AR177" t="str">
        <f>IF(HRDataset_v14[[#This Row],[Salary]]&lt;40000,"Entry (&lt;40K)",IF(HRDataset_v14[[#This Row],[Salary]]&lt;70000,"Mid (40-70K)",IF(HRDataset_v14[[#This Row],[Salary]]&lt;100000,"Senior (70-100K)","Executive (100K+)")))</f>
        <v>Mid (40-70K)</v>
      </c>
      <c r="AS177">
        <f>IF(HRDataset_v14[[#This Row],[EmploymentStatus]]="Active",1,0)</f>
        <v>0</v>
      </c>
      <c r="AT177">
        <f>YEAR(HRDataset_v14[[#This Row],[DateofHire]])</f>
        <v>2012</v>
      </c>
      <c r="AU177">
        <f>MONTH(HRDataset_v14[[#This Row],[DateofHire]])</f>
        <v>9</v>
      </c>
      <c r="AV177" t="str">
        <f>"Q"&amp;ROUNDUP(MONTH(HRDataset_v14[[#This Row],[DateofHire]])/3,0)</f>
        <v>Q3</v>
      </c>
      <c r="AW177" t="str">
        <f>TEXT(HRDataset_v14[[#This Row],[DateofHire]],"MMM")</f>
        <v>Sep</v>
      </c>
      <c r="AX177" t="str">
        <f>TEXT(HRDataset_v14[[#This Row],[DateofHire]],"YYYY-MM")</f>
        <v>2012-09</v>
      </c>
      <c r="AY177">
        <f>IF(ISBLANK(HRDataset_v14[[#This Row],[DateofTermination]]),"N/A",YEAR(HRDataset_v14[[#This Row],[DateofTermination]]))</f>
        <v>2017</v>
      </c>
      <c r="AZ177" t="str" cm="1">
        <f t="array" ref="AZ177">INDEX(_xlfn.UNIQUE(Z177:Z487),MATCH(MAX(COUNTIF(Z177:Z487,_xlfn.UNIQUE(Z177:Z487))),COUNTIF(Z177:Z487,_xlfn.UNIQUE(Z177:Z487)),0))</f>
        <v xml:space="preserve">Production       </v>
      </c>
      <c r="BA177">
        <f t="shared" si="24"/>
        <v>90</v>
      </c>
      <c r="BB177">
        <f t="shared" si="25"/>
        <v>4</v>
      </c>
      <c r="BC177" t="str">
        <f t="shared" si="20"/>
        <v>Medium</v>
      </c>
      <c r="BD177" t="str">
        <f t="shared" si="21"/>
        <v/>
      </c>
      <c r="BE177">
        <f t="shared" si="22"/>
        <v>3.08</v>
      </c>
      <c r="BT177" t="str">
        <f t="shared" si="23"/>
        <v/>
      </c>
      <c r="BV177">
        <v>3.73</v>
      </c>
    </row>
    <row r="178" spans="1:74" x14ac:dyDescent="0.3">
      <c r="A178" t="s">
        <v>427</v>
      </c>
      <c r="B178">
        <v>10219</v>
      </c>
      <c r="C178">
        <v>0</v>
      </c>
      <c r="D178">
        <v>0</v>
      </c>
      <c r="E178">
        <v>0</v>
      </c>
      <c r="F178">
        <v>1</v>
      </c>
      <c r="G178">
        <v>5</v>
      </c>
      <c r="H178">
        <v>3</v>
      </c>
      <c r="I178">
        <v>0</v>
      </c>
      <c r="J178">
        <v>45395</v>
      </c>
      <c r="K178">
        <v>0</v>
      </c>
      <c r="L178">
        <v>19</v>
      </c>
      <c r="M178" t="s">
        <v>37</v>
      </c>
      <c r="N178" t="s">
        <v>38</v>
      </c>
      <c r="O178">
        <v>2189</v>
      </c>
      <c r="P178">
        <v>31600</v>
      </c>
      <c r="Q178" t="s">
        <v>64</v>
      </c>
      <c r="R178" t="s">
        <v>40</v>
      </c>
      <c r="S178" t="s">
        <v>41</v>
      </c>
      <c r="T178" t="s">
        <v>42</v>
      </c>
      <c r="U178" t="s">
        <v>43</v>
      </c>
      <c r="V178">
        <v>41645</v>
      </c>
      <c r="X178" t="s">
        <v>44</v>
      </c>
      <c r="Y178" t="s">
        <v>45</v>
      </c>
      <c r="Z178" t="s">
        <v>46</v>
      </c>
      <c r="AA178" t="s">
        <v>87</v>
      </c>
      <c r="AB178">
        <v>19</v>
      </c>
      <c r="AC178" t="s">
        <v>48</v>
      </c>
      <c r="AD178" t="s">
        <v>60</v>
      </c>
      <c r="AE178">
        <v>4.5999999999999996</v>
      </c>
      <c r="AF178">
        <v>4</v>
      </c>
      <c r="AG178">
        <v>0</v>
      </c>
      <c r="AH178" t="s">
        <v>308</v>
      </c>
      <c r="AI178">
        <v>0</v>
      </c>
      <c r="AJ178">
        <v>14</v>
      </c>
      <c r="AK178" t="str">
        <f t="shared" si="18"/>
        <v>Normal</v>
      </c>
      <c r="AL178" t="str">
        <f t="shared" si="19"/>
        <v>low Outlier</v>
      </c>
      <c r="AM178">
        <f ca="1">INT((TODAY()-HRDataset_v14[[#This Row],[DOB]])/365.25)</f>
        <v>39</v>
      </c>
      <c r="AN178">
        <f ca="1">DATEDIF(HRDataset_v14[[#This Row],[DateofHire]],TODAY(),"Y")</f>
        <v>12</v>
      </c>
      <c r="AO178">
        <f ca="1">IF(ISBLANK(HRDataset_v14[[#This Row],[DateofTermination]]),DATEDIF(HRDataset_v14[[#This Row],[DateofHire]],TODAY(),"Y"),DATEDIF(HRDataset_v14[[#This Row],[DateofHire]],HRDataset_v14[[#This Row],[DateofTermination]],"Y"))</f>
        <v>12</v>
      </c>
      <c r="AP178" t="str">
        <f ca="1">IF(HRDataset_v14[[#This Row],[Tenure in Years
]]&lt;1,"0-1 Year",IF(HRDataset_v14[[#This Row],[Tenure in Years
]]&lt;3,"1-3 Years",IF(HRDataset_v14[[#This Row],[Tenure in Years
]]&lt;5,"3-5 Years",IF(HRDataset_v14[[#This Row],[Tenure in Years
]]&lt;10,"5-10 Years","10+ Years"))))</f>
        <v>10+ Years</v>
      </c>
      <c r="AQ178" t="str">
        <f ca="1">IF(HRDataset_v14[[#This Row],[Age Calculation
]]&lt;26,"18-25",IF(HRDataset_v14[[#This Row],[Age Calculation
]]&lt;36,"26-35",IF(HRDataset_v14[[#This Row],[Age Calculation
]]&lt;46,"36-45",IF(HRDataset_v14[[#This Row],[Age Calculation
]]&lt;56,"46-55","55+"))))</f>
        <v>36-45</v>
      </c>
      <c r="AR178" t="str">
        <f>IF(HRDataset_v14[[#This Row],[Salary]]&lt;40000,"Entry (&lt;40K)",IF(HRDataset_v14[[#This Row],[Salary]]&lt;70000,"Mid (40-70K)",IF(HRDataset_v14[[#This Row],[Salary]]&lt;100000,"Senior (70-100K)","Executive (100K+)")))</f>
        <v>Mid (40-70K)</v>
      </c>
      <c r="AS178">
        <f>IF(HRDataset_v14[[#This Row],[EmploymentStatus]]="Active",1,0)</f>
        <v>1</v>
      </c>
      <c r="AT178">
        <f>YEAR(HRDataset_v14[[#This Row],[DateofHire]])</f>
        <v>2014</v>
      </c>
      <c r="AU178">
        <f>MONTH(HRDataset_v14[[#This Row],[DateofHire]])</f>
        <v>1</v>
      </c>
      <c r="AV178" t="str">
        <f>"Q"&amp;ROUNDUP(MONTH(HRDataset_v14[[#This Row],[DateofHire]])/3,0)</f>
        <v>Q1</v>
      </c>
      <c r="AW178" t="str">
        <f>TEXT(HRDataset_v14[[#This Row],[DateofHire]],"MMM")</f>
        <v>Jan</v>
      </c>
      <c r="AX178" t="str">
        <f>TEXT(HRDataset_v14[[#This Row],[DateofHire]],"YYYY-MM")</f>
        <v>2014-01</v>
      </c>
      <c r="AY178" t="str">
        <f>IF(ISBLANK(HRDataset_v14[[#This Row],[DateofTermination]]),"N/A",YEAR(HRDataset_v14[[#This Row],[DateofTermination]]))</f>
        <v>N/A</v>
      </c>
      <c r="AZ178" t="str" cm="1">
        <f t="array" ref="AZ178">INDEX(_xlfn.UNIQUE(Z178:Z488),MATCH(MAX(COUNTIF(Z178:Z488,_xlfn.UNIQUE(Z178:Z488))),COUNTIF(Z178:Z488,_xlfn.UNIQUE(Z178:Z488)),0))</f>
        <v xml:space="preserve">Production       </v>
      </c>
      <c r="BA178">
        <f t="shared" si="24"/>
        <v>44.444444444444443</v>
      </c>
      <c r="BB178">
        <f t="shared" si="25"/>
        <v>0</v>
      </c>
      <c r="BC178" t="str">
        <f t="shared" si="20"/>
        <v>Medium</v>
      </c>
      <c r="BD178">
        <f t="shared" si="21"/>
        <v>4.5999999999999996</v>
      </c>
      <c r="BE178" t="str">
        <f t="shared" si="22"/>
        <v/>
      </c>
      <c r="BT178">
        <f t="shared" si="23"/>
        <v>4.5999999999999996</v>
      </c>
      <c r="BV178">
        <v>4.3</v>
      </c>
    </row>
    <row r="179" spans="1:74" x14ac:dyDescent="0.3">
      <c r="A179" t="s">
        <v>428</v>
      </c>
      <c r="B179">
        <v>10077</v>
      </c>
      <c r="C179">
        <v>1</v>
      </c>
      <c r="D179">
        <v>1</v>
      </c>
      <c r="E179">
        <v>0</v>
      </c>
      <c r="F179">
        <v>2</v>
      </c>
      <c r="G179">
        <v>5</v>
      </c>
      <c r="H179">
        <v>3</v>
      </c>
      <c r="I179">
        <v>0</v>
      </c>
      <c r="J179">
        <v>62385</v>
      </c>
      <c r="K179">
        <v>0</v>
      </c>
      <c r="L179">
        <v>20</v>
      </c>
      <c r="M179" t="s">
        <v>63</v>
      </c>
      <c r="N179" t="s">
        <v>38</v>
      </c>
      <c r="O179">
        <v>2324</v>
      </c>
      <c r="P179">
        <v>27997</v>
      </c>
      <c r="Q179" t="s">
        <v>64</v>
      </c>
      <c r="R179" t="s">
        <v>53</v>
      </c>
      <c r="S179" t="s">
        <v>41</v>
      </c>
      <c r="T179" t="s">
        <v>42</v>
      </c>
      <c r="U179" t="s">
        <v>43</v>
      </c>
      <c r="V179">
        <v>42501</v>
      </c>
      <c r="X179" t="s">
        <v>44</v>
      </c>
      <c r="Y179" t="s">
        <v>45</v>
      </c>
      <c r="Z179" t="s">
        <v>46</v>
      </c>
      <c r="AA179" t="s">
        <v>74</v>
      </c>
      <c r="AC179" t="s">
        <v>48</v>
      </c>
      <c r="AD179" t="s">
        <v>60</v>
      </c>
      <c r="AE179">
        <v>5</v>
      </c>
      <c r="AF179">
        <v>3</v>
      </c>
      <c r="AG179">
        <v>0</v>
      </c>
      <c r="AH179" t="s">
        <v>167</v>
      </c>
      <c r="AI179">
        <v>0</v>
      </c>
      <c r="AJ179">
        <v>4</v>
      </c>
      <c r="AK179" t="str">
        <f t="shared" si="18"/>
        <v>Normal</v>
      </c>
      <c r="AL179" t="str">
        <f t="shared" si="19"/>
        <v>low Outlier</v>
      </c>
      <c r="AM179">
        <f ca="1">INT((TODAY()-HRDataset_v14[[#This Row],[DOB]])/365.25)</f>
        <v>49</v>
      </c>
      <c r="AN179">
        <f ca="1">DATEDIF(HRDataset_v14[[#This Row],[DateofHire]],TODAY(),"Y")</f>
        <v>9</v>
      </c>
      <c r="AO179">
        <f ca="1">IF(ISBLANK(HRDataset_v14[[#This Row],[DateofTermination]]),DATEDIF(HRDataset_v14[[#This Row],[DateofHire]],TODAY(),"Y"),DATEDIF(HRDataset_v14[[#This Row],[DateofHire]],HRDataset_v14[[#This Row],[DateofTermination]],"Y"))</f>
        <v>9</v>
      </c>
      <c r="AP179" t="str">
        <f ca="1">IF(HRDataset_v14[[#This Row],[Tenure in Years
]]&lt;1,"0-1 Year",IF(HRDataset_v14[[#This Row],[Tenure in Years
]]&lt;3,"1-3 Years",IF(HRDataset_v14[[#This Row],[Tenure in Years
]]&lt;5,"3-5 Years",IF(HRDataset_v14[[#This Row],[Tenure in Years
]]&lt;10,"5-10 Years","10+ Years"))))</f>
        <v>5-10 Years</v>
      </c>
      <c r="AQ179" t="str">
        <f ca="1">IF(HRDataset_v14[[#This Row],[Age Calculation
]]&lt;26,"18-25",IF(HRDataset_v14[[#This Row],[Age Calculation
]]&lt;36,"26-35",IF(HRDataset_v14[[#This Row],[Age Calculation
]]&lt;46,"36-45",IF(HRDataset_v14[[#This Row],[Age Calculation
]]&lt;56,"46-55","55+"))))</f>
        <v>46-55</v>
      </c>
      <c r="AR179" t="str">
        <f>IF(HRDataset_v14[[#This Row],[Salary]]&lt;40000,"Entry (&lt;40K)",IF(HRDataset_v14[[#This Row],[Salary]]&lt;70000,"Mid (40-70K)",IF(HRDataset_v14[[#This Row],[Salary]]&lt;100000,"Senior (70-100K)","Executive (100K+)")))</f>
        <v>Mid (40-70K)</v>
      </c>
      <c r="AS179">
        <f>IF(HRDataset_v14[[#This Row],[EmploymentStatus]]="Active",1,0)</f>
        <v>1</v>
      </c>
      <c r="AT179">
        <f>YEAR(HRDataset_v14[[#This Row],[DateofHire]])</f>
        <v>2016</v>
      </c>
      <c r="AU179">
        <f>MONTH(HRDataset_v14[[#This Row],[DateofHire]])</f>
        <v>5</v>
      </c>
      <c r="AV179" t="str">
        <f>"Q"&amp;ROUNDUP(MONTH(HRDataset_v14[[#This Row],[DateofHire]])/3,0)</f>
        <v>Q2</v>
      </c>
      <c r="AW179" t="str">
        <f>TEXT(HRDataset_v14[[#This Row],[DateofHire]],"MMM")</f>
        <v>May</v>
      </c>
      <c r="AX179" t="str">
        <f>TEXT(HRDataset_v14[[#This Row],[DateofHire]],"YYYY-MM")</f>
        <v>2016-05</v>
      </c>
      <c r="AY179" t="str">
        <f>IF(ISBLANK(HRDataset_v14[[#This Row],[DateofTermination]]),"N/A",YEAR(HRDataset_v14[[#This Row],[DateofTermination]]))</f>
        <v>N/A</v>
      </c>
      <c r="AZ179" t="str" cm="1">
        <f t="array" ref="AZ179">INDEX(_xlfn.UNIQUE(Z179:Z489),MATCH(MAX(COUNTIF(Z179:Z489,_xlfn.UNIQUE(Z179:Z489))),COUNTIF(Z179:Z489,_xlfn.UNIQUE(Z179:Z489)),0))</f>
        <v xml:space="preserve">Production       </v>
      </c>
      <c r="BA179">
        <f t="shared" si="24"/>
        <v>66.666666666666657</v>
      </c>
      <c r="BB179">
        <f t="shared" si="25"/>
        <v>0</v>
      </c>
      <c r="BC179" t="str">
        <f t="shared" si="20"/>
        <v>Medium</v>
      </c>
      <c r="BD179">
        <f t="shared" si="21"/>
        <v>5</v>
      </c>
      <c r="BE179" t="str">
        <f t="shared" si="22"/>
        <v/>
      </c>
      <c r="BT179">
        <f t="shared" si="23"/>
        <v>5</v>
      </c>
      <c r="BV179">
        <v>3.27</v>
      </c>
    </row>
    <row r="180" spans="1:74" x14ac:dyDescent="0.3">
      <c r="A180" t="s">
        <v>429</v>
      </c>
      <c r="B180">
        <v>10073</v>
      </c>
      <c r="C180">
        <v>1</v>
      </c>
      <c r="D180">
        <v>1</v>
      </c>
      <c r="E180">
        <v>0</v>
      </c>
      <c r="F180">
        <v>5</v>
      </c>
      <c r="G180">
        <v>5</v>
      </c>
      <c r="H180">
        <v>3</v>
      </c>
      <c r="I180">
        <v>0</v>
      </c>
      <c r="J180">
        <v>68407</v>
      </c>
      <c r="K180">
        <v>1</v>
      </c>
      <c r="L180">
        <v>20</v>
      </c>
      <c r="M180" t="s">
        <v>63</v>
      </c>
      <c r="N180" t="s">
        <v>38</v>
      </c>
      <c r="O180">
        <v>2176</v>
      </c>
      <c r="P180">
        <v>31756</v>
      </c>
      <c r="Q180" t="s">
        <v>64</v>
      </c>
      <c r="R180" t="s">
        <v>53</v>
      </c>
      <c r="S180" t="s">
        <v>41</v>
      </c>
      <c r="T180" t="s">
        <v>42</v>
      </c>
      <c r="U180" t="s">
        <v>111</v>
      </c>
      <c r="V180">
        <v>40729</v>
      </c>
      <c r="W180">
        <v>41140</v>
      </c>
      <c r="X180" t="s">
        <v>101</v>
      </c>
      <c r="Y180" t="s">
        <v>56</v>
      </c>
      <c r="Z180" t="s">
        <v>46</v>
      </c>
      <c r="AA180" t="s">
        <v>78</v>
      </c>
      <c r="AB180">
        <v>11</v>
      </c>
      <c r="AC180" t="s">
        <v>48</v>
      </c>
      <c r="AD180" t="s">
        <v>60</v>
      </c>
      <c r="AE180">
        <v>5</v>
      </c>
      <c r="AF180">
        <v>4</v>
      </c>
      <c r="AG180">
        <v>0</v>
      </c>
      <c r="AH180" t="s">
        <v>232</v>
      </c>
      <c r="AI180">
        <v>0</v>
      </c>
      <c r="AJ180">
        <v>16</v>
      </c>
      <c r="AK180" t="str">
        <f t="shared" si="18"/>
        <v>Normal</v>
      </c>
      <c r="AL180" t="str">
        <f t="shared" si="19"/>
        <v>low Outlier</v>
      </c>
      <c r="AM180">
        <f ca="1">INT((TODAY()-HRDataset_v14[[#This Row],[DOB]])/365.25)</f>
        <v>39</v>
      </c>
      <c r="AN180">
        <f ca="1">DATEDIF(HRDataset_v14[[#This Row],[DateofHire]],TODAY(),"Y")</f>
        <v>14</v>
      </c>
      <c r="AO180">
        <f ca="1">IF(ISBLANK(HRDataset_v14[[#This Row],[DateofTermination]]),DATEDIF(HRDataset_v14[[#This Row],[DateofHire]],TODAY(),"Y"),DATEDIF(HRDataset_v14[[#This Row],[DateofHire]],HRDataset_v14[[#This Row],[DateofTermination]],"Y"))</f>
        <v>1</v>
      </c>
      <c r="AP180" t="str">
        <f ca="1">IF(HRDataset_v14[[#This Row],[Tenure in Years
]]&lt;1,"0-1 Year",IF(HRDataset_v14[[#This Row],[Tenure in Years
]]&lt;3,"1-3 Years",IF(HRDataset_v14[[#This Row],[Tenure in Years
]]&lt;5,"3-5 Years",IF(HRDataset_v14[[#This Row],[Tenure in Years
]]&lt;10,"5-10 Years","10+ Years"))))</f>
        <v>10+ Years</v>
      </c>
      <c r="AQ180" t="str">
        <f ca="1">IF(HRDataset_v14[[#This Row],[Age Calculation
]]&lt;26,"18-25",IF(HRDataset_v14[[#This Row],[Age Calculation
]]&lt;36,"26-35",IF(HRDataset_v14[[#This Row],[Age Calculation
]]&lt;46,"36-45",IF(HRDataset_v14[[#This Row],[Age Calculation
]]&lt;56,"46-55","55+"))))</f>
        <v>36-45</v>
      </c>
      <c r="AR180" t="str">
        <f>IF(HRDataset_v14[[#This Row],[Salary]]&lt;40000,"Entry (&lt;40K)",IF(HRDataset_v14[[#This Row],[Salary]]&lt;70000,"Mid (40-70K)",IF(HRDataset_v14[[#This Row],[Salary]]&lt;100000,"Senior (70-100K)","Executive (100K+)")))</f>
        <v>Mid (40-70K)</v>
      </c>
      <c r="AS180">
        <f>IF(HRDataset_v14[[#This Row],[EmploymentStatus]]="Active",1,0)</f>
        <v>0</v>
      </c>
      <c r="AT180">
        <f>YEAR(HRDataset_v14[[#This Row],[DateofHire]])</f>
        <v>2011</v>
      </c>
      <c r="AU180">
        <f>MONTH(HRDataset_v14[[#This Row],[DateofHire]])</f>
        <v>7</v>
      </c>
      <c r="AV180" t="str">
        <f>"Q"&amp;ROUNDUP(MONTH(HRDataset_v14[[#This Row],[DateofHire]])/3,0)</f>
        <v>Q3</v>
      </c>
      <c r="AW180" t="str">
        <f>TEXT(HRDataset_v14[[#This Row],[DateofHire]],"MMM")</f>
        <v>Jul</v>
      </c>
      <c r="AX180" t="str">
        <f>TEXT(HRDataset_v14[[#This Row],[DateofHire]],"YYYY-MM")</f>
        <v>2011-07</v>
      </c>
      <c r="AY180">
        <f>IF(ISBLANK(HRDataset_v14[[#This Row],[DateofTermination]]),"N/A",YEAR(HRDataset_v14[[#This Row],[DateofTermination]]))</f>
        <v>2012</v>
      </c>
      <c r="AZ180" t="str" cm="1">
        <f t="array" ref="AZ180">INDEX(_xlfn.UNIQUE(Z180:Z490),MATCH(MAX(COUNTIF(Z180:Z490,_xlfn.UNIQUE(Z180:Z490))),COUNTIF(Z180:Z490,_xlfn.UNIQUE(Z180:Z490)),0))</f>
        <v xml:space="preserve">Production       </v>
      </c>
      <c r="BA180">
        <f t="shared" si="24"/>
        <v>88.888888888888886</v>
      </c>
      <c r="BB180">
        <f t="shared" si="25"/>
        <v>14</v>
      </c>
      <c r="BC180" t="str">
        <f t="shared" si="20"/>
        <v>Medium</v>
      </c>
      <c r="BD180" t="str">
        <f t="shared" si="21"/>
        <v/>
      </c>
      <c r="BE180">
        <f t="shared" si="22"/>
        <v>5</v>
      </c>
      <c r="BT180" t="str">
        <f t="shared" si="23"/>
        <v/>
      </c>
      <c r="BV180">
        <v>2.4</v>
      </c>
    </row>
    <row r="181" spans="1:74" x14ac:dyDescent="0.3">
      <c r="A181" t="s">
        <v>430</v>
      </c>
      <c r="B181">
        <v>10279</v>
      </c>
      <c r="C181">
        <v>1</v>
      </c>
      <c r="D181">
        <v>1</v>
      </c>
      <c r="E181">
        <v>0</v>
      </c>
      <c r="F181">
        <v>1</v>
      </c>
      <c r="G181">
        <v>5</v>
      </c>
      <c r="H181">
        <v>3</v>
      </c>
      <c r="I181">
        <v>0</v>
      </c>
      <c r="J181">
        <v>61349</v>
      </c>
      <c r="K181">
        <v>0</v>
      </c>
      <c r="L181">
        <v>19</v>
      </c>
      <c r="M181" t="s">
        <v>37</v>
      </c>
      <c r="N181" t="s">
        <v>38</v>
      </c>
      <c r="O181">
        <v>2451</v>
      </c>
      <c r="P181">
        <v>27340</v>
      </c>
      <c r="Q181" t="s">
        <v>64</v>
      </c>
      <c r="R181" t="s">
        <v>53</v>
      </c>
      <c r="S181" t="s">
        <v>41</v>
      </c>
      <c r="T181" t="s">
        <v>42</v>
      </c>
      <c r="U181" t="s">
        <v>43</v>
      </c>
      <c r="V181">
        <v>41589</v>
      </c>
      <c r="X181" t="s">
        <v>44</v>
      </c>
      <c r="Y181" t="s">
        <v>45</v>
      </c>
      <c r="Z181" t="s">
        <v>46</v>
      </c>
      <c r="AA181" t="s">
        <v>92</v>
      </c>
      <c r="AB181">
        <v>12</v>
      </c>
      <c r="AC181" t="s">
        <v>48</v>
      </c>
      <c r="AD181" t="s">
        <v>60</v>
      </c>
      <c r="AE181">
        <v>4.0999999999999996</v>
      </c>
      <c r="AF181">
        <v>3</v>
      </c>
      <c r="AG181">
        <v>0</v>
      </c>
      <c r="AH181" t="s">
        <v>221</v>
      </c>
      <c r="AI181">
        <v>0</v>
      </c>
      <c r="AJ181">
        <v>11</v>
      </c>
      <c r="AK181" t="str">
        <f t="shared" si="18"/>
        <v>Normal</v>
      </c>
      <c r="AL181" t="str">
        <f t="shared" si="19"/>
        <v>low Outlier</v>
      </c>
      <c r="AM181">
        <f ca="1">INT((TODAY()-HRDataset_v14[[#This Row],[DOB]])/365.25)</f>
        <v>51</v>
      </c>
      <c r="AN181">
        <f ca="1">DATEDIF(HRDataset_v14[[#This Row],[DateofHire]],TODAY(),"Y")</f>
        <v>12</v>
      </c>
      <c r="AO181">
        <f ca="1">IF(ISBLANK(HRDataset_v14[[#This Row],[DateofTermination]]),DATEDIF(HRDataset_v14[[#This Row],[DateofHire]],TODAY(),"Y"),DATEDIF(HRDataset_v14[[#This Row],[DateofHire]],HRDataset_v14[[#This Row],[DateofTermination]],"Y"))</f>
        <v>12</v>
      </c>
      <c r="AP181" t="str">
        <f ca="1">IF(HRDataset_v14[[#This Row],[Tenure in Years
]]&lt;1,"0-1 Year",IF(HRDataset_v14[[#This Row],[Tenure in Years
]]&lt;3,"1-3 Years",IF(HRDataset_v14[[#This Row],[Tenure in Years
]]&lt;5,"3-5 Years",IF(HRDataset_v14[[#This Row],[Tenure in Years
]]&lt;10,"5-10 Years","10+ Years"))))</f>
        <v>10+ Years</v>
      </c>
      <c r="AQ181" t="str">
        <f ca="1">IF(HRDataset_v14[[#This Row],[Age Calculation
]]&lt;26,"18-25",IF(HRDataset_v14[[#This Row],[Age Calculation
]]&lt;36,"26-35",IF(HRDataset_v14[[#This Row],[Age Calculation
]]&lt;46,"36-45",IF(HRDataset_v14[[#This Row],[Age Calculation
]]&lt;56,"46-55","55+"))))</f>
        <v>46-55</v>
      </c>
      <c r="AR181" t="str">
        <f>IF(HRDataset_v14[[#This Row],[Salary]]&lt;40000,"Entry (&lt;40K)",IF(HRDataset_v14[[#This Row],[Salary]]&lt;70000,"Mid (40-70K)",IF(HRDataset_v14[[#This Row],[Salary]]&lt;100000,"Senior (70-100K)","Executive (100K+)")))</f>
        <v>Mid (40-70K)</v>
      </c>
      <c r="AS181">
        <f>IF(HRDataset_v14[[#This Row],[EmploymentStatus]]="Active",1,0)</f>
        <v>1</v>
      </c>
      <c r="AT181">
        <f>YEAR(HRDataset_v14[[#This Row],[DateofHire]])</f>
        <v>2013</v>
      </c>
      <c r="AU181">
        <f>MONTH(HRDataset_v14[[#This Row],[DateofHire]])</f>
        <v>11</v>
      </c>
      <c r="AV181" t="str">
        <f>"Q"&amp;ROUNDUP(MONTH(HRDataset_v14[[#This Row],[DateofHire]])/3,0)</f>
        <v>Q4</v>
      </c>
      <c r="AW181" t="str">
        <f>TEXT(HRDataset_v14[[#This Row],[DateofHire]],"MMM")</f>
        <v>Nov</v>
      </c>
      <c r="AX181" t="str">
        <f>TEXT(HRDataset_v14[[#This Row],[DateofHire]],"YYYY-MM")</f>
        <v>2013-11</v>
      </c>
      <c r="AY181" t="str">
        <f>IF(ISBLANK(HRDataset_v14[[#This Row],[DateofTermination]]),"N/A",YEAR(HRDataset_v14[[#This Row],[DateofTermination]]))</f>
        <v>N/A</v>
      </c>
      <c r="AZ181" t="str" cm="1">
        <f t="array" ref="AZ181">INDEX(_xlfn.UNIQUE(Z181:Z491),MATCH(MAX(COUNTIF(Z181:Z491,_xlfn.UNIQUE(Z181:Z491))),COUNTIF(Z181:Z491,_xlfn.UNIQUE(Z181:Z491)),0))</f>
        <v xml:space="preserve">Production       </v>
      </c>
      <c r="BA181">
        <f t="shared" si="24"/>
        <v>40</v>
      </c>
      <c r="BB181">
        <f t="shared" si="25"/>
        <v>0</v>
      </c>
      <c r="BC181" t="str">
        <f t="shared" si="20"/>
        <v>Medium</v>
      </c>
      <c r="BD181">
        <f t="shared" si="21"/>
        <v>4.0999999999999996</v>
      </c>
      <c r="BE181" t="str">
        <f t="shared" si="22"/>
        <v/>
      </c>
      <c r="BT181">
        <f t="shared" si="23"/>
        <v>4.0999999999999996</v>
      </c>
      <c r="BV181">
        <v>4.83</v>
      </c>
    </row>
    <row r="182" spans="1:74" x14ac:dyDescent="0.3">
      <c r="A182" t="s">
        <v>431</v>
      </c>
      <c r="B182">
        <v>10110</v>
      </c>
      <c r="C182">
        <v>0</v>
      </c>
      <c r="D182">
        <v>0</v>
      </c>
      <c r="E182">
        <v>0</v>
      </c>
      <c r="F182">
        <v>1</v>
      </c>
      <c r="G182">
        <v>4</v>
      </c>
      <c r="H182">
        <v>3</v>
      </c>
      <c r="I182">
        <v>0</v>
      </c>
      <c r="J182">
        <v>105688</v>
      </c>
      <c r="K182">
        <v>0</v>
      </c>
      <c r="L182">
        <v>24</v>
      </c>
      <c r="M182" t="s">
        <v>81</v>
      </c>
      <c r="N182" t="s">
        <v>38</v>
      </c>
      <c r="O182">
        <v>2135</v>
      </c>
      <c r="P182">
        <v>32088</v>
      </c>
      <c r="Q182" t="s">
        <v>64</v>
      </c>
      <c r="R182" t="s">
        <v>40</v>
      </c>
      <c r="S182" t="s">
        <v>41</v>
      </c>
      <c r="T182" t="s">
        <v>42</v>
      </c>
      <c r="U182" t="s">
        <v>132</v>
      </c>
      <c r="V182">
        <v>41589</v>
      </c>
      <c r="X182" t="s">
        <v>44</v>
      </c>
      <c r="Y182" t="s">
        <v>45</v>
      </c>
      <c r="Z182" t="s">
        <v>82</v>
      </c>
      <c r="AA182" t="s">
        <v>83</v>
      </c>
      <c r="AB182">
        <v>10</v>
      </c>
      <c r="AC182" t="s">
        <v>75</v>
      </c>
      <c r="AD182" t="s">
        <v>60</v>
      </c>
      <c r="AE182">
        <v>4.5</v>
      </c>
      <c r="AF182">
        <v>5</v>
      </c>
      <c r="AG182">
        <v>4</v>
      </c>
      <c r="AH182" t="s">
        <v>124</v>
      </c>
      <c r="AI182">
        <v>0</v>
      </c>
      <c r="AJ182">
        <v>14</v>
      </c>
      <c r="AK182" t="str">
        <f t="shared" si="18"/>
        <v>Normal</v>
      </c>
      <c r="AL182" t="str">
        <f t="shared" si="19"/>
        <v>low Outlier</v>
      </c>
      <c r="AM182">
        <f ca="1">INT((TODAY()-HRDataset_v14[[#This Row],[DOB]])/365.25)</f>
        <v>38</v>
      </c>
      <c r="AN182">
        <f ca="1">DATEDIF(HRDataset_v14[[#This Row],[DateofHire]],TODAY(),"Y")</f>
        <v>12</v>
      </c>
      <c r="AO182">
        <f ca="1">IF(ISBLANK(HRDataset_v14[[#This Row],[DateofTermination]]),DATEDIF(HRDataset_v14[[#This Row],[DateofHire]],TODAY(),"Y"),DATEDIF(HRDataset_v14[[#This Row],[DateofHire]],HRDataset_v14[[#This Row],[DateofTermination]],"Y"))</f>
        <v>12</v>
      </c>
      <c r="AP182" t="str">
        <f ca="1">IF(HRDataset_v14[[#This Row],[Tenure in Years
]]&lt;1,"0-1 Year",IF(HRDataset_v14[[#This Row],[Tenure in Years
]]&lt;3,"1-3 Years",IF(HRDataset_v14[[#This Row],[Tenure in Years
]]&lt;5,"3-5 Years",IF(HRDataset_v14[[#This Row],[Tenure in Years
]]&lt;10,"5-10 Years","10+ Years"))))</f>
        <v>10+ Years</v>
      </c>
      <c r="AQ182" t="str">
        <f ca="1">IF(HRDataset_v14[[#This Row],[Age Calculation
]]&lt;26,"18-25",IF(HRDataset_v14[[#This Row],[Age Calculation
]]&lt;36,"26-35",IF(HRDataset_v14[[#This Row],[Age Calculation
]]&lt;46,"36-45",IF(HRDataset_v14[[#This Row],[Age Calculation
]]&lt;56,"46-55","55+"))))</f>
        <v>36-45</v>
      </c>
      <c r="AR182" t="str">
        <f>IF(HRDataset_v14[[#This Row],[Salary]]&lt;40000,"Entry (&lt;40K)",IF(HRDataset_v14[[#This Row],[Salary]]&lt;70000,"Mid (40-70K)",IF(HRDataset_v14[[#This Row],[Salary]]&lt;100000,"Senior (70-100K)","Executive (100K+)")))</f>
        <v>Executive (100K+)</v>
      </c>
      <c r="AS182">
        <f>IF(HRDataset_v14[[#This Row],[EmploymentStatus]]="Active",1,0)</f>
        <v>1</v>
      </c>
      <c r="AT182">
        <f>YEAR(HRDataset_v14[[#This Row],[DateofHire]])</f>
        <v>2013</v>
      </c>
      <c r="AU182">
        <f>MONTH(HRDataset_v14[[#This Row],[DateofHire]])</f>
        <v>11</v>
      </c>
      <c r="AV182" t="str">
        <f>"Q"&amp;ROUNDUP(MONTH(HRDataset_v14[[#This Row],[DateofHire]])/3,0)</f>
        <v>Q4</v>
      </c>
      <c r="AW182" t="str">
        <f>TEXT(HRDataset_v14[[#This Row],[DateofHire]],"MMM")</f>
        <v>Nov</v>
      </c>
      <c r="AX182" t="str">
        <f>TEXT(HRDataset_v14[[#This Row],[DateofHire]],"YYYY-MM")</f>
        <v>2013-11</v>
      </c>
      <c r="AY182" t="str">
        <f>IF(ISBLANK(HRDataset_v14[[#This Row],[DateofTermination]]),"N/A",YEAR(HRDataset_v14[[#This Row],[DateofTermination]]))</f>
        <v>N/A</v>
      </c>
      <c r="AZ182" t="str" cm="1">
        <f t="array" ref="AZ182">INDEX(_xlfn.UNIQUE(Z182:Z492),MATCH(MAX(COUNTIF(Z182:Z492,_xlfn.UNIQUE(Z182:Z492))),COUNTIF(Z182:Z492,_xlfn.UNIQUE(Z182:Z492)),0))</f>
        <v xml:space="preserve">Production       </v>
      </c>
      <c r="BA182">
        <f t="shared" si="24"/>
        <v>40</v>
      </c>
      <c r="BB182">
        <f t="shared" si="25"/>
        <v>0</v>
      </c>
      <c r="BC182" t="str">
        <f t="shared" si="20"/>
        <v>Medium</v>
      </c>
      <c r="BD182">
        <f t="shared" si="21"/>
        <v>4.5</v>
      </c>
      <c r="BE182" t="str">
        <f t="shared" si="22"/>
        <v/>
      </c>
      <c r="BT182">
        <f t="shared" si="23"/>
        <v>4.5</v>
      </c>
      <c r="BV182">
        <v>4.0999999999999996</v>
      </c>
    </row>
    <row r="183" spans="1:74" x14ac:dyDescent="0.3">
      <c r="A183" t="s">
        <v>432</v>
      </c>
      <c r="B183">
        <v>10053</v>
      </c>
      <c r="C183">
        <v>1</v>
      </c>
      <c r="D183">
        <v>1</v>
      </c>
      <c r="E183">
        <v>0</v>
      </c>
      <c r="F183">
        <v>1</v>
      </c>
      <c r="G183">
        <v>5</v>
      </c>
      <c r="H183">
        <v>3</v>
      </c>
      <c r="I183">
        <v>0</v>
      </c>
      <c r="J183">
        <v>54132</v>
      </c>
      <c r="K183">
        <v>0</v>
      </c>
      <c r="L183">
        <v>19</v>
      </c>
      <c r="M183" t="s">
        <v>37</v>
      </c>
      <c r="N183" t="s">
        <v>38</v>
      </c>
      <c r="O183">
        <v>2330</v>
      </c>
      <c r="P183">
        <v>28451</v>
      </c>
      <c r="Q183" t="s">
        <v>64</v>
      </c>
      <c r="R183" t="s">
        <v>53</v>
      </c>
      <c r="S183" t="s">
        <v>41</v>
      </c>
      <c r="T183" t="s">
        <v>42</v>
      </c>
      <c r="U183" t="s">
        <v>43</v>
      </c>
      <c r="V183">
        <v>40694</v>
      </c>
      <c r="X183" t="s">
        <v>44</v>
      </c>
      <c r="Y183" t="s">
        <v>45</v>
      </c>
      <c r="Z183" t="s">
        <v>46</v>
      </c>
      <c r="AA183" t="s">
        <v>102</v>
      </c>
      <c r="AB183">
        <v>14</v>
      </c>
      <c r="AC183" t="s">
        <v>59</v>
      </c>
      <c r="AD183" t="s">
        <v>60</v>
      </c>
      <c r="AE183">
        <v>5</v>
      </c>
      <c r="AF183">
        <v>4</v>
      </c>
      <c r="AG183">
        <v>0</v>
      </c>
      <c r="AH183" t="s">
        <v>136</v>
      </c>
      <c r="AI183">
        <v>0</v>
      </c>
      <c r="AJ183">
        <v>8</v>
      </c>
      <c r="AK183" t="str">
        <f t="shared" si="18"/>
        <v>Normal</v>
      </c>
      <c r="AL183" t="str">
        <f t="shared" si="19"/>
        <v>low Outlier</v>
      </c>
      <c r="AM183">
        <f ca="1">INT((TODAY()-HRDataset_v14[[#This Row],[DOB]])/365.25)</f>
        <v>48</v>
      </c>
      <c r="AN183">
        <f ca="1">DATEDIF(HRDataset_v14[[#This Row],[DateofHire]],TODAY(),"Y")</f>
        <v>14</v>
      </c>
      <c r="AO183">
        <f ca="1">IF(ISBLANK(HRDataset_v14[[#This Row],[DateofTermination]]),DATEDIF(HRDataset_v14[[#This Row],[DateofHire]],TODAY(),"Y"),DATEDIF(HRDataset_v14[[#This Row],[DateofHire]],HRDataset_v14[[#This Row],[DateofTermination]],"Y"))</f>
        <v>14</v>
      </c>
      <c r="AP183" t="str">
        <f ca="1">IF(HRDataset_v14[[#This Row],[Tenure in Years
]]&lt;1,"0-1 Year",IF(HRDataset_v14[[#This Row],[Tenure in Years
]]&lt;3,"1-3 Years",IF(HRDataset_v14[[#This Row],[Tenure in Years
]]&lt;5,"3-5 Years",IF(HRDataset_v14[[#This Row],[Tenure in Years
]]&lt;10,"5-10 Years","10+ Years"))))</f>
        <v>10+ Years</v>
      </c>
      <c r="AQ183" t="str">
        <f ca="1">IF(HRDataset_v14[[#This Row],[Age Calculation
]]&lt;26,"18-25",IF(HRDataset_v14[[#This Row],[Age Calculation
]]&lt;36,"26-35",IF(HRDataset_v14[[#This Row],[Age Calculation
]]&lt;46,"36-45",IF(HRDataset_v14[[#This Row],[Age Calculation
]]&lt;56,"46-55","55+"))))</f>
        <v>46-55</v>
      </c>
      <c r="AR183" t="str">
        <f>IF(HRDataset_v14[[#This Row],[Salary]]&lt;40000,"Entry (&lt;40K)",IF(HRDataset_v14[[#This Row],[Salary]]&lt;70000,"Mid (40-70K)",IF(HRDataset_v14[[#This Row],[Salary]]&lt;100000,"Senior (70-100K)","Executive (100K+)")))</f>
        <v>Mid (40-70K)</v>
      </c>
      <c r="AS183">
        <f>IF(HRDataset_v14[[#This Row],[EmploymentStatus]]="Active",1,0)</f>
        <v>1</v>
      </c>
      <c r="AT183">
        <f>YEAR(HRDataset_v14[[#This Row],[DateofHire]])</f>
        <v>2011</v>
      </c>
      <c r="AU183">
        <f>MONTH(HRDataset_v14[[#This Row],[DateofHire]])</f>
        <v>5</v>
      </c>
      <c r="AV183" t="str">
        <f>"Q"&amp;ROUNDUP(MONTH(HRDataset_v14[[#This Row],[DateofHire]])/3,0)</f>
        <v>Q2</v>
      </c>
      <c r="AW183" t="str">
        <f>TEXT(HRDataset_v14[[#This Row],[DateofHire]],"MMM")</f>
        <v>May</v>
      </c>
      <c r="AX183" t="str">
        <f>TEXT(HRDataset_v14[[#This Row],[DateofHire]],"YYYY-MM")</f>
        <v>2011-05</v>
      </c>
      <c r="AY183" t="str">
        <f>IF(ISBLANK(HRDataset_v14[[#This Row],[DateofTermination]]),"N/A",YEAR(HRDataset_v14[[#This Row],[DateofTermination]]))</f>
        <v>N/A</v>
      </c>
      <c r="AZ183" t="str" cm="1">
        <f t="array" ref="AZ183">INDEX(_xlfn.UNIQUE(Z183:Z493),MATCH(MAX(COUNTIF(Z183:Z493,_xlfn.UNIQUE(Z183:Z493))),COUNTIF(Z183:Z493,_xlfn.UNIQUE(Z183:Z493)),0))</f>
        <v xml:space="preserve">Production       </v>
      </c>
      <c r="BA183">
        <f t="shared" si="24"/>
        <v>20</v>
      </c>
      <c r="BB183">
        <f t="shared" si="25"/>
        <v>0</v>
      </c>
      <c r="BC183" t="str">
        <f t="shared" si="20"/>
        <v>Medium</v>
      </c>
      <c r="BD183">
        <f t="shared" si="21"/>
        <v>5</v>
      </c>
      <c r="BE183" t="str">
        <f t="shared" si="22"/>
        <v/>
      </c>
      <c r="BT183">
        <f t="shared" si="23"/>
        <v>5</v>
      </c>
      <c r="BV183">
        <v>1.81</v>
      </c>
    </row>
    <row r="184" spans="1:74" x14ac:dyDescent="0.3">
      <c r="A184" t="s">
        <v>433</v>
      </c>
      <c r="B184">
        <v>10076</v>
      </c>
      <c r="C184">
        <v>0</v>
      </c>
      <c r="D184">
        <v>0</v>
      </c>
      <c r="E184">
        <v>0</v>
      </c>
      <c r="F184">
        <v>1</v>
      </c>
      <c r="G184">
        <v>5</v>
      </c>
      <c r="H184">
        <v>3</v>
      </c>
      <c r="I184">
        <v>0</v>
      </c>
      <c r="J184">
        <v>55315</v>
      </c>
      <c r="K184">
        <v>0</v>
      </c>
      <c r="L184">
        <v>20</v>
      </c>
      <c r="M184" t="s">
        <v>63</v>
      </c>
      <c r="N184" t="s">
        <v>38</v>
      </c>
      <c r="O184">
        <v>2149</v>
      </c>
      <c r="P184">
        <v>31918</v>
      </c>
      <c r="Q184" t="s">
        <v>64</v>
      </c>
      <c r="R184" t="s">
        <v>40</v>
      </c>
      <c r="S184" t="s">
        <v>41</v>
      </c>
      <c r="T184" t="s">
        <v>42</v>
      </c>
      <c r="U184" t="s">
        <v>91</v>
      </c>
      <c r="V184">
        <v>42093</v>
      </c>
      <c r="X184" t="s">
        <v>44</v>
      </c>
      <c r="Y184" t="s">
        <v>45</v>
      </c>
      <c r="Z184" t="s">
        <v>46</v>
      </c>
      <c r="AA184" t="s">
        <v>87</v>
      </c>
      <c r="AB184">
        <v>19</v>
      </c>
      <c r="AC184" t="s">
        <v>48</v>
      </c>
      <c r="AD184" t="s">
        <v>60</v>
      </c>
      <c r="AE184">
        <v>5</v>
      </c>
      <c r="AF184">
        <v>5</v>
      </c>
      <c r="AG184">
        <v>0</v>
      </c>
      <c r="AH184" t="s">
        <v>319</v>
      </c>
      <c r="AI184">
        <v>0</v>
      </c>
      <c r="AJ184">
        <v>16</v>
      </c>
      <c r="AK184" t="str">
        <f t="shared" si="18"/>
        <v>Normal</v>
      </c>
      <c r="AL184" t="str">
        <f t="shared" si="19"/>
        <v>low Outlier</v>
      </c>
      <c r="AM184">
        <f ca="1">INT((TODAY()-HRDataset_v14[[#This Row],[DOB]])/365.25)</f>
        <v>38</v>
      </c>
      <c r="AN184">
        <f ca="1">DATEDIF(HRDataset_v14[[#This Row],[DateofHire]],TODAY(),"Y")</f>
        <v>11</v>
      </c>
      <c r="AO184">
        <f ca="1">IF(ISBLANK(HRDataset_v14[[#This Row],[DateofTermination]]),DATEDIF(HRDataset_v14[[#This Row],[DateofHire]],TODAY(),"Y"),DATEDIF(HRDataset_v14[[#This Row],[DateofHire]],HRDataset_v14[[#This Row],[DateofTermination]],"Y"))</f>
        <v>11</v>
      </c>
      <c r="AP184" t="str">
        <f ca="1">IF(HRDataset_v14[[#This Row],[Tenure in Years
]]&lt;1,"0-1 Year",IF(HRDataset_v14[[#This Row],[Tenure in Years
]]&lt;3,"1-3 Years",IF(HRDataset_v14[[#This Row],[Tenure in Years
]]&lt;5,"3-5 Years",IF(HRDataset_v14[[#This Row],[Tenure in Years
]]&lt;10,"5-10 Years","10+ Years"))))</f>
        <v>10+ Years</v>
      </c>
      <c r="AQ184" t="str">
        <f ca="1">IF(HRDataset_v14[[#This Row],[Age Calculation
]]&lt;26,"18-25",IF(HRDataset_v14[[#This Row],[Age Calculation
]]&lt;36,"26-35",IF(HRDataset_v14[[#This Row],[Age Calculation
]]&lt;46,"36-45",IF(HRDataset_v14[[#This Row],[Age Calculation
]]&lt;56,"46-55","55+"))))</f>
        <v>36-45</v>
      </c>
      <c r="AR184" t="str">
        <f>IF(HRDataset_v14[[#This Row],[Salary]]&lt;40000,"Entry (&lt;40K)",IF(HRDataset_v14[[#This Row],[Salary]]&lt;70000,"Mid (40-70K)",IF(HRDataset_v14[[#This Row],[Salary]]&lt;100000,"Senior (70-100K)","Executive (100K+)")))</f>
        <v>Mid (40-70K)</v>
      </c>
      <c r="AS184">
        <f>IF(HRDataset_v14[[#This Row],[EmploymentStatus]]="Active",1,0)</f>
        <v>1</v>
      </c>
      <c r="AT184">
        <f>YEAR(HRDataset_v14[[#This Row],[DateofHire]])</f>
        <v>2015</v>
      </c>
      <c r="AU184">
        <f>MONTH(HRDataset_v14[[#This Row],[DateofHire]])</f>
        <v>3</v>
      </c>
      <c r="AV184" t="str">
        <f>"Q"&amp;ROUNDUP(MONTH(HRDataset_v14[[#This Row],[DateofHire]])/3,0)</f>
        <v>Q1</v>
      </c>
      <c r="AW184" t="str">
        <f>TEXT(HRDataset_v14[[#This Row],[DateofHire]],"MMM")</f>
        <v>Mar</v>
      </c>
      <c r="AX184" t="str">
        <f>TEXT(HRDataset_v14[[#This Row],[DateofHire]],"YYYY-MM")</f>
        <v>2015-03</v>
      </c>
      <c r="AY184" t="str">
        <f>IF(ISBLANK(HRDataset_v14[[#This Row],[DateofTermination]]),"N/A",YEAR(HRDataset_v14[[#This Row],[DateofTermination]]))</f>
        <v>N/A</v>
      </c>
      <c r="AZ184" t="str" cm="1">
        <f t="array" ref="AZ184">INDEX(_xlfn.UNIQUE(Z184:Z494),MATCH(MAX(COUNTIF(Z184:Z494,_xlfn.UNIQUE(Z184:Z494))),COUNTIF(Z184:Z494,_xlfn.UNIQUE(Z184:Z494)),0))</f>
        <v xml:space="preserve">Production       </v>
      </c>
      <c r="BA184">
        <f t="shared" si="24"/>
        <v>50</v>
      </c>
      <c r="BB184">
        <f t="shared" si="25"/>
        <v>0</v>
      </c>
      <c r="BC184" t="str">
        <f t="shared" si="20"/>
        <v>Medium</v>
      </c>
      <c r="BD184">
        <f t="shared" si="21"/>
        <v>5</v>
      </c>
      <c r="BE184" t="str">
        <f t="shared" si="22"/>
        <v/>
      </c>
      <c r="BT184">
        <f t="shared" si="23"/>
        <v>5</v>
      </c>
      <c r="BV184">
        <v>3.9</v>
      </c>
    </row>
    <row r="185" spans="1:74" x14ac:dyDescent="0.3">
      <c r="A185" t="s">
        <v>434</v>
      </c>
      <c r="B185">
        <v>10145</v>
      </c>
      <c r="C185">
        <v>1</v>
      </c>
      <c r="D185">
        <v>1</v>
      </c>
      <c r="E185">
        <v>0</v>
      </c>
      <c r="F185">
        <v>1</v>
      </c>
      <c r="G185">
        <v>5</v>
      </c>
      <c r="H185">
        <v>3</v>
      </c>
      <c r="I185">
        <v>0</v>
      </c>
      <c r="J185">
        <v>62810</v>
      </c>
      <c r="K185">
        <v>0</v>
      </c>
      <c r="L185">
        <v>19</v>
      </c>
      <c r="M185" t="s">
        <v>37</v>
      </c>
      <c r="N185" t="s">
        <v>38</v>
      </c>
      <c r="O185">
        <v>2184</v>
      </c>
      <c r="P185">
        <v>31784</v>
      </c>
      <c r="Q185" t="s">
        <v>64</v>
      </c>
      <c r="R185" t="s">
        <v>53</v>
      </c>
      <c r="S185" t="s">
        <v>41</v>
      </c>
      <c r="T185" t="s">
        <v>42</v>
      </c>
      <c r="U185" t="s">
        <v>91</v>
      </c>
      <c r="V185">
        <v>41281</v>
      </c>
      <c r="X185" t="s">
        <v>44</v>
      </c>
      <c r="Y185" t="s">
        <v>45</v>
      </c>
      <c r="Z185" t="s">
        <v>46</v>
      </c>
      <c r="AA185" t="s">
        <v>66</v>
      </c>
      <c r="AB185">
        <v>20</v>
      </c>
      <c r="AC185" t="s">
        <v>140</v>
      </c>
      <c r="AD185" t="s">
        <v>60</v>
      </c>
      <c r="AE185">
        <v>3.93</v>
      </c>
      <c r="AF185">
        <v>3</v>
      </c>
      <c r="AG185">
        <v>0</v>
      </c>
      <c r="AH185" t="s">
        <v>184</v>
      </c>
      <c r="AI185">
        <v>0</v>
      </c>
      <c r="AJ185">
        <v>20</v>
      </c>
      <c r="AK185" t="str">
        <f t="shared" si="18"/>
        <v>Normal</v>
      </c>
      <c r="AL185" t="str">
        <f t="shared" si="19"/>
        <v>low Outlier</v>
      </c>
      <c r="AM185">
        <f ca="1">INT((TODAY()-HRDataset_v14[[#This Row],[DOB]])/365.25)</f>
        <v>39</v>
      </c>
      <c r="AN185">
        <f ca="1">DATEDIF(HRDataset_v14[[#This Row],[DateofHire]],TODAY(),"Y")</f>
        <v>13</v>
      </c>
      <c r="AO185">
        <f ca="1">IF(ISBLANK(HRDataset_v14[[#This Row],[DateofTermination]]),DATEDIF(HRDataset_v14[[#This Row],[DateofHire]],TODAY(),"Y"),DATEDIF(HRDataset_v14[[#This Row],[DateofHire]],HRDataset_v14[[#This Row],[DateofTermination]],"Y"))</f>
        <v>13</v>
      </c>
      <c r="AP185" t="str">
        <f ca="1">IF(HRDataset_v14[[#This Row],[Tenure in Years
]]&lt;1,"0-1 Year",IF(HRDataset_v14[[#This Row],[Tenure in Years
]]&lt;3,"1-3 Years",IF(HRDataset_v14[[#This Row],[Tenure in Years
]]&lt;5,"3-5 Years",IF(HRDataset_v14[[#This Row],[Tenure in Years
]]&lt;10,"5-10 Years","10+ Years"))))</f>
        <v>10+ Years</v>
      </c>
      <c r="AQ185" t="str">
        <f ca="1">IF(HRDataset_v14[[#This Row],[Age Calculation
]]&lt;26,"18-25",IF(HRDataset_v14[[#This Row],[Age Calculation
]]&lt;36,"26-35",IF(HRDataset_v14[[#This Row],[Age Calculation
]]&lt;46,"36-45",IF(HRDataset_v14[[#This Row],[Age Calculation
]]&lt;56,"46-55","55+"))))</f>
        <v>36-45</v>
      </c>
      <c r="AR185" t="str">
        <f>IF(HRDataset_v14[[#This Row],[Salary]]&lt;40000,"Entry (&lt;40K)",IF(HRDataset_v14[[#This Row],[Salary]]&lt;70000,"Mid (40-70K)",IF(HRDataset_v14[[#This Row],[Salary]]&lt;100000,"Senior (70-100K)","Executive (100K+)")))</f>
        <v>Mid (40-70K)</v>
      </c>
      <c r="AS185">
        <f>IF(HRDataset_v14[[#This Row],[EmploymentStatus]]="Active",1,0)</f>
        <v>1</v>
      </c>
      <c r="AT185">
        <f>YEAR(HRDataset_v14[[#This Row],[DateofHire]])</f>
        <v>2013</v>
      </c>
      <c r="AU185">
        <f>MONTH(HRDataset_v14[[#This Row],[DateofHire]])</f>
        <v>1</v>
      </c>
      <c r="AV185" t="str">
        <f>"Q"&amp;ROUNDUP(MONTH(HRDataset_v14[[#This Row],[DateofHire]])/3,0)</f>
        <v>Q1</v>
      </c>
      <c r="AW185" t="str">
        <f>TEXT(HRDataset_v14[[#This Row],[DateofHire]],"MMM")</f>
        <v>Jan</v>
      </c>
      <c r="AX185" t="str">
        <f>TEXT(HRDataset_v14[[#This Row],[DateofHire]],"YYYY-MM")</f>
        <v>2013-01</v>
      </c>
      <c r="AY185" t="str">
        <f>IF(ISBLANK(HRDataset_v14[[#This Row],[DateofTermination]]),"N/A",YEAR(HRDataset_v14[[#This Row],[DateofTermination]]))</f>
        <v>N/A</v>
      </c>
      <c r="AZ185" t="str" cm="1">
        <f t="array" ref="AZ185">INDEX(_xlfn.UNIQUE(Z185:Z495),MATCH(MAX(COUNTIF(Z185:Z495,_xlfn.UNIQUE(Z185:Z495))),COUNTIF(Z185:Z495,_xlfn.UNIQUE(Z185:Z495)),0))</f>
        <v xml:space="preserve">Production       </v>
      </c>
      <c r="BA185">
        <f t="shared" si="24"/>
        <v>54.54545454545454</v>
      </c>
      <c r="BB185">
        <f t="shared" si="25"/>
        <v>0</v>
      </c>
      <c r="BC185" t="str">
        <f t="shared" si="20"/>
        <v>Medium</v>
      </c>
      <c r="BD185">
        <f t="shared" si="21"/>
        <v>3.93</v>
      </c>
      <c r="BE185" t="str">
        <f t="shared" si="22"/>
        <v/>
      </c>
      <c r="BT185">
        <f t="shared" si="23"/>
        <v>3.93</v>
      </c>
      <c r="BV185">
        <v>4.7</v>
      </c>
    </row>
    <row r="186" spans="1:74" x14ac:dyDescent="0.3">
      <c r="A186" t="s">
        <v>435</v>
      </c>
      <c r="B186">
        <v>10202</v>
      </c>
      <c r="C186">
        <v>1</v>
      </c>
      <c r="D186">
        <v>1</v>
      </c>
      <c r="E186">
        <v>1</v>
      </c>
      <c r="F186">
        <v>2</v>
      </c>
      <c r="G186">
        <v>6</v>
      </c>
      <c r="H186">
        <v>3</v>
      </c>
      <c r="I186">
        <v>0</v>
      </c>
      <c r="J186">
        <v>63291</v>
      </c>
      <c r="K186">
        <v>0</v>
      </c>
      <c r="L186">
        <v>3</v>
      </c>
      <c r="M186" t="s">
        <v>169</v>
      </c>
      <c r="N186" t="s">
        <v>109</v>
      </c>
      <c r="O186">
        <v>78789</v>
      </c>
      <c r="P186">
        <v>30864</v>
      </c>
      <c r="Q186" t="s">
        <v>39</v>
      </c>
      <c r="R186" t="s">
        <v>53</v>
      </c>
      <c r="S186" t="s">
        <v>41</v>
      </c>
      <c r="T186" t="s">
        <v>42</v>
      </c>
      <c r="U186" t="s">
        <v>111</v>
      </c>
      <c r="V186">
        <v>42557</v>
      </c>
      <c r="X186" t="s">
        <v>44</v>
      </c>
      <c r="Y186" t="s">
        <v>45</v>
      </c>
      <c r="Z186" t="s">
        <v>171</v>
      </c>
      <c r="AA186" t="s">
        <v>197</v>
      </c>
      <c r="AB186">
        <v>21</v>
      </c>
      <c r="AC186" t="s">
        <v>254</v>
      </c>
      <c r="AD186" t="s">
        <v>60</v>
      </c>
      <c r="AE186">
        <v>3.4</v>
      </c>
      <c r="AF186">
        <v>4</v>
      </c>
      <c r="AG186">
        <v>0</v>
      </c>
      <c r="AH186" t="s">
        <v>255</v>
      </c>
      <c r="AI186">
        <v>0</v>
      </c>
      <c r="AJ186">
        <v>7</v>
      </c>
      <c r="AK186" t="str">
        <f t="shared" si="18"/>
        <v>Normal</v>
      </c>
      <c r="AL186" t="str">
        <f t="shared" si="19"/>
        <v>low Outlier</v>
      </c>
      <c r="AM186">
        <f ca="1">INT((TODAY()-HRDataset_v14[[#This Row],[DOB]])/365.25)</f>
        <v>41</v>
      </c>
      <c r="AN186">
        <f ca="1">DATEDIF(HRDataset_v14[[#This Row],[DateofHire]],TODAY(),"Y")</f>
        <v>9</v>
      </c>
      <c r="AO186">
        <f ca="1">IF(ISBLANK(HRDataset_v14[[#This Row],[DateofTermination]]),DATEDIF(HRDataset_v14[[#This Row],[DateofHire]],TODAY(),"Y"),DATEDIF(HRDataset_v14[[#This Row],[DateofHire]],HRDataset_v14[[#This Row],[DateofTermination]],"Y"))</f>
        <v>9</v>
      </c>
      <c r="AP186" t="str">
        <f ca="1">IF(HRDataset_v14[[#This Row],[Tenure in Years
]]&lt;1,"0-1 Year",IF(HRDataset_v14[[#This Row],[Tenure in Years
]]&lt;3,"1-3 Years",IF(HRDataset_v14[[#This Row],[Tenure in Years
]]&lt;5,"3-5 Years",IF(HRDataset_v14[[#This Row],[Tenure in Years
]]&lt;10,"5-10 Years","10+ Years"))))</f>
        <v>5-10 Years</v>
      </c>
      <c r="AQ186" t="str">
        <f ca="1">IF(HRDataset_v14[[#This Row],[Age Calculation
]]&lt;26,"18-25",IF(HRDataset_v14[[#This Row],[Age Calculation
]]&lt;36,"26-35",IF(HRDataset_v14[[#This Row],[Age Calculation
]]&lt;46,"36-45",IF(HRDataset_v14[[#This Row],[Age Calculation
]]&lt;56,"46-55","55+"))))</f>
        <v>36-45</v>
      </c>
      <c r="AR186" t="str">
        <f>IF(HRDataset_v14[[#This Row],[Salary]]&lt;40000,"Entry (&lt;40K)",IF(HRDataset_v14[[#This Row],[Salary]]&lt;70000,"Mid (40-70K)",IF(HRDataset_v14[[#This Row],[Salary]]&lt;100000,"Senior (70-100K)","Executive (100K+)")))</f>
        <v>Mid (40-70K)</v>
      </c>
      <c r="AS186">
        <f>IF(HRDataset_v14[[#This Row],[EmploymentStatus]]="Active",1,0)</f>
        <v>1</v>
      </c>
      <c r="AT186">
        <f>YEAR(HRDataset_v14[[#This Row],[DateofHire]])</f>
        <v>2016</v>
      </c>
      <c r="AU186">
        <f>MONTH(HRDataset_v14[[#This Row],[DateofHire]])</f>
        <v>7</v>
      </c>
      <c r="AV186" t="str">
        <f>"Q"&amp;ROUNDUP(MONTH(HRDataset_v14[[#This Row],[DateofHire]])/3,0)</f>
        <v>Q3</v>
      </c>
      <c r="AW186" t="str">
        <f>TEXT(HRDataset_v14[[#This Row],[DateofHire]],"MMM")</f>
        <v>Jul</v>
      </c>
      <c r="AX186" t="str">
        <f>TEXT(HRDataset_v14[[#This Row],[DateofHire]],"YYYY-MM")</f>
        <v>2016-07</v>
      </c>
      <c r="AY186" t="str">
        <f>IF(ISBLANK(HRDataset_v14[[#This Row],[DateofTermination]]),"N/A",YEAR(HRDataset_v14[[#This Row],[DateofTermination]]))</f>
        <v>N/A</v>
      </c>
      <c r="AZ186" t="str" cm="1">
        <f t="array" ref="AZ186">INDEX(_xlfn.UNIQUE(Z186:Z496),MATCH(MAX(COUNTIF(Z186:Z496,_xlfn.UNIQUE(Z186:Z496))),COUNTIF(Z186:Z496,_xlfn.UNIQUE(Z186:Z496)),0))</f>
        <v xml:space="preserve">Production       </v>
      </c>
      <c r="BA186">
        <f t="shared" si="24"/>
        <v>0</v>
      </c>
      <c r="BB186">
        <f t="shared" si="25"/>
        <v>0</v>
      </c>
      <c r="BC186" t="str">
        <f t="shared" si="20"/>
        <v>Medium</v>
      </c>
      <c r="BD186">
        <f t="shared" si="21"/>
        <v>3.4</v>
      </c>
      <c r="BE186" t="str">
        <f t="shared" si="22"/>
        <v/>
      </c>
      <c r="BT186">
        <f t="shared" si="23"/>
        <v>3.4</v>
      </c>
      <c r="BV186">
        <v>4.0999999999999996</v>
      </c>
    </row>
    <row r="187" spans="1:74" x14ac:dyDescent="0.3">
      <c r="A187" t="s">
        <v>436</v>
      </c>
      <c r="B187">
        <v>10128</v>
      </c>
      <c r="C187">
        <v>0</v>
      </c>
      <c r="D187">
        <v>0</v>
      </c>
      <c r="E187">
        <v>0</v>
      </c>
      <c r="F187">
        <v>5</v>
      </c>
      <c r="G187">
        <v>5</v>
      </c>
      <c r="H187">
        <v>3</v>
      </c>
      <c r="I187">
        <v>1</v>
      </c>
      <c r="J187">
        <v>62659</v>
      </c>
      <c r="K187">
        <v>1</v>
      </c>
      <c r="L187">
        <v>19</v>
      </c>
      <c r="M187" t="s">
        <v>37</v>
      </c>
      <c r="N187" t="s">
        <v>38</v>
      </c>
      <c r="O187">
        <v>1760</v>
      </c>
      <c r="P187">
        <v>24988</v>
      </c>
      <c r="Q187" t="s">
        <v>64</v>
      </c>
      <c r="R187" t="s">
        <v>40</v>
      </c>
      <c r="S187" t="s">
        <v>41</v>
      </c>
      <c r="T187" t="s">
        <v>42</v>
      </c>
      <c r="U187" t="s">
        <v>91</v>
      </c>
      <c r="V187">
        <v>41001</v>
      </c>
      <c r="W187">
        <v>42685</v>
      </c>
      <c r="X187" t="s">
        <v>101</v>
      </c>
      <c r="Y187" t="s">
        <v>56</v>
      </c>
      <c r="Z187" t="s">
        <v>46</v>
      </c>
      <c r="AA187" t="s">
        <v>113</v>
      </c>
      <c r="AB187">
        <v>18</v>
      </c>
      <c r="AC187" t="s">
        <v>93</v>
      </c>
      <c r="AD187" t="s">
        <v>60</v>
      </c>
      <c r="AE187">
        <v>4.18</v>
      </c>
      <c r="AF187">
        <v>4</v>
      </c>
      <c r="AG187">
        <v>0</v>
      </c>
      <c r="AH187" t="s">
        <v>437</v>
      </c>
      <c r="AI187">
        <v>0</v>
      </c>
      <c r="AJ187">
        <v>17</v>
      </c>
      <c r="AK187" t="str">
        <f t="shared" si="18"/>
        <v>Normal</v>
      </c>
      <c r="AL187" t="str">
        <f t="shared" si="19"/>
        <v>low Outlier</v>
      </c>
      <c r="AM187">
        <f ca="1">INT((TODAY()-HRDataset_v14[[#This Row],[DOB]])/365.25)</f>
        <v>57</v>
      </c>
      <c r="AN187">
        <f ca="1">DATEDIF(HRDataset_v14[[#This Row],[DateofHire]],TODAY(),"Y")</f>
        <v>14</v>
      </c>
      <c r="AO187">
        <f ca="1">IF(ISBLANK(HRDataset_v14[[#This Row],[DateofTermination]]),DATEDIF(HRDataset_v14[[#This Row],[DateofHire]],TODAY(),"Y"),DATEDIF(HRDataset_v14[[#This Row],[DateofHire]],HRDataset_v14[[#This Row],[DateofTermination]],"Y"))</f>
        <v>4</v>
      </c>
      <c r="AP187" t="str">
        <f ca="1">IF(HRDataset_v14[[#This Row],[Tenure in Years
]]&lt;1,"0-1 Year",IF(HRDataset_v14[[#This Row],[Tenure in Years
]]&lt;3,"1-3 Years",IF(HRDataset_v14[[#This Row],[Tenure in Years
]]&lt;5,"3-5 Years",IF(HRDataset_v14[[#This Row],[Tenure in Years
]]&lt;10,"5-10 Years","10+ Years"))))</f>
        <v>10+ Years</v>
      </c>
      <c r="AQ187" t="str">
        <f ca="1">IF(HRDataset_v14[[#This Row],[Age Calculation
]]&lt;26,"18-25",IF(HRDataset_v14[[#This Row],[Age Calculation
]]&lt;36,"26-35",IF(HRDataset_v14[[#This Row],[Age Calculation
]]&lt;46,"36-45",IF(HRDataset_v14[[#This Row],[Age Calculation
]]&lt;56,"46-55","55+"))))</f>
        <v>55+</v>
      </c>
      <c r="AR187" t="str">
        <f>IF(HRDataset_v14[[#This Row],[Salary]]&lt;40000,"Entry (&lt;40K)",IF(HRDataset_v14[[#This Row],[Salary]]&lt;70000,"Mid (40-70K)",IF(HRDataset_v14[[#This Row],[Salary]]&lt;100000,"Senior (70-100K)","Executive (100K+)")))</f>
        <v>Mid (40-70K)</v>
      </c>
      <c r="AS187">
        <f>IF(HRDataset_v14[[#This Row],[EmploymentStatus]]="Active",1,0)</f>
        <v>0</v>
      </c>
      <c r="AT187">
        <f>YEAR(HRDataset_v14[[#This Row],[DateofHire]])</f>
        <v>2012</v>
      </c>
      <c r="AU187">
        <f>MONTH(HRDataset_v14[[#This Row],[DateofHire]])</f>
        <v>4</v>
      </c>
      <c r="AV187" t="str">
        <f>"Q"&amp;ROUNDUP(MONTH(HRDataset_v14[[#This Row],[DateofHire]])/3,0)</f>
        <v>Q2</v>
      </c>
      <c r="AW187" t="str">
        <f>TEXT(HRDataset_v14[[#This Row],[DateofHire]],"MMM")</f>
        <v>Apr</v>
      </c>
      <c r="AX187" t="str">
        <f>TEXT(HRDataset_v14[[#This Row],[DateofHire]],"YYYY-MM")</f>
        <v>2012-04</v>
      </c>
      <c r="AY187">
        <f>IF(ISBLANK(HRDataset_v14[[#This Row],[DateofTermination]]),"N/A",YEAR(HRDataset_v14[[#This Row],[DateofTermination]]))</f>
        <v>2016</v>
      </c>
      <c r="AZ187" t="str" cm="1">
        <f t="array" ref="AZ187">INDEX(_xlfn.UNIQUE(Z187:Z497),MATCH(MAX(COUNTIF(Z187:Z497,_xlfn.UNIQUE(Z187:Z497))),COUNTIF(Z187:Z497,_xlfn.UNIQUE(Z187:Z497)),0))</f>
        <v xml:space="preserve">Production       </v>
      </c>
      <c r="BA187">
        <f t="shared" si="24"/>
        <v>25</v>
      </c>
      <c r="BB187">
        <f t="shared" si="25"/>
        <v>13</v>
      </c>
      <c r="BC187" t="str">
        <f t="shared" si="20"/>
        <v>Medium</v>
      </c>
      <c r="BD187" t="str">
        <f t="shared" si="21"/>
        <v/>
      </c>
      <c r="BE187">
        <f t="shared" si="22"/>
        <v>4.18</v>
      </c>
      <c r="BT187" t="str">
        <f t="shared" si="23"/>
        <v/>
      </c>
      <c r="BV187">
        <v>3.73</v>
      </c>
    </row>
    <row r="188" spans="1:74" x14ac:dyDescent="0.3">
      <c r="A188" t="s">
        <v>438</v>
      </c>
      <c r="B188">
        <v>10068</v>
      </c>
      <c r="C188">
        <v>0</v>
      </c>
      <c r="D188">
        <v>0</v>
      </c>
      <c r="E188">
        <v>0</v>
      </c>
      <c r="F188">
        <v>1</v>
      </c>
      <c r="G188">
        <v>5</v>
      </c>
      <c r="H188">
        <v>3</v>
      </c>
      <c r="I188">
        <v>0</v>
      </c>
      <c r="J188">
        <v>55688</v>
      </c>
      <c r="K188">
        <v>0</v>
      </c>
      <c r="L188">
        <v>19</v>
      </c>
      <c r="M188" t="s">
        <v>37</v>
      </c>
      <c r="N188" t="s">
        <v>38</v>
      </c>
      <c r="O188">
        <v>2346</v>
      </c>
      <c r="P188">
        <v>28025</v>
      </c>
      <c r="Q188" t="s">
        <v>64</v>
      </c>
      <c r="R188" t="s">
        <v>40</v>
      </c>
      <c r="S188" t="s">
        <v>41</v>
      </c>
      <c r="T188" t="s">
        <v>42</v>
      </c>
      <c r="U188" t="s">
        <v>43</v>
      </c>
      <c r="V188">
        <v>42093</v>
      </c>
      <c r="X188" t="s">
        <v>44</v>
      </c>
      <c r="Y188" t="s">
        <v>45</v>
      </c>
      <c r="Z188" t="s">
        <v>46</v>
      </c>
      <c r="AA188" t="s">
        <v>47</v>
      </c>
      <c r="AB188">
        <v>22</v>
      </c>
      <c r="AC188" t="s">
        <v>140</v>
      </c>
      <c r="AD188" t="s">
        <v>60</v>
      </c>
      <c r="AE188">
        <v>5</v>
      </c>
      <c r="AF188">
        <v>4</v>
      </c>
      <c r="AG188">
        <v>0</v>
      </c>
      <c r="AH188" t="s">
        <v>167</v>
      </c>
      <c r="AI188">
        <v>0</v>
      </c>
      <c r="AJ188">
        <v>10</v>
      </c>
      <c r="AK188" t="str">
        <f t="shared" si="18"/>
        <v>Normal</v>
      </c>
      <c r="AL188" t="str">
        <f t="shared" si="19"/>
        <v>low Outlier</v>
      </c>
      <c r="AM188">
        <f ca="1">INT((TODAY()-HRDataset_v14[[#This Row],[DOB]])/365.25)</f>
        <v>49</v>
      </c>
      <c r="AN188">
        <f ca="1">DATEDIF(HRDataset_v14[[#This Row],[DateofHire]],TODAY(),"Y")</f>
        <v>11</v>
      </c>
      <c r="AO188">
        <f ca="1">IF(ISBLANK(HRDataset_v14[[#This Row],[DateofTermination]]),DATEDIF(HRDataset_v14[[#This Row],[DateofHire]],TODAY(),"Y"),DATEDIF(HRDataset_v14[[#This Row],[DateofHire]],HRDataset_v14[[#This Row],[DateofTermination]],"Y"))</f>
        <v>11</v>
      </c>
      <c r="AP188" t="str">
        <f ca="1">IF(HRDataset_v14[[#This Row],[Tenure in Years
]]&lt;1,"0-1 Year",IF(HRDataset_v14[[#This Row],[Tenure in Years
]]&lt;3,"1-3 Years",IF(HRDataset_v14[[#This Row],[Tenure in Years
]]&lt;5,"3-5 Years",IF(HRDataset_v14[[#This Row],[Tenure in Years
]]&lt;10,"5-10 Years","10+ Years"))))</f>
        <v>10+ Years</v>
      </c>
      <c r="AQ188" t="str">
        <f ca="1">IF(HRDataset_v14[[#This Row],[Age Calculation
]]&lt;26,"18-25",IF(HRDataset_v14[[#This Row],[Age Calculation
]]&lt;36,"26-35",IF(HRDataset_v14[[#This Row],[Age Calculation
]]&lt;46,"36-45",IF(HRDataset_v14[[#This Row],[Age Calculation
]]&lt;56,"46-55","55+"))))</f>
        <v>46-55</v>
      </c>
      <c r="AR188" t="str">
        <f>IF(HRDataset_v14[[#This Row],[Salary]]&lt;40000,"Entry (&lt;40K)",IF(HRDataset_v14[[#This Row],[Salary]]&lt;70000,"Mid (40-70K)",IF(HRDataset_v14[[#This Row],[Salary]]&lt;100000,"Senior (70-100K)","Executive (100K+)")))</f>
        <v>Mid (40-70K)</v>
      </c>
      <c r="AS188">
        <f>IF(HRDataset_v14[[#This Row],[EmploymentStatus]]="Active",1,0)</f>
        <v>1</v>
      </c>
      <c r="AT188">
        <f>YEAR(HRDataset_v14[[#This Row],[DateofHire]])</f>
        <v>2015</v>
      </c>
      <c r="AU188">
        <f>MONTH(HRDataset_v14[[#This Row],[DateofHire]])</f>
        <v>3</v>
      </c>
      <c r="AV188" t="str">
        <f>"Q"&amp;ROUNDUP(MONTH(HRDataset_v14[[#This Row],[DateofHire]])/3,0)</f>
        <v>Q1</v>
      </c>
      <c r="AW188" t="str">
        <f>TEXT(HRDataset_v14[[#This Row],[DateofHire]],"MMM")</f>
        <v>Mar</v>
      </c>
      <c r="AX188" t="str">
        <f>TEXT(HRDataset_v14[[#This Row],[DateofHire]],"YYYY-MM")</f>
        <v>2015-03</v>
      </c>
      <c r="AY188" t="str">
        <f>IF(ISBLANK(HRDataset_v14[[#This Row],[DateofTermination]]),"N/A",YEAR(HRDataset_v14[[#This Row],[DateofTermination]]))</f>
        <v>N/A</v>
      </c>
      <c r="AZ188" t="str" cm="1">
        <f t="array" ref="AZ188">INDEX(_xlfn.UNIQUE(Z188:Z498),MATCH(MAX(COUNTIF(Z188:Z498,_xlfn.UNIQUE(Z188:Z498))),COUNTIF(Z188:Z498,_xlfn.UNIQUE(Z188:Z498)),0))</f>
        <v xml:space="preserve">Production       </v>
      </c>
      <c r="BA188">
        <f t="shared" si="24"/>
        <v>37.5</v>
      </c>
      <c r="BB188">
        <f t="shared" si="25"/>
        <v>0</v>
      </c>
      <c r="BC188" t="str">
        <f t="shared" si="20"/>
        <v>Medium</v>
      </c>
      <c r="BD188">
        <f t="shared" si="21"/>
        <v>5</v>
      </c>
      <c r="BE188" t="str">
        <f t="shared" si="22"/>
        <v/>
      </c>
      <c r="BT188">
        <f t="shared" si="23"/>
        <v>5</v>
      </c>
      <c r="BV188">
        <v>4.3600000000000003</v>
      </c>
    </row>
    <row r="189" spans="1:74" x14ac:dyDescent="0.3">
      <c r="A189" t="s">
        <v>439</v>
      </c>
      <c r="B189">
        <v>10116</v>
      </c>
      <c r="C189">
        <v>0</v>
      </c>
      <c r="D189">
        <v>0</v>
      </c>
      <c r="E189">
        <v>1</v>
      </c>
      <c r="F189">
        <v>1</v>
      </c>
      <c r="G189">
        <v>5</v>
      </c>
      <c r="H189">
        <v>3</v>
      </c>
      <c r="I189">
        <v>0</v>
      </c>
      <c r="J189">
        <v>83667</v>
      </c>
      <c r="K189">
        <v>0</v>
      </c>
      <c r="L189">
        <v>18</v>
      </c>
      <c r="M189" t="s">
        <v>154</v>
      </c>
      <c r="N189" t="s">
        <v>38</v>
      </c>
      <c r="O189">
        <v>2045</v>
      </c>
      <c r="P189">
        <v>29808</v>
      </c>
      <c r="Q189" t="s">
        <v>39</v>
      </c>
      <c r="R189" t="s">
        <v>40</v>
      </c>
      <c r="S189" t="s">
        <v>41</v>
      </c>
      <c r="T189" t="s">
        <v>440</v>
      </c>
      <c r="U189" t="s">
        <v>441</v>
      </c>
      <c r="V189">
        <v>41137</v>
      </c>
      <c r="X189" t="s">
        <v>44</v>
      </c>
      <c r="Y189" t="s">
        <v>45</v>
      </c>
      <c r="Z189" t="s">
        <v>46</v>
      </c>
      <c r="AA189" t="s">
        <v>156</v>
      </c>
      <c r="AB189">
        <v>2</v>
      </c>
      <c r="AC189" t="s">
        <v>59</v>
      </c>
      <c r="AD189" t="s">
        <v>60</v>
      </c>
      <c r="AE189">
        <v>4.37</v>
      </c>
      <c r="AF189">
        <v>3</v>
      </c>
      <c r="AG189">
        <v>0</v>
      </c>
      <c r="AH189" t="s">
        <v>124</v>
      </c>
      <c r="AI189">
        <v>0</v>
      </c>
      <c r="AJ189">
        <v>2</v>
      </c>
      <c r="AK189" t="str">
        <f t="shared" si="18"/>
        <v>Normal</v>
      </c>
      <c r="AL189" t="str">
        <f t="shared" si="19"/>
        <v>low Outlier</v>
      </c>
      <c r="AM189">
        <f ca="1">INT((TODAY()-HRDataset_v14[[#This Row],[DOB]])/365.25)</f>
        <v>44</v>
      </c>
      <c r="AN189">
        <f ca="1">DATEDIF(HRDataset_v14[[#This Row],[DateofHire]],TODAY(),"Y")</f>
        <v>13</v>
      </c>
      <c r="AO189">
        <f ca="1">IF(ISBLANK(HRDataset_v14[[#This Row],[DateofTermination]]),DATEDIF(HRDataset_v14[[#This Row],[DateofHire]],TODAY(),"Y"),DATEDIF(HRDataset_v14[[#This Row],[DateofHire]],HRDataset_v14[[#This Row],[DateofTermination]],"Y"))</f>
        <v>13</v>
      </c>
      <c r="AP189" t="str">
        <f ca="1">IF(HRDataset_v14[[#This Row],[Tenure in Years
]]&lt;1,"0-1 Year",IF(HRDataset_v14[[#This Row],[Tenure in Years
]]&lt;3,"1-3 Years",IF(HRDataset_v14[[#This Row],[Tenure in Years
]]&lt;5,"3-5 Years",IF(HRDataset_v14[[#This Row],[Tenure in Years
]]&lt;10,"5-10 Years","10+ Years"))))</f>
        <v>10+ Years</v>
      </c>
      <c r="AQ189" t="str">
        <f ca="1">IF(HRDataset_v14[[#This Row],[Age Calculation
]]&lt;26,"18-25",IF(HRDataset_v14[[#This Row],[Age Calculation
]]&lt;36,"26-35",IF(HRDataset_v14[[#This Row],[Age Calculation
]]&lt;46,"36-45",IF(HRDataset_v14[[#This Row],[Age Calculation
]]&lt;56,"46-55","55+"))))</f>
        <v>36-45</v>
      </c>
      <c r="AR189" t="str">
        <f>IF(HRDataset_v14[[#This Row],[Salary]]&lt;40000,"Entry (&lt;40K)",IF(HRDataset_v14[[#This Row],[Salary]]&lt;70000,"Mid (40-70K)",IF(HRDataset_v14[[#This Row],[Salary]]&lt;100000,"Senior (70-100K)","Executive (100K+)")))</f>
        <v>Senior (70-100K)</v>
      </c>
      <c r="AS189">
        <f>IF(HRDataset_v14[[#This Row],[EmploymentStatus]]="Active",1,0)</f>
        <v>1</v>
      </c>
      <c r="AT189">
        <f>YEAR(HRDataset_v14[[#This Row],[DateofHire]])</f>
        <v>2012</v>
      </c>
      <c r="AU189">
        <f>MONTH(HRDataset_v14[[#This Row],[DateofHire]])</f>
        <v>8</v>
      </c>
      <c r="AV189" t="str">
        <f>"Q"&amp;ROUNDUP(MONTH(HRDataset_v14[[#This Row],[DateofHire]])/3,0)</f>
        <v>Q3</v>
      </c>
      <c r="AW189" t="str">
        <f>TEXT(HRDataset_v14[[#This Row],[DateofHire]],"MMM")</f>
        <v>Aug</v>
      </c>
      <c r="AX189" t="str">
        <f>TEXT(HRDataset_v14[[#This Row],[DateofHire]],"YYYY-MM")</f>
        <v>2012-08</v>
      </c>
      <c r="AY189" t="str">
        <f>IF(ISBLANK(HRDataset_v14[[#This Row],[DateofTermination]]),"N/A",YEAR(HRDataset_v14[[#This Row],[DateofTermination]]))</f>
        <v>N/A</v>
      </c>
      <c r="AZ189" t="str" cm="1">
        <f t="array" ref="AZ189">INDEX(_xlfn.UNIQUE(Z189:Z499),MATCH(MAX(COUNTIF(Z189:Z499,_xlfn.UNIQUE(Z189:Z499))),COUNTIF(Z189:Z499,_xlfn.UNIQUE(Z189:Z499)),0))</f>
        <v xml:space="preserve">Production       </v>
      </c>
      <c r="BA189">
        <f t="shared" si="24"/>
        <v>37.5</v>
      </c>
      <c r="BB189">
        <f t="shared" si="25"/>
        <v>0</v>
      </c>
      <c r="BC189" t="str">
        <f t="shared" si="20"/>
        <v>Medium</v>
      </c>
      <c r="BD189">
        <f t="shared" si="21"/>
        <v>4.37</v>
      </c>
      <c r="BE189" t="str">
        <f t="shared" si="22"/>
        <v/>
      </c>
      <c r="BT189">
        <f t="shared" si="23"/>
        <v>4.37</v>
      </c>
      <c r="BV189">
        <v>3.4</v>
      </c>
    </row>
    <row r="190" spans="1:74" x14ac:dyDescent="0.3">
      <c r="A190" t="s">
        <v>442</v>
      </c>
      <c r="B190">
        <v>10298</v>
      </c>
      <c r="C190">
        <v>0</v>
      </c>
      <c r="D190">
        <v>0</v>
      </c>
      <c r="E190">
        <v>1</v>
      </c>
      <c r="F190">
        <v>5</v>
      </c>
      <c r="G190">
        <v>5</v>
      </c>
      <c r="H190">
        <v>1</v>
      </c>
      <c r="I190">
        <v>0</v>
      </c>
      <c r="J190">
        <v>55800</v>
      </c>
      <c r="K190">
        <v>1</v>
      </c>
      <c r="L190">
        <v>20</v>
      </c>
      <c r="M190" t="s">
        <v>63</v>
      </c>
      <c r="N190" t="s">
        <v>38</v>
      </c>
      <c r="O190">
        <v>2472</v>
      </c>
      <c r="P190">
        <v>31227</v>
      </c>
      <c r="Q190" t="s">
        <v>39</v>
      </c>
      <c r="R190" t="s">
        <v>40</v>
      </c>
      <c r="S190" t="s">
        <v>41</v>
      </c>
      <c r="T190" t="s">
        <v>42</v>
      </c>
      <c r="U190" t="s">
        <v>43</v>
      </c>
      <c r="V190">
        <v>40770</v>
      </c>
      <c r="W190">
        <v>41886</v>
      </c>
      <c r="X190" t="s">
        <v>105</v>
      </c>
      <c r="Y190" t="s">
        <v>56</v>
      </c>
      <c r="Z190" t="s">
        <v>46</v>
      </c>
      <c r="AA190" t="s">
        <v>92</v>
      </c>
      <c r="AB190">
        <v>12</v>
      </c>
      <c r="AC190" t="s">
        <v>48</v>
      </c>
      <c r="AD190" t="s">
        <v>241</v>
      </c>
      <c r="AE190">
        <v>3</v>
      </c>
      <c r="AF190">
        <v>2</v>
      </c>
      <c r="AG190">
        <v>0</v>
      </c>
      <c r="AH190" t="s">
        <v>443</v>
      </c>
      <c r="AI190">
        <v>6</v>
      </c>
      <c r="AJ190">
        <v>6</v>
      </c>
      <c r="AK190" t="str">
        <f t="shared" si="18"/>
        <v>Normal</v>
      </c>
      <c r="AL190" t="str">
        <f t="shared" si="19"/>
        <v>low Outlier</v>
      </c>
      <c r="AM190">
        <f ca="1">INT((TODAY()-HRDataset_v14[[#This Row],[DOB]])/365.25)</f>
        <v>40</v>
      </c>
      <c r="AN190">
        <f ca="1">DATEDIF(HRDataset_v14[[#This Row],[DateofHire]],TODAY(),"Y")</f>
        <v>14</v>
      </c>
      <c r="AO190">
        <f ca="1">IF(ISBLANK(HRDataset_v14[[#This Row],[DateofTermination]]),DATEDIF(HRDataset_v14[[#This Row],[DateofHire]],TODAY(),"Y"),DATEDIF(HRDataset_v14[[#This Row],[DateofHire]],HRDataset_v14[[#This Row],[DateofTermination]],"Y"))</f>
        <v>3</v>
      </c>
      <c r="AP190" t="str">
        <f ca="1">IF(HRDataset_v14[[#This Row],[Tenure in Years
]]&lt;1,"0-1 Year",IF(HRDataset_v14[[#This Row],[Tenure in Years
]]&lt;3,"1-3 Years",IF(HRDataset_v14[[#This Row],[Tenure in Years
]]&lt;5,"3-5 Years",IF(HRDataset_v14[[#This Row],[Tenure in Years
]]&lt;10,"5-10 Years","10+ Years"))))</f>
        <v>10+ Years</v>
      </c>
      <c r="AQ190" t="str">
        <f ca="1">IF(HRDataset_v14[[#This Row],[Age Calculation
]]&lt;26,"18-25",IF(HRDataset_v14[[#This Row],[Age Calculation
]]&lt;36,"26-35",IF(HRDataset_v14[[#This Row],[Age Calculation
]]&lt;46,"36-45",IF(HRDataset_v14[[#This Row],[Age Calculation
]]&lt;56,"46-55","55+"))))</f>
        <v>36-45</v>
      </c>
      <c r="AR190" t="str">
        <f>IF(HRDataset_v14[[#This Row],[Salary]]&lt;40000,"Entry (&lt;40K)",IF(HRDataset_v14[[#This Row],[Salary]]&lt;70000,"Mid (40-70K)",IF(HRDataset_v14[[#This Row],[Salary]]&lt;100000,"Senior (70-100K)","Executive (100K+)")))</f>
        <v>Mid (40-70K)</v>
      </c>
      <c r="AS190">
        <f>IF(HRDataset_v14[[#This Row],[EmploymentStatus]]="Active",1,0)</f>
        <v>0</v>
      </c>
      <c r="AT190">
        <f>YEAR(HRDataset_v14[[#This Row],[DateofHire]])</f>
        <v>2011</v>
      </c>
      <c r="AU190">
        <f>MONTH(HRDataset_v14[[#This Row],[DateofHire]])</f>
        <v>8</v>
      </c>
      <c r="AV190" t="str">
        <f>"Q"&amp;ROUNDUP(MONTH(HRDataset_v14[[#This Row],[DateofHire]])/3,0)</f>
        <v>Q3</v>
      </c>
      <c r="AW190" t="str">
        <f>TEXT(HRDataset_v14[[#This Row],[DateofHire]],"MMM")</f>
        <v>Aug</v>
      </c>
      <c r="AX190" t="str">
        <f>TEXT(HRDataset_v14[[#This Row],[DateofHire]],"YYYY-MM")</f>
        <v>2011-08</v>
      </c>
      <c r="AY190">
        <f>IF(ISBLANK(HRDataset_v14[[#This Row],[DateofTermination]]),"N/A",YEAR(HRDataset_v14[[#This Row],[DateofTermination]]))</f>
        <v>2014</v>
      </c>
      <c r="AZ190" t="str" cm="1">
        <f t="array" ref="AZ190">INDEX(_xlfn.UNIQUE(Z190:Z500),MATCH(MAX(COUNTIF(Z190:Z500,_xlfn.UNIQUE(Z190:Z500))),COUNTIF(Z190:Z500,_xlfn.UNIQUE(Z190:Z500)),0))</f>
        <v xml:space="preserve">Production       </v>
      </c>
      <c r="BA190">
        <f t="shared" si="24"/>
        <v>44.444444444444443</v>
      </c>
      <c r="BB190">
        <f t="shared" si="25"/>
        <v>7</v>
      </c>
      <c r="BC190" t="str">
        <f t="shared" si="20"/>
        <v>High</v>
      </c>
      <c r="BD190" t="str">
        <f t="shared" si="21"/>
        <v/>
      </c>
      <c r="BE190">
        <f t="shared" si="22"/>
        <v>3</v>
      </c>
      <c r="BT190" t="str">
        <f t="shared" si="23"/>
        <v/>
      </c>
      <c r="BV190">
        <v>4.5</v>
      </c>
    </row>
    <row r="191" spans="1:74" x14ac:dyDescent="0.3">
      <c r="A191" t="s">
        <v>444</v>
      </c>
      <c r="B191">
        <v>10213</v>
      </c>
      <c r="C191">
        <v>1</v>
      </c>
      <c r="D191">
        <v>1</v>
      </c>
      <c r="E191">
        <v>1</v>
      </c>
      <c r="F191">
        <v>1</v>
      </c>
      <c r="G191">
        <v>5</v>
      </c>
      <c r="H191">
        <v>3</v>
      </c>
      <c r="I191">
        <v>0</v>
      </c>
      <c r="J191">
        <v>58207</v>
      </c>
      <c r="K191">
        <v>0</v>
      </c>
      <c r="L191">
        <v>20</v>
      </c>
      <c r="M191" t="s">
        <v>63</v>
      </c>
      <c r="N191" t="s">
        <v>38</v>
      </c>
      <c r="O191">
        <v>1450</v>
      </c>
      <c r="P191">
        <v>33833</v>
      </c>
      <c r="Q191" t="s">
        <v>39</v>
      </c>
      <c r="R191" t="s">
        <v>53</v>
      </c>
      <c r="S191" t="s">
        <v>41</v>
      </c>
      <c r="T191" t="s">
        <v>42</v>
      </c>
      <c r="U191" t="s">
        <v>43</v>
      </c>
      <c r="V191">
        <v>40854</v>
      </c>
      <c r="X191" t="s">
        <v>44</v>
      </c>
      <c r="Y191" t="s">
        <v>45</v>
      </c>
      <c r="Z191" t="s">
        <v>46</v>
      </c>
      <c r="AA191" t="s">
        <v>102</v>
      </c>
      <c r="AB191">
        <v>14</v>
      </c>
      <c r="AC191" t="s">
        <v>48</v>
      </c>
      <c r="AD191" t="s">
        <v>60</v>
      </c>
      <c r="AE191">
        <v>3.7</v>
      </c>
      <c r="AF191">
        <v>3</v>
      </c>
      <c r="AG191">
        <v>0</v>
      </c>
      <c r="AH191" t="s">
        <v>344</v>
      </c>
      <c r="AI191">
        <v>0</v>
      </c>
      <c r="AJ191">
        <v>14</v>
      </c>
      <c r="AK191" t="str">
        <f t="shared" si="18"/>
        <v>Normal</v>
      </c>
      <c r="AL191" t="str">
        <f t="shared" si="19"/>
        <v>low Outlier</v>
      </c>
      <c r="AM191">
        <f ca="1">INT((TODAY()-HRDataset_v14[[#This Row],[DOB]])/365.25)</f>
        <v>33</v>
      </c>
      <c r="AN191">
        <f ca="1">DATEDIF(HRDataset_v14[[#This Row],[DateofHire]],TODAY(),"Y")</f>
        <v>14</v>
      </c>
      <c r="AO191">
        <f ca="1">IF(ISBLANK(HRDataset_v14[[#This Row],[DateofTermination]]),DATEDIF(HRDataset_v14[[#This Row],[DateofHire]],TODAY(),"Y"),DATEDIF(HRDataset_v14[[#This Row],[DateofHire]],HRDataset_v14[[#This Row],[DateofTermination]],"Y"))</f>
        <v>14</v>
      </c>
      <c r="AP191" t="str">
        <f ca="1">IF(HRDataset_v14[[#This Row],[Tenure in Years
]]&lt;1,"0-1 Year",IF(HRDataset_v14[[#This Row],[Tenure in Years
]]&lt;3,"1-3 Years",IF(HRDataset_v14[[#This Row],[Tenure in Years
]]&lt;5,"3-5 Years",IF(HRDataset_v14[[#This Row],[Tenure in Years
]]&lt;10,"5-10 Years","10+ Years"))))</f>
        <v>10+ Years</v>
      </c>
      <c r="AQ191" t="str">
        <f ca="1">IF(HRDataset_v14[[#This Row],[Age Calculation
]]&lt;26,"18-25",IF(HRDataset_v14[[#This Row],[Age Calculation
]]&lt;36,"26-35",IF(HRDataset_v14[[#This Row],[Age Calculation
]]&lt;46,"36-45",IF(HRDataset_v14[[#This Row],[Age Calculation
]]&lt;56,"46-55","55+"))))</f>
        <v>26-35</v>
      </c>
      <c r="AR191" t="str">
        <f>IF(HRDataset_v14[[#This Row],[Salary]]&lt;40000,"Entry (&lt;40K)",IF(HRDataset_v14[[#This Row],[Salary]]&lt;70000,"Mid (40-70K)",IF(HRDataset_v14[[#This Row],[Salary]]&lt;100000,"Senior (70-100K)","Executive (100K+)")))</f>
        <v>Mid (40-70K)</v>
      </c>
      <c r="AS191">
        <f>IF(HRDataset_v14[[#This Row],[EmploymentStatus]]="Active",1,0)</f>
        <v>1</v>
      </c>
      <c r="AT191">
        <f>YEAR(HRDataset_v14[[#This Row],[DateofHire]])</f>
        <v>2011</v>
      </c>
      <c r="AU191">
        <f>MONTH(HRDataset_v14[[#This Row],[DateofHire]])</f>
        <v>11</v>
      </c>
      <c r="AV191" t="str">
        <f>"Q"&amp;ROUNDUP(MONTH(HRDataset_v14[[#This Row],[DateofHire]])/3,0)</f>
        <v>Q4</v>
      </c>
      <c r="AW191" t="str">
        <f>TEXT(HRDataset_v14[[#This Row],[DateofHire]],"MMM")</f>
        <v>Nov</v>
      </c>
      <c r="AX191" t="str">
        <f>TEXT(HRDataset_v14[[#This Row],[DateofHire]],"YYYY-MM")</f>
        <v>2011-11</v>
      </c>
      <c r="AY191" t="str">
        <f>IF(ISBLANK(HRDataset_v14[[#This Row],[DateofTermination]]),"N/A",YEAR(HRDataset_v14[[#This Row],[DateofTermination]]))</f>
        <v>N/A</v>
      </c>
      <c r="AZ191" t="str" cm="1">
        <f t="array" ref="AZ191">INDEX(_xlfn.UNIQUE(Z191:Z501),MATCH(MAX(COUNTIF(Z191:Z501,_xlfn.UNIQUE(Z191:Z501))),COUNTIF(Z191:Z501,_xlfn.UNIQUE(Z191:Z501)),0))</f>
        <v xml:space="preserve">Production       </v>
      </c>
      <c r="BA191">
        <f t="shared" si="24"/>
        <v>22.222222222222221</v>
      </c>
      <c r="BB191">
        <f t="shared" si="25"/>
        <v>0</v>
      </c>
      <c r="BC191" t="str">
        <f t="shared" si="20"/>
        <v>Medium</v>
      </c>
      <c r="BD191">
        <f t="shared" si="21"/>
        <v>3.7</v>
      </c>
      <c r="BE191" t="str">
        <f t="shared" si="22"/>
        <v/>
      </c>
      <c r="BT191">
        <f t="shared" si="23"/>
        <v>3.7</v>
      </c>
      <c r="BV191">
        <v>3.4</v>
      </c>
    </row>
    <row r="192" spans="1:74" x14ac:dyDescent="0.3">
      <c r="A192" t="s">
        <v>445</v>
      </c>
      <c r="B192">
        <v>10288</v>
      </c>
      <c r="C192">
        <v>1</v>
      </c>
      <c r="D192">
        <v>1</v>
      </c>
      <c r="E192">
        <v>1</v>
      </c>
      <c r="F192">
        <v>1</v>
      </c>
      <c r="G192">
        <v>3</v>
      </c>
      <c r="H192">
        <v>2</v>
      </c>
      <c r="I192">
        <v>1</v>
      </c>
      <c r="J192">
        <v>157000</v>
      </c>
      <c r="K192">
        <v>0</v>
      </c>
      <c r="L192">
        <v>13</v>
      </c>
      <c r="M192" t="s">
        <v>446</v>
      </c>
      <c r="N192" t="s">
        <v>38</v>
      </c>
      <c r="O192">
        <v>2134</v>
      </c>
      <c r="P192">
        <v>31690</v>
      </c>
      <c r="Q192" t="s">
        <v>39</v>
      </c>
      <c r="R192" t="s">
        <v>53</v>
      </c>
      <c r="S192" t="s">
        <v>126</v>
      </c>
      <c r="T192" t="s">
        <v>100</v>
      </c>
      <c r="U192" t="s">
        <v>91</v>
      </c>
      <c r="V192">
        <v>40954</v>
      </c>
      <c r="X192" t="s">
        <v>44</v>
      </c>
      <c r="Y192" t="s">
        <v>45</v>
      </c>
      <c r="Z192" t="s">
        <v>57</v>
      </c>
      <c r="AA192" t="s">
        <v>180</v>
      </c>
      <c r="AB192">
        <v>5</v>
      </c>
      <c r="AC192" t="s">
        <v>93</v>
      </c>
      <c r="AD192" t="s">
        <v>141</v>
      </c>
      <c r="AE192">
        <v>2.39</v>
      </c>
      <c r="AF192">
        <v>3</v>
      </c>
      <c r="AG192">
        <v>6</v>
      </c>
      <c r="AH192" t="s">
        <v>182</v>
      </c>
      <c r="AI192">
        <v>4</v>
      </c>
      <c r="AJ192">
        <v>13</v>
      </c>
      <c r="AK192" t="str">
        <f t="shared" si="18"/>
        <v xml:space="preserve"> high Outlier</v>
      </c>
      <c r="AL192" t="str">
        <f t="shared" si="19"/>
        <v>low Outlier</v>
      </c>
      <c r="AM192">
        <f ca="1">INT((TODAY()-HRDataset_v14[[#This Row],[DOB]])/365.25)</f>
        <v>39</v>
      </c>
      <c r="AN192">
        <f ca="1">DATEDIF(HRDataset_v14[[#This Row],[DateofHire]],TODAY(),"Y")</f>
        <v>14</v>
      </c>
      <c r="AO192">
        <f ca="1">IF(ISBLANK(HRDataset_v14[[#This Row],[DateofTermination]]),DATEDIF(HRDataset_v14[[#This Row],[DateofHire]],TODAY(),"Y"),DATEDIF(HRDataset_v14[[#This Row],[DateofHire]],HRDataset_v14[[#This Row],[DateofTermination]],"Y"))</f>
        <v>14</v>
      </c>
      <c r="AP192" t="str">
        <f ca="1">IF(HRDataset_v14[[#This Row],[Tenure in Years
]]&lt;1,"0-1 Year",IF(HRDataset_v14[[#This Row],[Tenure in Years
]]&lt;3,"1-3 Years",IF(HRDataset_v14[[#This Row],[Tenure in Years
]]&lt;5,"3-5 Years",IF(HRDataset_v14[[#This Row],[Tenure in Years
]]&lt;10,"5-10 Years","10+ Years"))))</f>
        <v>10+ Years</v>
      </c>
      <c r="AQ192" t="str">
        <f ca="1">IF(HRDataset_v14[[#This Row],[Age Calculation
]]&lt;26,"18-25",IF(HRDataset_v14[[#This Row],[Age Calculation
]]&lt;36,"26-35",IF(HRDataset_v14[[#This Row],[Age Calculation
]]&lt;46,"36-45",IF(HRDataset_v14[[#This Row],[Age Calculation
]]&lt;56,"46-55","55+"))))</f>
        <v>36-45</v>
      </c>
      <c r="AR192" t="str">
        <f>IF(HRDataset_v14[[#This Row],[Salary]]&lt;40000,"Entry (&lt;40K)",IF(HRDataset_v14[[#This Row],[Salary]]&lt;70000,"Mid (40-70K)",IF(HRDataset_v14[[#This Row],[Salary]]&lt;100000,"Senior (70-100K)","Executive (100K+)")))</f>
        <v>Executive (100K+)</v>
      </c>
      <c r="AS192">
        <f>IF(HRDataset_v14[[#This Row],[EmploymentStatus]]="Active",1,0)</f>
        <v>1</v>
      </c>
      <c r="AT192">
        <f>YEAR(HRDataset_v14[[#This Row],[DateofHire]])</f>
        <v>2012</v>
      </c>
      <c r="AU192">
        <f>MONTH(HRDataset_v14[[#This Row],[DateofHire]])</f>
        <v>2</v>
      </c>
      <c r="AV192" t="str">
        <f>"Q"&amp;ROUNDUP(MONTH(HRDataset_v14[[#This Row],[DateofHire]])/3,0)</f>
        <v>Q1</v>
      </c>
      <c r="AW192" t="str">
        <f>TEXT(HRDataset_v14[[#This Row],[DateofHire]],"MMM")</f>
        <v>Feb</v>
      </c>
      <c r="AX192" t="str">
        <f>TEXT(HRDataset_v14[[#This Row],[DateofHire]],"YYYY-MM")</f>
        <v>2012-02</v>
      </c>
      <c r="AY192" t="str">
        <f>IF(ISBLANK(HRDataset_v14[[#This Row],[DateofTermination]]),"N/A",YEAR(HRDataset_v14[[#This Row],[DateofTermination]]))</f>
        <v>N/A</v>
      </c>
      <c r="AZ192" t="str" cm="1">
        <f t="array" ref="AZ192">INDEX(_xlfn.UNIQUE(Z192:Z502),MATCH(MAX(COUNTIF(Z192:Z502,_xlfn.UNIQUE(Z192:Z502))),COUNTIF(Z192:Z502,_xlfn.UNIQUE(Z192:Z502)),0))</f>
        <v xml:space="preserve">Production       </v>
      </c>
      <c r="BA192">
        <f t="shared" si="24"/>
        <v>33.333333333333329</v>
      </c>
      <c r="BB192">
        <f t="shared" si="25"/>
        <v>0</v>
      </c>
      <c r="BC192" t="str">
        <f t="shared" si="20"/>
        <v>High</v>
      </c>
      <c r="BD192">
        <f t="shared" si="21"/>
        <v>2.39</v>
      </c>
      <c r="BE192" t="str">
        <f t="shared" si="22"/>
        <v/>
      </c>
      <c r="BT192">
        <f t="shared" si="23"/>
        <v>2.39</v>
      </c>
      <c r="BV192">
        <v>3.69</v>
      </c>
    </row>
    <row r="193" spans="1:74" x14ac:dyDescent="0.3">
      <c r="A193" t="s">
        <v>448</v>
      </c>
      <c r="B193">
        <v>10025</v>
      </c>
      <c r="C193">
        <v>0</v>
      </c>
      <c r="D193">
        <v>0</v>
      </c>
      <c r="E193">
        <v>0</v>
      </c>
      <c r="F193">
        <v>1</v>
      </c>
      <c r="G193">
        <v>5</v>
      </c>
      <c r="H193">
        <v>4</v>
      </c>
      <c r="I193">
        <v>0</v>
      </c>
      <c r="J193">
        <v>72460</v>
      </c>
      <c r="K193">
        <v>0</v>
      </c>
      <c r="L193">
        <v>20</v>
      </c>
      <c r="M193" t="s">
        <v>63</v>
      </c>
      <c r="N193" t="s">
        <v>38</v>
      </c>
      <c r="O193">
        <v>2126</v>
      </c>
      <c r="P193">
        <v>25682</v>
      </c>
      <c r="Q193" t="s">
        <v>64</v>
      </c>
      <c r="R193" t="s">
        <v>40</v>
      </c>
      <c r="S193" t="s">
        <v>41</v>
      </c>
      <c r="T193" t="s">
        <v>42</v>
      </c>
      <c r="U193" t="s">
        <v>91</v>
      </c>
      <c r="V193">
        <v>41407</v>
      </c>
      <c r="X193" t="s">
        <v>44</v>
      </c>
      <c r="Y193" t="s">
        <v>45</v>
      </c>
      <c r="Z193" t="s">
        <v>46</v>
      </c>
      <c r="AA193" t="s">
        <v>66</v>
      </c>
      <c r="AB193">
        <v>20</v>
      </c>
      <c r="AC193" t="s">
        <v>59</v>
      </c>
      <c r="AD193" t="s">
        <v>49</v>
      </c>
      <c r="AE193">
        <v>4.7</v>
      </c>
      <c r="AF193">
        <v>3</v>
      </c>
      <c r="AG193">
        <v>0</v>
      </c>
      <c r="AH193" t="s">
        <v>124</v>
      </c>
      <c r="AI193">
        <v>0</v>
      </c>
      <c r="AJ193">
        <v>1</v>
      </c>
      <c r="AK193" t="str">
        <f t="shared" si="18"/>
        <v>Normal</v>
      </c>
      <c r="AL193" t="str">
        <f t="shared" si="19"/>
        <v>low Outlier</v>
      </c>
      <c r="AM193">
        <f ca="1">INT((TODAY()-HRDataset_v14[[#This Row],[DOB]])/365.25)</f>
        <v>55</v>
      </c>
      <c r="AN193">
        <f ca="1">DATEDIF(HRDataset_v14[[#This Row],[DateofHire]],TODAY(),"Y")</f>
        <v>12</v>
      </c>
      <c r="AO193">
        <f ca="1">IF(ISBLANK(HRDataset_v14[[#This Row],[DateofTermination]]),DATEDIF(HRDataset_v14[[#This Row],[DateofHire]],TODAY(),"Y"),DATEDIF(HRDataset_v14[[#This Row],[DateofHire]],HRDataset_v14[[#This Row],[DateofTermination]],"Y"))</f>
        <v>12</v>
      </c>
      <c r="AP193" t="str">
        <f ca="1">IF(HRDataset_v14[[#This Row],[Tenure in Years
]]&lt;1,"0-1 Year",IF(HRDataset_v14[[#This Row],[Tenure in Years
]]&lt;3,"1-3 Years",IF(HRDataset_v14[[#This Row],[Tenure in Years
]]&lt;5,"3-5 Years",IF(HRDataset_v14[[#This Row],[Tenure in Years
]]&lt;10,"5-10 Years","10+ Years"))))</f>
        <v>10+ Years</v>
      </c>
      <c r="AQ193" t="str">
        <f ca="1">IF(HRDataset_v14[[#This Row],[Age Calculation
]]&lt;26,"18-25",IF(HRDataset_v14[[#This Row],[Age Calculation
]]&lt;36,"26-35",IF(HRDataset_v14[[#This Row],[Age Calculation
]]&lt;46,"36-45",IF(HRDataset_v14[[#This Row],[Age Calculation
]]&lt;56,"46-55","55+"))))</f>
        <v>46-55</v>
      </c>
      <c r="AR193" t="str">
        <f>IF(HRDataset_v14[[#This Row],[Salary]]&lt;40000,"Entry (&lt;40K)",IF(HRDataset_v14[[#This Row],[Salary]]&lt;70000,"Mid (40-70K)",IF(HRDataset_v14[[#This Row],[Salary]]&lt;100000,"Senior (70-100K)","Executive (100K+)")))</f>
        <v>Senior (70-100K)</v>
      </c>
      <c r="AS193">
        <f>IF(HRDataset_v14[[#This Row],[EmploymentStatus]]="Active",1,0)</f>
        <v>1</v>
      </c>
      <c r="AT193">
        <f>YEAR(HRDataset_v14[[#This Row],[DateofHire]])</f>
        <v>2013</v>
      </c>
      <c r="AU193">
        <f>MONTH(HRDataset_v14[[#This Row],[DateofHire]])</f>
        <v>5</v>
      </c>
      <c r="AV193" t="str">
        <f>"Q"&amp;ROUNDUP(MONTH(HRDataset_v14[[#This Row],[DateofHire]])/3,0)</f>
        <v>Q2</v>
      </c>
      <c r="AW193" t="str">
        <f>TEXT(HRDataset_v14[[#This Row],[DateofHire]],"MMM")</f>
        <v>May</v>
      </c>
      <c r="AX193" t="str">
        <f>TEXT(HRDataset_v14[[#This Row],[DateofHire]],"YYYY-MM")</f>
        <v>2013-05</v>
      </c>
      <c r="AY193" t="str">
        <f>IF(ISBLANK(HRDataset_v14[[#This Row],[DateofTermination]]),"N/A",YEAR(HRDataset_v14[[#This Row],[DateofTermination]]))</f>
        <v>N/A</v>
      </c>
      <c r="AZ193" t="str" cm="1">
        <f t="array" ref="AZ193">INDEX(_xlfn.UNIQUE(Z193:Z503),MATCH(MAX(COUNTIF(Z193:Z503,_xlfn.UNIQUE(Z193:Z503))),COUNTIF(Z193:Z503,_xlfn.UNIQUE(Z193:Z503)),0))</f>
        <v xml:space="preserve">Production       </v>
      </c>
      <c r="BA193">
        <f t="shared" si="24"/>
        <v>60</v>
      </c>
      <c r="BB193">
        <f t="shared" si="25"/>
        <v>0</v>
      </c>
      <c r="BC193" t="str">
        <f t="shared" si="20"/>
        <v>Low</v>
      </c>
      <c r="BD193">
        <f t="shared" si="21"/>
        <v>4.7</v>
      </c>
      <c r="BE193" t="str">
        <f t="shared" si="22"/>
        <v/>
      </c>
      <c r="BT193">
        <f t="shared" si="23"/>
        <v>4.7</v>
      </c>
      <c r="BV193">
        <v>4.21</v>
      </c>
    </row>
    <row r="194" spans="1:74" x14ac:dyDescent="0.3">
      <c r="A194" t="s">
        <v>449</v>
      </c>
      <c r="B194">
        <v>10223</v>
      </c>
      <c r="C194">
        <v>0</v>
      </c>
      <c r="D194">
        <v>0</v>
      </c>
      <c r="E194">
        <v>1</v>
      </c>
      <c r="F194">
        <v>3</v>
      </c>
      <c r="G194">
        <v>5</v>
      </c>
      <c r="H194">
        <v>3</v>
      </c>
      <c r="I194">
        <v>1</v>
      </c>
      <c r="J194">
        <v>72106</v>
      </c>
      <c r="K194">
        <v>0</v>
      </c>
      <c r="L194">
        <v>20</v>
      </c>
      <c r="M194" t="s">
        <v>63</v>
      </c>
      <c r="N194" t="s">
        <v>38</v>
      </c>
      <c r="O194">
        <v>2127</v>
      </c>
      <c r="P194">
        <v>28097</v>
      </c>
      <c r="Q194" t="s">
        <v>39</v>
      </c>
      <c r="R194" t="s">
        <v>40</v>
      </c>
      <c r="S194" t="s">
        <v>41</v>
      </c>
      <c r="T194" t="s">
        <v>42</v>
      </c>
      <c r="U194" t="s">
        <v>91</v>
      </c>
      <c r="V194">
        <v>40917</v>
      </c>
      <c r="X194" t="s">
        <v>44</v>
      </c>
      <c r="Y194" t="s">
        <v>45</v>
      </c>
      <c r="Z194" t="s">
        <v>46</v>
      </c>
      <c r="AA194" t="s">
        <v>113</v>
      </c>
      <c r="AB194">
        <v>18</v>
      </c>
      <c r="AC194" t="s">
        <v>93</v>
      </c>
      <c r="AD194" t="s">
        <v>60</v>
      </c>
      <c r="AE194">
        <v>4.0999999999999996</v>
      </c>
      <c r="AF194">
        <v>4</v>
      </c>
      <c r="AG194">
        <v>0</v>
      </c>
      <c r="AH194" t="s">
        <v>235</v>
      </c>
      <c r="AI194">
        <v>0</v>
      </c>
      <c r="AJ194">
        <v>12</v>
      </c>
      <c r="AK194" t="str">
        <f t="shared" ref="AK194:AK257" si="26">IF(J194&gt;AVERAGE($J$2:$J$100)+3*STDEV($J$2:$J$100)," high Outlier","Normal")</f>
        <v>Normal</v>
      </c>
      <c r="AL194" t="str">
        <f t="shared" ref="AL194:AL257" si="27">IF(J194&gt;AVERAGE($J$2:$J$100)-3*STDEV($J$2:$J$100),"low Outlier","Normal")</f>
        <v>low Outlier</v>
      </c>
      <c r="AM194">
        <f ca="1">INT((TODAY()-HRDataset_v14[[#This Row],[DOB]])/365.25)</f>
        <v>49</v>
      </c>
      <c r="AN194">
        <f ca="1">DATEDIF(HRDataset_v14[[#This Row],[DateofHire]],TODAY(),"Y")</f>
        <v>14</v>
      </c>
      <c r="AO194">
        <f ca="1">IF(ISBLANK(HRDataset_v14[[#This Row],[DateofTermination]]),DATEDIF(HRDataset_v14[[#This Row],[DateofHire]],TODAY(),"Y"),DATEDIF(HRDataset_v14[[#This Row],[DateofHire]],HRDataset_v14[[#This Row],[DateofTermination]],"Y"))</f>
        <v>14</v>
      </c>
      <c r="AP194" t="str">
        <f ca="1">IF(HRDataset_v14[[#This Row],[Tenure in Years
]]&lt;1,"0-1 Year",IF(HRDataset_v14[[#This Row],[Tenure in Years
]]&lt;3,"1-3 Years",IF(HRDataset_v14[[#This Row],[Tenure in Years
]]&lt;5,"3-5 Years",IF(HRDataset_v14[[#This Row],[Tenure in Years
]]&lt;10,"5-10 Years","10+ Years"))))</f>
        <v>10+ Years</v>
      </c>
      <c r="AQ194" t="str">
        <f ca="1">IF(HRDataset_v14[[#This Row],[Age Calculation
]]&lt;26,"18-25",IF(HRDataset_v14[[#This Row],[Age Calculation
]]&lt;36,"26-35",IF(HRDataset_v14[[#This Row],[Age Calculation
]]&lt;46,"36-45",IF(HRDataset_v14[[#This Row],[Age Calculation
]]&lt;56,"46-55","55+"))))</f>
        <v>46-55</v>
      </c>
      <c r="AR194" t="str">
        <f>IF(HRDataset_v14[[#This Row],[Salary]]&lt;40000,"Entry (&lt;40K)",IF(HRDataset_v14[[#This Row],[Salary]]&lt;70000,"Mid (40-70K)",IF(HRDataset_v14[[#This Row],[Salary]]&lt;100000,"Senior (70-100K)","Executive (100K+)")))</f>
        <v>Senior (70-100K)</v>
      </c>
      <c r="AS194">
        <f>IF(HRDataset_v14[[#This Row],[EmploymentStatus]]="Active",1,0)</f>
        <v>1</v>
      </c>
      <c r="AT194">
        <f>YEAR(HRDataset_v14[[#This Row],[DateofHire]])</f>
        <v>2012</v>
      </c>
      <c r="AU194">
        <f>MONTH(HRDataset_v14[[#This Row],[DateofHire]])</f>
        <v>1</v>
      </c>
      <c r="AV194" t="str">
        <f>"Q"&amp;ROUNDUP(MONTH(HRDataset_v14[[#This Row],[DateofHire]])/3,0)</f>
        <v>Q1</v>
      </c>
      <c r="AW194" t="str">
        <f>TEXT(HRDataset_v14[[#This Row],[DateofHire]],"MMM")</f>
        <v>Jan</v>
      </c>
      <c r="AX194" t="str">
        <f>TEXT(HRDataset_v14[[#This Row],[DateofHire]],"YYYY-MM")</f>
        <v>2012-01</v>
      </c>
      <c r="AY194" t="str">
        <f>IF(ISBLANK(HRDataset_v14[[#This Row],[DateofTermination]]),"N/A",YEAR(HRDataset_v14[[#This Row],[DateofTermination]]))</f>
        <v>N/A</v>
      </c>
      <c r="AZ194" t="str" cm="1">
        <f t="array" ref="AZ194">INDEX(_xlfn.UNIQUE(Z194:Z504),MATCH(MAX(COUNTIF(Z194:Z504,_xlfn.UNIQUE(Z194:Z504))),COUNTIF(Z194:Z504,_xlfn.UNIQUE(Z194:Z504)),0))</f>
        <v xml:space="preserve">Production       </v>
      </c>
      <c r="BA194">
        <f t="shared" si="24"/>
        <v>14.285714285714285</v>
      </c>
      <c r="BB194">
        <f t="shared" si="25"/>
        <v>0</v>
      </c>
      <c r="BC194" t="str">
        <f t="shared" ref="BC194:BC257" si="28">IF(OR(AD194="PIP",AD194="Needs Improvement",AE194&lt;=2),"High",
IF(OR(AD194="Fully Meets",AE194=3),"Medium",
IF(AND(AD194="Exceeds",AE194&gt;=4),"Low","Medium")))</f>
        <v>Medium</v>
      </c>
      <c r="BD194">
        <f t="shared" ref="BD194:BD257" si="29">IF($K194=0,$AE194,"")</f>
        <v>4.0999999999999996</v>
      </c>
      <c r="BE194" t="str">
        <f t="shared" ref="BE194:BE257" si="30">IF($K194=1,$AE194,"")</f>
        <v/>
      </c>
      <c r="BT194">
        <f t="shared" ref="BT194:BT257" si="31">IF($K194=0,$AE194,"")</f>
        <v>4.0999999999999996</v>
      </c>
      <c r="BV194">
        <v>4.0999999999999996</v>
      </c>
    </row>
    <row r="195" spans="1:74" x14ac:dyDescent="0.3">
      <c r="A195" t="s">
        <v>450</v>
      </c>
      <c r="B195">
        <v>10151</v>
      </c>
      <c r="C195">
        <v>1</v>
      </c>
      <c r="D195">
        <v>1</v>
      </c>
      <c r="E195">
        <v>0</v>
      </c>
      <c r="F195">
        <v>1</v>
      </c>
      <c r="G195">
        <v>3</v>
      </c>
      <c r="H195">
        <v>3</v>
      </c>
      <c r="I195">
        <v>0</v>
      </c>
      <c r="J195">
        <v>52599</v>
      </c>
      <c r="K195">
        <v>0</v>
      </c>
      <c r="L195">
        <v>15</v>
      </c>
      <c r="M195" t="s">
        <v>289</v>
      </c>
      <c r="N195" t="s">
        <v>38</v>
      </c>
      <c r="O195">
        <v>2048</v>
      </c>
      <c r="P195">
        <v>28949</v>
      </c>
      <c r="Q195" t="s">
        <v>64</v>
      </c>
      <c r="R195" t="s">
        <v>53</v>
      </c>
      <c r="S195" t="s">
        <v>41</v>
      </c>
      <c r="T195" t="s">
        <v>42</v>
      </c>
      <c r="U195" t="s">
        <v>43</v>
      </c>
      <c r="V195">
        <v>42051</v>
      </c>
      <c r="X195" t="s">
        <v>44</v>
      </c>
      <c r="Y195" t="s">
        <v>45</v>
      </c>
      <c r="Z195" t="s">
        <v>57</v>
      </c>
      <c r="AA195" t="s">
        <v>97</v>
      </c>
      <c r="AB195">
        <v>7</v>
      </c>
      <c r="AC195" t="s">
        <v>140</v>
      </c>
      <c r="AD195" t="s">
        <v>60</v>
      </c>
      <c r="AE195">
        <v>3.81</v>
      </c>
      <c r="AF195">
        <v>3</v>
      </c>
      <c r="AG195">
        <v>6</v>
      </c>
      <c r="AH195" t="s">
        <v>349</v>
      </c>
      <c r="AI195">
        <v>0</v>
      </c>
      <c r="AJ195">
        <v>6</v>
      </c>
      <c r="AK195" t="str">
        <f t="shared" si="26"/>
        <v>Normal</v>
      </c>
      <c r="AL195" t="str">
        <f t="shared" si="27"/>
        <v>low Outlier</v>
      </c>
      <c r="AM195">
        <f ca="1">INT((TODAY()-HRDataset_v14[[#This Row],[DOB]])/365.25)</f>
        <v>46</v>
      </c>
      <c r="AN195">
        <f ca="1">DATEDIF(HRDataset_v14[[#This Row],[DateofHire]],TODAY(),"Y")</f>
        <v>11</v>
      </c>
      <c r="AO195">
        <f ca="1">IF(ISBLANK(HRDataset_v14[[#This Row],[DateofTermination]]),DATEDIF(HRDataset_v14[[#This Row],[DateofHire]],TODAY(),"Y"),DATEDIF(HRDataset_v14[[#This Row],[DateofHire]],HRDataset_v14[[#This Row],[DateofTermination]],"Y"))</f>
        <v>11</v>
      </c>
      <c r="AP195" t="str">
        <f ca="1">IF(HRDataset_v14[[#This Row],[Tenure in Years
]]&lt;1,"0-1 Year",IF(HRDataset_v14[[#This Row],[Tenure in Years
]]&lt;3,"1-3 Years",IF(HRDataset_v14[[#This Row],[Tenure in Years
]]&lt;5,"3-5 Years",IF(HRDataset_v14[[#This Row],[Tenure in Years
]]&lt;10,"5-10 Years","10+ Years"))))</f>
        <v>10+ Years</v>
      </c>
      <c r="AQ195" t="str">
        <f ca="1">IF(HRDataset_v14[[#This Row],[Age Calculation
]]&lt;26,"18-25",IF(HRDataset_v14[[#This Row],[Age Calculation
]]&lt;36,"26-35",IF(HRDataset_v14[[#This Row],[Age Calculation
]]&lt;46,"36-45",IF(HRDataset_v14[[#This Row],[Age Calculation
]]&lt;56,"46-55","55+"))))</f>
        <v>46-55</v>
      </c>
      <c r="AR195" t="str">
        <f>IF(HRDataset_v14[[#This Row],[Salary]]&lt;40000,"Entry (&lt;40K)",IF(HRDataset_v14[[#This Row],[Salary]]&lt;70000,"Mid (40-70K)",IF(HRDataset_v14[[#This Row],[Salary]]&lt;100000,"Senior (70-100K)","Executive (100K+)")))</f>
        <v>Mid (40-70K)</v>
      </c>
      <c r="AS195">
        <f>IF(HRDataset_v14[[#This Row],[EmploymentStatus]]="Active",1,0)</f>
        <v>1</v>
      </c>
      <c r="AT195">
        <f>YEAR(HRDataset_v14[[#This Row],[DateofHire]])</f>
        <v>2015</v>
      </c>
      <c r="AU195">
        <f>MONTH(HRDataset_v14[[#This Row],[DateofHire]])</f>
        <v>2</v>
      </c>
      <c r="AV195" t="str">
        <f>"Q"&amp;ROUNDUP(MONTH(HRDataset_v14[[#This Row],[DateofHire]])/3,0)</f>
        <v>Q1</v>
      </c>
      <c r="AW195" t="str">
        <f>TEXT(HRDataset_v14[[#This Row],[DateofHire]],"MMM")</f>
        <v>Feb</v>
      </c>
      <c r="AX195" t="str">
        <f>TEXT(HRDataset_v14[[#This Row],[DateofHire]],"YYYY-MM")</f>
        <v>2015-02</v>
      </c>
      <c r="AY195" t="str">
        <f>IF(ISBLANK(HRDataset_v14[[#This Row],[DateofTermination]]),"N/A",YEAR(HRDataset_v14[[#This Row],[DateofTermination]]))</f>
        <v>N/A</v>
      </c>
      <c r="AZ195" t="str" cm="1">
        <f t="array" ref="AZ195">INDEX(_xlfn.UNIQUE(Z195:Z505),MATCH(MAX(COUNTIF(Z195:Z505,_xlfn.UNIQUE(Z195:Z505))),COUNTIF(Z195:Z505,_xlfn.UNIQUE(Z195:Z505)),0))</f>
        <v xml:space="preserve">Production       </v>
      </c>
      <c r="BA195">
        <f t="shared" ref="BA195:BA258" si="32">COUNTIFS(AA195:AA505,AA195,K195:K505,1)
/COUNTIF(AA195:AA505,AA195)*100</f>
        <v>16.666666666666664</v>
      </c>
      <c r="BB195">
        <f t="shared" ref="BB195:BB258" si="33">COUNTIFS(X195:X505,X195,K195:K505,1)</f>
        <v>0</v>
      </c>
      <c r="BC195" t="str">
        <f t="shared" si="28"/>
        <v>Medium</v>
      </c>
      <c r="BD195">
        <f t="shared" si="29"/>
        <v>3.81</v>
      </c>
      <c r="BE195" t="str">
        <f t="shared" si="30"/>
        <v/>
      </c>
      <c r="BT195">
        <f t="shared" si="31"/>
        <v>3.81</v>
      </c>
      <c r="BV195">
        <v>2.44</v>
      </c>
    </row>
    <row r="196" spans="1:74" x14ac:dyDescent="0.3">
      <c r="A196" t="s">
        <v>451</v>
      </c>
      <c r="B196">
        <v>10254</v>
      </c>
      <c r="C196">
        <v>0</v>
      </c>
      <c r="D196">
        <v>2</v>
      </c>
      <c r="E196">
        <v>0</v>
      </c>
      <c r="F196">
        <v>1</v>
      </c>
      <c r="G196">
        <v>5</v>
      </c>
      <c r="H196">
        <v>3</v>
      </c>
      <c r="I196">
        <v>0</v>
      </c>
      <c r="J196">
        <v>63430</v>
      </c>
      <c r="K196">
        <v>0</v>
      </c>
      <c r="L196">
        <v>19</v>
      </c>
      <c r="M196" t="s">
        <v>37</v>
      </c>
      <c r="N196" t="s">
        <v>38</v>
      </c>
      <c r="O196">
        <v>2453</v>
      </c>
      <c r="P196">
        <v>30870</v>
      </c>
      <c r="Q196" t="s">
        <v>64</v>
      </c>
      <c r="R196" t="s">
        <v>72</v>
      </c>
      <c r="S196" t="s">
        <v>41</v>
      </c>
      <c r="T196" t="s">
        <v>42</v>
      </c>
      <c r="U196" t="s">
        <v>43</v>
      </c>
      <c r="V196">
        <v>41365</v>
      </c>
      <c r="X196" t="s">
        <v>44</v>
      </c>
      <c r="Y196" t="s">
        <v>45</v>
      </c>
      <c r="Z196" t="s">
        <v>46</v>
      </c>
      <c r="AA196" t="s">
        <v>69</v>
      </c>
      <c r="AB196">
        <v>16</v>
      </c>
      <c r="AC196" t="s">
        <v>48</v>
      </c>
      <c r="AD196" t="s">
        <v>60</v>
      </c>
      <c r="AE196">
        <v>4.4000000000000004</v>
      </c>
      <c r="AF196">
        <v>4</v>
      </c>
      <c r="AG196">
        <v>0</v>
      </c>
      <c r="AH196" t="s">
        <v>50</v>
      </c>
      <c r="AI196">
        <v>0</v>
      </c>
      <c r="AJ196">
        <v>18</v>
      </c>
      <c r="AK196" t="str">
        <f t="shared" si="26"/>
        <v>Normal</v>
      </c>
      <c r="AL196" t="str">
        <f t="shared" si="27"/>
        <v>low Outlier</v>
      </c>
      <c r="AM196">
        <f ca="1">INT((TODAY()-HRDataset_v14[[#This Row],[DOB]])/365.25)</f>
        <v>41</v>
      </c>
      <c r="AN196">
        <f ca="1">DATEDIF(HRDataset_v14[[#This Row],[DateofHire]],TODAY(),"Y")</f>
        <v>13</v>
      </c>
      <c r="AO196">
        <f ca="1">IF(ISBLANK(HRDataset_v14[[#This Row],[DateofTermination]]),DATEDIF(HRDataset_v14[[#This Row],[DateofHire]],TODAY(),"Y"),DATEDIF(HRDataset_v14[[#This Row],[DateofHire]],HRDataset_v14[[#This Row],[DateofTermination]],"Y"))</f>
        <v>13</v>
      </c>
      <c r="AP196" t="str">
        <f ca="1">IF(HRDataset_v14[[#This Row],[Tenure in Years
]]&lt;1,"0-1 Year",IF(HRDataset_v14[[#This Row],[Tenure in Years
]]&lt;3,"1-3 Years",IF(HRDataset_v14[[#This Row],[Tenure in Years
]]&lt;5,"3-5 Years",IF(HRDataset_v14[[#This Row],[Tenure in Years
]]&lt;10,"5-10 Years","10+ Years"))))</f>
        <v>10+ Years</v>
      </c>
      <c r="AQ196" t="str">
        <f ca="1">IF(HRDataset_v14[[#This Row],[Age Calculation
]]&lt;26,"18-25",IF(HRDataset_v14[[#This Row],[Age Calculation
]]&lt;36,"26-35",IF(HRDataset_v14[[#This Row],[Age Calculation
]]&lt;46,"36-45",IF(HRDataset_v14[[#This Row],[Age Calculation
]]&lt;56,"46-55","55+"))))</f>
        <v>36-45</v>
      </c>
      <c r="AR196" t="str">
        <f>IF(HRDataset_v14[[#This Row],[Salary]]&lt;40000,"Entry (&lt;40K)",IF(HRDataset_v14[[#This Row],[Salary]]&lt;70000,"Mid (40-70K)",IF(HRDataset_v14[[#This Row],[Salary]]&lt;100000,"Senior (70-100K)","Executive (100K+)")))</f>
        <v>Mid (40-70K)</v>
      </c>
      <c r="AS196">
        <f>IF(HRDataset_v14[[#This Row],[EmploymentStatus]]="Active",1,0)</f>
        <v>1</v>
      </c>
      <c r="AT196">
        <f>YEAR(HRDataset_v14[[#This Row],[DateofHire]])</f>
        <v>2013</v>
      </c>
      <c r="AU196">
        <f>MONTH(HRDataset_v14[[#This Row],[DateofHire]])</f>
        <v>4</v>
      </c>
      <c r="AV196" t="str">
        <f>"Q"&amp;ROUNDUP(MONTH(HRDataset_v14[[#This Row],[DateofHire]])/3,0)</f>
        <v>Q2</v>
      </c>
      <c r="AW196" t="str">
        <f>TEXT(HRDataset_v14[[#This Row],[DateofHire]],"MMM")</f>
        <v>Apr</v>
      </c>
      <c r="AX196" t="str">
        <f>TEXT(HRDataset_v14[[#This Row],[DateofHire]],"YYYY-MM")</f>
        <v>2013-04</v>
      </c>
      <c r="AY196" t="str">
        <f>IF(ISBLANK(HRDataset_v14[[#This Row],[DateofTermination]]),"N/A",YEAR(HRDataset_v14[[#This Row],[DateofTermination]]))</f>
        <v>N/A</v>
      </c>
      <c r="AZ196" t="str" cm="1">
        <f t="array" ref="AZ196">INDEX(_xlfn.UNIQUE(Z196:Z506),MATCH(MAX(COUNTIF(Z196:Z506,_xlfn.UNIQUE(Z196:Z506))),COUNTIF(Z196:Z506,_xlfn.UNIQUE(Z196:Z506)),0))</f>
        <v xml:space="preserve">Production       </v>
      </c>
      <c r="BA196">
        <f t="shared" si="32"/>
        <v>44.444444444444443</v>
      </c>
      <c r="BB196">
        <f t="shared" si="33"/>
        <v>0</v>
      </c>
      <c r="BC196" t="str">
        <f t="shared" si="28"/>
        <v>Medium</v>
      </c>
      <c r="BD196">
        <f t="shared" si="29"/>
        <v>4.4000000000000004</v>
      </c>
      <c r="BE196" t="str">
        <f t="shared" si="30"/>
        <v/>
      </c>
      <c r="BT196">
        <f t="shared" si="31"/>
        <v>4.4000000000000004</v>
      </c>
      <c r="BV196">
        <v>5</v>
      </c>
    </row>
    <row r="197" spans="1:74" x14ac:dyDescent="0.3">
      <c r="A197" t="s">
        <v>452</v>
      </c>
      <c r="B197">
        <v>10120</v>
      </c>
      <c r="C197">
        <v>0</v>
      </c>
      <c r="D197">
        <v>3</v>
      </c>
      <c r="E197">
        <v>1</v>
      </c>
      <c r="F197">
        <v>1</v>
      </c>
      <c r="G197">
        <v>5</v>
      </c>
      <c r="H197">
        <v>3</v>
      </c>
      <c r="I197">
        <v>0</v>
      </c>
      <c r="J197">
        <v>74417</v>
      </c>
      <c r="K197">
        <v>0</v>
      </c>
      <c r="L197">
        <v>20</v>
      </c>
      <c r="M197" t="s">
        <v>63</v>
      </c>
      <c r="N197" t="s">
        <v>38</v>
      </c>
      <c r="O197">
        <v>1460</v>
      </c>
      <c r="P197">
        <v>27364</v>
      </c>
      <c r="Q197" t="s">
        <v>39</v>
      </c>
      <c r="R197" t="s">
        <v>166</v>
      </c>
      <c r="S197" t="s">
        <v>41</v>
      </c>
      <c r="T197" t="s">
        <v>42</v>
      </c>
      <c r="U197" t="s">
        <v>91</v>
      </c>
      <c r="V197">
        <v>41407</v>
      </c>
      <c r="X197" t="s">
        <v>44</v>
      </c>
      <c r="Y197" t="s">
        <v>45</v>
      </c>
      <c r="Z197" t="s">
        <v>46</v>
      </c>
      <c r="AA197" t="s">
        <v>47</v>
      </c>
      <c r="AB197">
        <v>22</v>
      </c>
      <c r="AC197" t="s">
        <v>48</v>
      </c>
      <c r="AD197" t="s">
        <v>60</v>
      </c>
      <c r="AE197">
        <v>4.29</v>
      </c>
      <c r="AF197">
        <v>5</v>
      </c>
      <c r="AG197">
        <v>0</v>
      </c>
      <c r="AH197" t="s">
        <v>223</v>
      </c>
      <c r="AI197">
        <v>0</v>
      </c>
      <c r="AJ197">
        <v>11</v>
      </c>
      <c r="AK197" t="str">
        <f t="shared" si="26"/>
        <v>Normal</v>
      </c>
      <c r="AL197" t="str">
        <f t="shared" si="27"/>
        <v>low Outlier</v>
      </c>
      <c r="AM197">
        <f ca="1">INT((TODAY()-HRDataset_v14[[#This Row],[DOB]])/365.25)</f>
        <v>51</v>
      </c>
      <c r="AN197">
        <f ca="1">DATEDIF(HRDataset_v14[[#This Row],[DateofHire]],TODAY(),"Y")</f>
        <v>12</v>
      </c>
      <c r="AO197">
        <f ca="1">IF(ISBLANK(HRDataset_v14[[#This Row],[DateofTermination]]),DATEDIF(HRDataset_v14[[#This Row],[DateofHire]],TODAY(),"Y"),DATEDIF(HRDataset_v14[[#This Row],[DateofHire]],HRDataset_v14[[#This Row],[DateofTermination]],"Y"))</f>
        <v>12</v>
      </c>
      <c r="AP197" t="str">
        <f ca="1">IF(HRDataset_v14[[#This Row],[Tenure in Years
]]&lt;1,"0-1 Year",IF(HRDataset_v14[[#This Row],[Tenure in Years
]]&lt;3,"1-3 Years",IF(HRDataset_v14[[#This Row],[Tenure in Years
]]&lt;5,"3-5 Years",IF(HRDataset_v14[[#This Row],[Tenure in Years
]]&lt;10,"5-10 Years","10+ Years"))))</f>
        <v>10+ Years</v>
      </c>
      <c r="AQ197" t="str">
        <f ca="1">IF(HRDataset_v14[[#This Row],[Age Calculation
]]&lt;26,"18-25",IF(HRDataset_v14[[#This Row],[Age Calculation
]]&lt;36,"26-35",IF(HRDataset_v14[[#This Row],[Age Calculation
]]&lt;46,"36-45",IF(HRDataset_v14[[#This Row],[Age Calculation
]]&lt;56,"46-55","55+"))))</f>
        <v>46-55</v>
      </c>
      <c r="AR197" t="str">
        <f>IF(HRDataset_v14[[#This Row],[Salary]]&lt;40000,"Entry (&lt;40K)",IF(HRDataset_v14[[#This Row],[Salary]]&lt;70000,"Mid (40-70K)",IF(HRDataset_v14[[#This Row],[Salary]]&lt;100000,"Senior (70-100K)","Executive (100K+)")))</f>
        <v>Senior (70-100K)</v>
      </c>
      <c r="AS197">
        <f>IF(HRDataset_v14[[#This Row],[EmploymentStatus]]="Active",1,0)</f>
        <v>1</v>
      </c>
      <c r="AT197">
        <f>YEAR(HRDataset_v14[[#This Row],[DateofHire]])</f>
        <v>2013</v>
      </c>
      <c r="AU197">
        <f>MONTH(HRDataset_v14[[#This Row],[DateofHire]])</f>
        <v>5</v>
      </c>
      <c r="AV197" t="str">
        <f>"Q"&amp;ROUNDUP(MONTH(HRDataset_v14[[#This Row],[DateofHire]])/3,0)</f>
        <v>Q2</v>
      </c>
      <c r="AW197" t="str">
        <f>TEXT(HRDataset_v14[[#This Row],[DateofHire]],"MMM")</f>
        <v>May</v>
      </c>
      <c r="AX197" t="str">
        <f>TEXT(HRDataset_v14[[#This Row],[DateofHire]],"YYYY-MM")</f>
        <v>2013-05</v>
      </c>
      <c r="AY197" t="str">
        <f>IF(ISBLANK(HRDataset_v14[[#This Row],[DateofTermination]]),"N/A",YEAR(HRDataset_v14[[#This Row],[DateofTermination]]))</f>
        <v>N/A</v>
      </c>
      <c r="AZ197" t="str" cm="1">
        <f t="array" ref="AZ197">INDEX(_xlfn.UNIQUE(Z197:Z507),MATCH(MAX(COUNTIF(Z197:Z507,_xlfn.UNIQUE(Z197:Z507))),COUNTIF(Z197:Z507,_xlfn.UNIQUE(Z197:Z507)),0))</f>
        <v xml:space="preserve">Production       </v>
      </c>
      <c r="BA197">
        <f t="shared" si="32"/>
        <v>42.857142857142854</v>
      </c>
      <c r="BB197">
        <f t="shared" si="33"/>
        <v>0</v>
      </c>
      <c r="BC197" t="str">
        <f t="shared" si="28"/>
        <v>Medium</v>
      </c>
      <c r="BD197">
        <f t="shared" si="29"/>
        <v>4.29</v>
      </c>
      <c r="BE197" t="str">
        <f t="shared" si="30"/>
        <v/>
      </c>
      <c r="BT197">
        <f t="shared" si="31"/>
        <v>4.29</v>
      </c>
      <c r="BV197">
        <v>2.81</v>
      </c>
    </row>
    <row r="198" spans="1:74" x14ac:dyDescent="0.3">
      <c r="A198" t="s">
        <v>453</v>
      </c>
      <c r="B198">
        <v>10216</v>
      </c>
      <c r="C198">
        <v>0</v>
      </c>
      <c r="D198">
        <v>0</v>
      </c>
      <c r="E198">
        <v>1</v>
      </c>
      <c r="F198">
        <v>1</v>
      </c>
      <c r="G198">
        <v>5</v>
      </c>
      <c r="H198">
        <v>3</v>
      </c>
      <c r="I198">
        <v>0</v>
      </c>
      <c r="J198">
        <v>57575</v>
      </c>
      <c r="K198">
        <v>0</v>
      </c>
      <c r="L198">
        <v>19</v>
      </c>
      <c r="M198" t="s">
        <v>37</v>
      </c>
      <c r="N198" t="s">
        <v>38</v>
      </c>
      <c r="O198">
        <v>1550</v>
      </c>
      <c r="P198">
        <v>29329</v>
      </c>
      <c r="Q198" t="s">
        <v>39</v>
      </c>
      <c r="R198" t="s">
        <v>40</v>
      </c>
      <c r="S198" t="s">
        <v>41</v>
      </c>
      <c r="T198" t="s">
        <v>42</v>
      </c>
      <c r="U198" t="s">
        <v>132</v>
      </c>
      <c r="V198">
        <v>41463</v>
      </c>
      <c r="X198" t="s">
        <v>44</v>
      </c>
      <c r="Y198" t="s">
        <v>45</v>
      </c>
      <c r="Z198" t="s">
        <v>46</v>
      </c>
      <c r="AA198" t="s">
        <v>66</v>
      </c>
      <c r="AB198">
        <v>20</v>
      </c>
      <c r="AC198" t="s">
        <v>48</v>
      </c>
      <c r="AD198" t="s">
        <v>60</v>
      </c>
      <c r="AE198">
        <v>4.0999999999999996</v>
      </c>
      <c r="AF198">
        <v>4</v>
      </c>
      <c r="AG198">
        <v>0</v>
      </c>
      <c r="AH198" t="s">
        <v>221</v>
      </c>
      <c r="AI198">
        <v>0</v>
      </c>
      <c r="AJ198">
        <v>13</v>
      </c>
      <c r="AK198" t="str">
        <f t="shared" si="26"/>
        <v>Normal</v>
      </c>
      <c r="AL198" t="str">
        <f t="shared" si="27"/>
        <v>low Outlier</v>
      </c>
      <c r="AM198">
        <f ca="1">INT((TODAY()-HRDataset_v14[[#This Row],[DOB]])/365.25)</f>
        <v>45</v>
      </c>
      <c r="AN198">
        <f ca="1">DATEDIF(HRDataset_v14[[#This Row],[DateofHire]],TODAY(),"Y")</f>
        <v>12</v>
      </c>
      <c r="AO198">
        <f ca="1">IF(ISBLANK(HRDataset_v14[[#This Row],[DateofTermination]]),DATEDIF(HRDataset_v14[[#This Row],[DateofHire]],TODAY(),"Y"),DATEDIF(HRDataset_v14[[#This Row],[DateofHire]],HRDataset_v14[[#This Row],[DateofTermination]],"Y"))</f>
        <v>12</v>
      </c>
      <c r="AP198" t="str">
        <f ca="1">IF(HRDataset_v14[[#This Row],[Tenure in Years
]]&lt;1,"0-1 Year",IF(HRDataset_v14[[#This Row],[Tenure in Years
]]&lt;3,"1-3 Years",IF(HRDataset_v14[[#This Row],[Tenure in Years
]]&lt;5,"3-5 Years",IF(HRDataset_v14[[#This Row],[Tenure in Years
]]&lt;10,"5-10 Years","10+ Years"))))</f>
        <v>10+ Years</v>
      </c>
      <c r="AQ198" t="str">
        <f ca="1">IF(HRDataset_v14[[#This Row],[Age Calculation
]]&lt;26,"18-25",IF(HRDataset_v14[[#This Row],[Age Calculation
]]&lt;36,"26-35",IF(HRDataset_v14[[#This Row],[Age Calculation
]]&lt;46,"36-45",IF(HRDataset_v14[[#This Row],[Age Calculation
]]&lt;56,"46-55","55+"))))</f>
        <v>36-45</v>
      </c>
      <c r="AR198" t="str">
        <f>IF(HRDataset_v14[[#This Row],[Salary]]&lt;40000,"Entry (&lt;40K)",IF(HRDataset_v14[[#This Row],[Salary]]&lt;70000,"Mid (40-70K)",IF(HRDataset_v14[[#This Row],[Salary]]&lt;100000,"Senior (70-100K)","Executive (100K+)")))</f>
        <v>Mid (40-70K)</v>
      </c>
      <c r="AS198">
        <f>IF(HRDataset_v14[[#This Row],[EmploymentStatus]]="Active",1,0)</f>
        <v>1</v>
      </c>
      <c r="AT198">
        <f>YEAR(HRDataset_v14[[#This Row],[DateofHire]])</f>
        <v>2013</v>
      </c>
      <c r="AU198">
        <f>MONTH(HRDataset_v14[[#This Row],[DateofHire]])</f>
        <v>7</v>
      </c>
      <c r="AV198" t="str">
        <f>"Q"&amp;ROUNDUP(MONTH(HRDataset_v14[[#This Row],[DateofHire]])/3,0)</f>
        <v>Q3</v>
      </c>
      <c r="AW198" t="str">
        <f>TEXT(HRDataset_v14[[#This Row],[DateofHire]],"MMM")</f>
        <v>Jul</v>
      </c>
      <c r="AX198" t="str">
        <f>TEXT(HRDataset_v14[[#This Row],[DateofHire]],"YYYY-MM")</f>
        <v>2013-07</v>
      </c>
      <c r="AY198" t="str">
        <f>IF(ISBLANK(HRDataset_v14[[#This Row],[DateofTermination]]),"N/A",YEAR(HRDataset_v14[[#This Row],[DateofTermination]]))</f>
        <v>N/A</v>
      </c>
      <c r="AZ198" t="str" cm="1">
        <f t="array" ref="AZ198">INDEX(_xlfn.UNIQUE(Z198:Z508),MATCH(MAX(COUNTIF(Z198:Z508,_xlfn.UNIQUE(Z198:Z508))),COUNTIF(Z198:Z508,_xlfn.UNIQUE(Z198:Z508)),0))</f>
        <v xml:space="preserve">Production       </v>
      </c>
      <c r="BA198">
        <f t="shared" si="32"/>
        <v>66.666666666666657</v>
      </c>
      <c r="BB198">
        <f t="shared" si="33"/>
        <v>0</v>
      </c>
      <c r="BC198" t="str">
        <f t="shared" si="28"/>
        <v>Medium</v>
      </c>
      <c r="BD198">
        <f t="shared" si="29"/>
        <v>4.0999999999999996</v>
      </c>
      <c r="BE198" t="str">
        <f t="shared" si="30"/>
        <v/>
      </c>
      <c r="BT198">
        <f t="shared" si="31"/>
        <v>4.0999999999999996</v>
      </c>
      <c r="BV198">
        <v>3.93</v>
      </c>
    </row>
    <row r="199" spans="1:74" x14ac:dyDescent="0.3">
      <c r="A199" t="s">
        <v>454</v>
      </c>
      <c r="B199">
        <v>10079</v>
      </c>
      <c r="C199">
        <v>0</v>
      </c>
      <c r="D199">
        <v>0</v>
      </c>
      <c r="E199">
        <v>1</v>
      </c>
      <c r="F199">
        <v>1</v>
      </c>
      <c r="G199">
        <v>3</v>
      </c>
      <c r="H199">
        <v>3</v>
      </c>
      <c r="I199">
        <v>0</v>
      </c>
      <c r="J199">
        <v>87921</v>
      </c>
      <c r="K199">
        <v>0</v>
      </c>
      <c r="L199">
        <v>22</v>
      </c>
      <c r="M199" t="s">
        <v>406</v>
      </c>
      <c r="N199" t="s">
        <v>38</v>
      </c>
      <c r="O199">
        <v>2056</v>
      </c>
      <c r="P199">
        <v>25683</v>
      </c>
      <c r="Q199" t="s">
        <v>39</v>
      </c>
      <c r="R199" t="s">
        <v>40</v>
      </c>
      <c r="S199" t="s">
        <v>41</v>
      </c>
      <c r="T199" t="s">
        <v>42</v>
      </c>
      <c r="U199" t="s">
        <v>132</v>
      </c>
      <c r="V199">
        <v>42776</v>
      </c>
      <c r="X199" t="s">
        <v>44</v>
      </c>
      <c r="Y199" t="s">
        <v>45</v>
      </c>
      <c r="Z199" t="s">
        <v>57</v>
      </c>
      <c r="AA199" t="s">
        <v>249</v>
      </c>
      <c r="AB199">
        <v>13</v>
      </c>
      <c r="AC199" t="s">
        <v>59</v>
      </c>
      <c r="AD199" t="s">
        <v>60</v>
      </c>
      <c r="AE199">
        <v>5</v>
      </c>
      <c r="AF199">
        <v>3</v>
      </c>
      <c r="AG199">
        <v>6</v>
      </c>
      <c r="AH199" t="s">
        <v>89</v>
      </c>
      <c r="AI199">
        <v>0</v>
      </c>
      <c r="AJ199">
        <v>17</v>
      </c>
      <c r="AK199" t="str">
        <f t="shared" si="26"/>
        <v>Normal</v>
      </c>
      <c r="AL199" t="str">
        <f t="shared" si="27"/>
        <v>low Outlier</v>
      </c>
      <c r="AM199">
        <f ca="1">INT((TODAY()-HRDataset_v14[[#This Row],[DOB]])/365.25)</f>
        <v>55</v>
      </c>
      <c r="AN199">
        <f ca="1">DATEDIF(HRDataset_v14[[#This Row],[DateofHire]],TODAY(),"Y")</f>
        <v>9</v>
      </c>
      <c r="AO199">
        <f ca="1">IF(ISBLANK(HRDataset_v14[[#This Row],[DateofTermination]]),DATEDIF(HRDataset_v14[[#This Row],[DateofHire]],TODAY(),"Y"),DATEDIF(HRDataset_v14[[#This Row],[DateofHire]],HRDataset_v14[[#This Row],[DateofTermination]],"Y"))</f>
        <v>9</v>
      </c>
      <c r="AP199" t="str">
        <f ca="1">IF(HRDataset_v14[[#This Row],[Tenure in Years
]]&lt;1,"0-1 Year",IF(HRDataset_v14[[#This Row],[Tenure in Years
]]&lt;3,"1-3 Years",IF(HRDataset_v14[[#This Row],[Tenure in Years
]]&lt;5,"3-5 Years",IF(HRDataset_v14[[#This Row],[Tenure in Years
]]&lt;10,"5-10 Years","10+ Years"))))</f>
        <v>5-10 Years</v>
      </c>
      <c r="AQ199" t="str">
        <f ca="1">IF(HRDataset_v14[[#This Row],[Age Calculation
]]&lt;26,"18-25",IF(HRDataset_v14[[#This Row],[Age Calculation
]]&lt;36,"26-35",IF(HRDataset_v14[[#This Row],[Age Calculation
]]&lt;46,"36-45",IF(HRDataset_v14[[#This Row],[Age Calculation
]]&lt;56,"46-55","55+"))))</f>
        <v>46-55</v>
      </c>
      <c r="AR199" t="str">
        <f>IF(HRDataset_v14[[#This Row],[Salary]]&lt;40000,"Entry (&lt;40K)",IF(HRDataset_v14[[#This Row],[Salary]]&lt;70000,"Mid (40-70K)",IF(HRDataset_v14[[#This Row],[Salary]]&lt;100000,"Senior (70-100K)","Executive (100K+)")))</f>
        <v>Senior (70-100K)</v>
      </c>
      <c r="AS199">
        <f>IF(HRDataset_v14[[#This Row],[EmploymentStatus]]="Active",1,0)</f>
        <v>1</v>
      </c>
      <c r="AT199">
        <f>YEAR(HRDataset_v14[[#This Row],[DateofHire]])</f>
        <v>2017</v>
      </c>
      <c r="AU199">
        <f>MONTH(HRDataset_v14[[#This Row],[DateofHire]])</f>
        <v>2</v>
      </c>
      <c r="AV199" t="str">
        <f>"Q"&amp;ROUNDUP(MONTH(HRDataset_v14[[#This Row],[DateofHire]])/3,0)</f>
        <v>Q1</v>
      </c>
      <c r="AW199" t="str">
        <f>TEXT(HRDataset_v14[[#This Row],[DateofHire]],"MMM")</f>
        <v>Feb</v>
      </c>
      <c r="AX199" t="str">
        <f>TEXT(HRDataset_v14[[#This Row],[DateofHire]],"YYYY-MM")</f>
        <v>2017-02</v>
      </c>
      <c r="AY199" t="str">
        <f>IF(ISBLANK(HRDataset_v14[[#This Row],[DateofTermination]]),"N/A",YEAR(HRDataset_v14[[#This Row],[DateofTermination]]))</f>
        <v>N/A</v>
      </c>
      <c r="AZ199" t="str" cm="1">
        <f t="array" ref="AZ199">INDEX(_xlfn.UNIQUE(Z199:Z509),MATCH(MAX(COUNTIF(Z199:Z509,_xlfn.UNIQUE(Z199:Z509))),COUNTIF(Z199:Z509,_xlfn.UNIQUE(Z199:Z509)),0))</f>
        <v xml:space="preserve">Production       </v>
      </c>
      <c r="BA199">
        <f t="shared" si="32"/>
        <v>0</v>
      </c>
      <c r="BB199">
        <f t="shared" si="33"/>
        <v>0</v>
      </c>
      <c r="BC199" t="str">
        <f t="shared" si="28"/>
        <v>Medium</v>
      </c>
      <c r="BD199">
        <f t="shared" si="29"/>
        <v>5</v>
      </c>
      <c r="BE199" t="str">
        <f t="shared" si="30"/>
        <v/>
      </c>
      <c r="BT199">
        <f t="shared" si="31"/>
        <v>5</v>
      </c>
      <c r="BV199">
        <v>4.5</v>
      </c>
    </row>
    <row r="200" spans="1:74" x14ac:dyDescent="0.3">
      <c r="A200" t="s">
        <v>455</v>
      </c>
      <c r="B200">
        <v>10215</v>
      </c>
      <c r="C200">
        <v>0</v>
      </c>
      <c r="D200">
        <v>0</v>
      </c>
      <c r="E200">
        <v>1</v>
      </c>
      <c r="F200">
        <v>5</v>
      </c>
      <c r="G200">
        <v>5</v>
      </c>
      <c r="H200">
        <v>3</v>
      </c>
      <c r="I200">
        <v>1</v>
      </c>
      <c r="J200">
        <v>50470</v>
      </c>
      <c r="K200">
        <v>1</v>
      </c>
      <c r="L200">
        <v>19</v>
      </c>
      <c r="M200" t="s">
        <v>37</v>
      </c>
      <c r="N200" t="s">
        <v>38</v>
      </c>
      <c r="O200">
        <v>2110</v>
      </c>
      <c r="P200">
        <v>32630</v>
      </c>
      <c r="Q200" t="s">
        <v>39</v>
      </c>
      <c r="R200" t="s">
        <v>40</v>
      </c>
      <c r="S200" t="s">
        <v>41</v>
      </c>
      <c r="T200" t="s">
        <v>42</v>
      </c>
      <c r="U200" t="s">
        <v>91</v>
      </c>
      <c r="V200">
        <v>40812</v>
      </c>
      <c r="W200">
        <v>41733</v>
      </c>
      <c r="X200" t="s">
        <v>73</v>
      </c>
      <c r="Y200" t="s">
        <v>56</v>
      </c>
      <c r="Z200" t="s">
        <v>46</v>
      </c>
      <c r="AA200" t="s">
        <v>74</v>
      </c>
      <c r="AB200">
        <v>39</v>
      </c>
      <c r="AC200" t="s">
        <v>93</v>
      </c>
      <c r="AD200" t="s">
        <v>60</v>
      </c>
      <c r="AE200">
        <v>4.3</v>
      </c>
      <c r="AF200">
        <v>3</v>
      </c>
      <c r="AG200">
        <v>0</v>
      </c>
      <c r="AH200" t="s">
        <v>456</v>
      </c>
      <c r="AI200">
        <v>0</v>
      </c>
      <c r="AJ200">
        <v>19</v>
      </c>
      <c r="AK200" t="str">
        <f t="shared" si="26"/>
        <v>Normal</v>
      </c>
      <c r="AL200" t="str">
        <f t="shared" si="27"/>
        <v>low Outlier</v>
      </c>
      <c r="AM200">
        <f ca="1">INT((TODAY()-HRDataset_v14[[#This Row],[DOB]])/365.25)</f>
        <v>36</v>
      </c>
      <c r="AN200">
        <f ca="1">DATEDIF(HRDataset_v14[[#This Row],[DateofHire]],TODAY(),"Y")</f>
        <v>14</v>
      </c>
      <c r="AO200">
        <f ca="1">IF(ISBLANK(HRDataset_v14[[#This Row],[DateofTermination]]),DATEDIF(HRDataset_v14[[#This Row],[DateofHire]],TODAY(),"Y"),DATEDIF(HRDataset_v14[[#This Row],[DateofHire]],HRDataset_v14[[#This Row],[DateofTermination]],"Y"))</f>
        <v>2</v>
      </c>
      <c r="AP200" t="str">
        <f ca="1">IF(HRDataset_v14[[#This Row],[Tenure in Years
]]&lt;1,"0-1 Year",IF(HRDataset_v14[[#This Row],[Tenure in Years
]]&lt;3,"1-3 Years",IF(HRDataset_v14[[#This Row],[Tenure in Years
]]&lt;5,"3-5 Years",IF(HRDataset_v14[[#This Row],[Tenure in Years
]]&lt;10,"5-10 Years","10+ Years"))))</f>
        <v>10+ Years</v>
      </c>
      <c r="AQ200" t="str">
        <f ca="1">IF(HRDataset_v14[[#This Row],[Age Calculation
]]&lt;26,"18-25",IF(HRDataset_v14[[#This Row],[Age Calculation
]]&lt;36,"26-35",IF(HRDataset_v14[[#This Row],[Age Calculation
]]&lt;46,"36-45",IF(HRDataset_v14[[#This Row],[Age Calculation
]]&lt;56,"46-55","55+"))))</f>
        <v>36-45</v>
      </c>
      <c r="AR200" t="str">
        <f>IF(HRDataset_v14[[#This Row],[Salary]]&lt;40000,"Entry (&lt;40K)",IF(HRDataset_v14[[#This Row],[Salary]]&lt;70000,"Mid (40-70K)",IF(HRDataset_v14[[#This Row],[Salary]]&lt;100000,"Senior (70-100K)","Executive (100K+)")))</f>
        <v>Mid (40-70K)</v>
      </c>
      <c r="AS200">
        <f>IF(HRDataset_v14[[#This Row],[EmploymentStatus]]="Active",1,0)</f>
        <v>0</v>
      </c>
      <c r="AT200">
        <f>YEAR(HRDataset_v14[[#This Row],[DateofHire]])</f>
        <v>2011</v>
      </c>
      <c r="AU200">
        <f>MONTH(HRDataset_v14[[#This Row],[DateofHire]])</f>
        <v>9</v>
      </c>
      <c r="AV200" t="str">
        <f>"Q"&amp;ROUNDUP(MONTH(HRDataset_v14[[#This Row],[DateofHire]])/3,0)</f>
        <v>Q3</v>
      </c>
      <c r="AW200" t="str">
        <f>TEXT(HRDataset_v14[[#This Row],[DateofHire]],"MMM")</f>
        <v>Sep</v>
      </c>
      <c r="AX200" t="str">
        <f>TEXT(HRDataset_v14[[#This Row],[DateofHire]],"YYYY-MM")</f>
        <v>2011-09</v>
      </c>
      <c r="AY200">
        <f>IF(ISBLANK(HRDataset_v14[[#This Row],[DateofTermination]]),"N/A",YEAR(HRDataset_v14[[#This Row],[DateofTermination]]))</f>
        <v>2014</v>
      </c>
      <c r="AZ200" t="str" cm="1">
        <f t="array" ref="AZ200">INDEX(_xlfn.UNIQUE(Z200:Z510),MATCH(MAX(COUNTIF(Z200:Z510,_xlfn.UNIQUE(Z200:Z510))),COUNTIF(Z200:Z510,_xlfn.UNIQUE(Z200:Z510)),0))</f>
        <v xml:space="preserve">Production       </v>
      </c>
      <c r="BA200">
        <f t="shared" si="32"/>
        <v>75</v>
      </c>
      <c r="BB200">
        <f t="shared" si="33"/>
        <v>3</v>
      </c>
      <c r="BC200" t="str">
        <f t="shared" si="28"/>
        <v>Medium</v>
      </c>
      <c r="BD200" t="str">
        <f t="shared" si="29"/>
        <v/>
      </c>
      <c r="BE200">
        <f t="shared" si="30"/>
        <v>4.3</v>
      </c>
      <c r="BT200" t="str">
        <f t="shared" si="31"/>
        <v/>
      </c>
      <c r="BV200">
        <v>3.21</v>
      </c>
    </row>
    <row r="201" spans="1:74" x14ac:dyDescent="0.3">
      <c r="A201" t="s">
        <v>457</v>
      </c>
      <c r="B201">
        <v>10185</v>
      </c>
      <c r="C201">
        <v>1</v>
      </c>
      <c r="D201">
        <v>1</v>
      </c>
      <c r="E201">
        <v>1</v>
      </c>
      <c r="F201">
        <v>5</v>
      </c>
      <c r="G201">
        <v>5</v>
      </c>
      <c r="H201">
        <v>3</v>
      </c>
      <c r="I201">
        <v>0</v>
      </c>
      <c r="J201">
        <v>46664</v>
      </c>
      <c r="K201">
        <v>1</v>
      </c>
      <c r="L201">
        <v>19</v>
      </c>
      <c r="M201" t="s">
        <v>37</v>
      </c>
      <c r="N201" t="s">
        <v>38</v>
      </c>
      <c r="O201">
        <v>2421</v>
      </c>
      <c r="P201">
        <v>30403</v>
      </c>
      <c r="Q201" t="s">
        <v>39</v>
      </c>
      <c r="R201" t="s">
        <v>53</v>
      </c>
      <c r="S201" t="s">
        <v>41</v>
      </c>
      <c r="T201" t="s">
        <v>42</v>
      </c>
      <c r="U201" t="s">
        <v>43</v>
      </c>
      <c r="V201">
        <v>41365</v>
      </c>
      <c r="W201">
        <v>42515</v>
      </c>
      <c r="X201" t="s">
        <v>243</v>
      </c>
      <c r="Y201" t="s">
        <v>56</v>
      </c>
      <c r="Z201" t="s">
        <v>46</v>
      </c>
      <c r="AA201" t="s">
        <v>78</v>
      </c>
      <c r="AB201">
        <v>11</v>
      </c>
      <c r="AC201" t="s">
        <v>88</v>
      </c>
      <c r="AD201" t="s">
        <v>60</v>
      </c>
      <c r="AE201">
        <v>3.18</v>
      </c>
      <c r="AF201">
        <v>3</v>
      </c>
      <c r="AG201">
        <v>0</v>
      </c>
      <c r="AH201" t="s">
        <v>458</v>
      </c>
      <c r="AI201">
        <v>0</v>
      </c>
      <c r="AJ201">
        <v>10</v>
      </c>
      <c r="AK201" t="str">
        <f t="shared" si="26"/>
        <v>Normal</v>
      </c>
      <c r="AL201" t="str">
        <f t="shared" si="27"/>
        <v>low Outlier</v>
      </c>
      <c r="AM201">
        <f ca="1">INT((TODAY()-HRDataset_v14[[#This Row],[DOB]])/365.25)</f>
        <v>43</v>
      </c>
      <c r="AN201">
        <f ca="1">DATEDIF(HRDataset_v14[[#This Row],[DateofHire]],TODAY(),"Y")</f>
        <v>13</v>
      </c>
      <c r="AO201">
        <f ca="1">IF(ISBLANK(HRDataset_v14[[#This Row],[DateofTermination]]),DATEDIF(HRDataset_v14[[#This Row],[DateofHire]],TODAY(),"Y"),DATEDIF(HRDataset_v14[[#This Row],[DateofHire]],HRDataset_v14[[#This Row],[DateofTermination]],"Y"))</f>
        <v>3</v>
      </c>
      <c r="AP201" t="str">
        <f ca="1">IF(HRDataset_v14[[#This Row],[Tenure in Years
]]&lt;1,"0-1 Year",IF(HRDataset_v14[[#This Row],[Tenure in Years
]]&lt;3,"1-3 Years",IF(HRDataset_v14[[#This Row],[Tenure in Years
]]&lt;5,"3-5 Years",IF(HRDataset_v14[[#This Row],[Tenure in Years
]]&lt;10,"5-10 Years","10+ Years"))))</f>
        <v>10+ Years</v>
      </c>
      <c r="AQ201" t="str">
        <f ca="1">IF(HRDataset_v14[[#This Row],[Age Calculation
]]&lt;26,"18-25",IF(HRDataset_v14[[#This Row],[Age Calculation
]]&lt;36,"26-35",IF(HRDataset_v14[[#This Row],[Age Calculation
]]&lt;46,"36-45",IF(HRDataset_v14[[#This Row],[Age Calculation
]]&lt;56,"46-55","55+"))))</f>
        <v>36-45</v>
      </c>
      <c r="AR201" t="str">
        <f>IF(HRDataset_v14[[#This Row],[Salary]]&lt;40000,"Entry (&lt;40K)",IF(HRDataset_v14[[#This Row],[Salary]]&lt;70000,"Mid (40-70K)",IF(HRDataset_v14[[#This Row],[Salary]]&lt;100000,"Senior (70-100K)","Executive (100K+)")))</f>
        <v>Mid (40-70K)</v>
      </c>
      <c r="AS201">
        <f>IF(HRDataset_v14[[#This Row],[EmploymentStatus]]="Active",1,0)</f>
        <v>0</v>
      </c>
      <c r="AT201">
        <f>YEAR(HRDataset_v14[[#This Row],[DateofHire]])</f>
        <v>2013</v>
      </c>
      <c r="AU201">
        <f>MONTH(HRDataset_v14[[#This Row],[DateofHire]])</f>
        <v>4</v>
      </c>
      <c r="AV201" t="str">
        <f>"Q"&amp;ROUNDUP(MONTH(HRDataset_v14[[#This Row],[DateofHire]])/3,0)</f>
        <v>Q2</v>
      </c>
      <c r="AW201" t="str">
        <f>TEXT(HRDataset_v14[[#This Row],[DateofHire]],"MMM")</f>
        <v>Apr</v>
      </c>
      <c r="AX201" t="str">
        <f>TEXT(HRDataset_v14[[#This Row],[DateofHire]],"YYYY-MM")</f>
        <v>2013-04</v>
      </c>
      <c r="AY201">
        <f>IF(ISBLANK(HRDataset_v14[[#This Row],[DateofTermination]]),"N/A",YEAR(HRDataset_v14[[#This Row],[DateofTermination]]))</f>
        <v>2016</v>
      </c>
      <c r="AZ201" t="str" cm="1">
        <f t="array" ref="AZ201">INDEX(_xlfn.UNIQUE(Z201:Z511),MATCH(MAX(COUNTIF(Z201:Z511,_xlfn.UNIQUE(Z201:Z511))),COUNTIF(Z201:Z511,_xlfn.UNIQUE(Z201:Z511)),0))</f>
        <v xml:space="preserve">Production       </v>
      </c>
      <c r="BA201">
        <f t="shared" si="32"/>
        <v>87.5</v>
      </c>
      <c r="BB201">
        <f t="shared" si="33"/>
        <v>4</v>
      </c>
      <c r="BC201" t="str">
        <f t="shared" si="28"/>
        <v>Medium</v>
      </c>
      <c r="BD201" t="str">
        <f t="shared" si="29"/>
        <v/>
      </c>
      <c r="BE201">
        <f t="shared" si="30"/>
        <v>3.18</v>
      </c>
      <c r="BT201" t="str">
        <f t="shared" si="31"/>
        <v/>
      </c>
      <c r="BV201">
        <v>3.11</v>
      </c>
    </row>
    <row r="202" spans="1:74" x14ac:dyDescent="0.3">
      <c r="A202" t="s">
        <v>459</v>
      </c>
      <c r="B202">
        <v>10063</v>
      </c>
      <c r="C202">
        <v>1</v>
      </c>
      <c r="D202">
        <v>1</v>
      </c>
      <c r="E202">
        <v>1</v>
      </c>
      <c r="F202">
        <v>3</v>
      </c>
      <c r="G202">
        <v>5</v>
      </c>
      <c r="H202">
        <v>3</v>
      </c>
      <c r="I202">
        <v>0</v>
      </c>
      <c r="J202">
        <v>48495</v>
      </c>
      <c r="K202">
        <v>0</v>
      </c>
      <c r="L202">
        <v>19</v>
      </c>
      <c r="M202" t="s">
        <v>37</v>
      </c>
      <c r="N202" t="s">
        <v>38</v>
      </c>
      <c r="O202">
        <v>2136</v>
      </c>
      <c r="P202">
        <v>28223</v>
      </c>
      <c r="Q202" t="s">
        <v>39</v>
      </c>
      <c r="R202" t="s">
        <v>53</v>
      </c>
      <c r="S202" t="s">
        <v>41</v>
      </c>
      <c r="T202" t="s">
        <v>42</v>
      </c>
      <c r="U202" t="s">
        <v>43</v>
      </c>
      <c r="V202">
        <v>41771</v>
      </c>
      <c r="X202" t="s">
        <v>44</v>
      </c>
      <c r="Y202" t="s">
        <v>45</v>
      </c>
      <c r="Z202" t="s">
        <v>46</v>
      </c>
      <c r="AA202" t="s">
        <v>87</v>
      </c>
      <c r="AB202">
        <v>19</v>
      </c>
      <c r="AC202" t="s">
        <v>48</v>
      </c>
      <c r="AD202" t="s">
        <v>60</v>
      </c>
      <c r="AE202">
        <v>5</v>
      </c>
      <c r="AF202">
        <v>5</v>
      </c>
      <c r="AG202">
        <v>0</v>
      </c>
      <c r="AH202" t="s">
        <v>98</v>
      </c>
      <c r="AI202">
        <v>0</v>
      </c>
      <c r="AJ202">
        <v>11</v>
      </c>
      <c r="AK202" t="str">
        <f t="shared" si="26"/>
        <v>Normal</v>
      </c>
      <c r="AL202" t="str">
        <f t="shared" si="27"/>
        <v>low Outlier</v>
      </c>
      <c r="AM202">
        <f ca="1">INT((TODAY()-HRDataset_v14[[#This Row],[DOB]])/365.25)</f>
        <v>48</v>
      </c>
      <c r="AN202">
        <f ca="1">DATEDIF(HRDataset_v14[[#This Row],[DateofHire]],TODAY(),"Y")</f>
        <v>11</v>
      </c>
      <c r="AO202">
        <f ca="1">IF(ISBLANK(HRDataset_v14[[#This Row],[DateofTermination]]),DATEDIF(HRDataset_v14[[#This Row],[DateofHire]],TODAY(),"Y"),DATEDIF(HRDataset_v14[[#This Row],[DateofHire]],HRDataset_v14[[#This Row],[DateofTermination]],"Y"))</f>
        <v>11</v>
      </c>
      <c r="AP202" t="str">
        <f ca="1">IF(HRDataset_v14[[#This Row],[Tenure in Years
]]&lt;1,"0-1 Year",IF(HRDataset_v14[[#This Row],[Tenure in Years
]]&lt;3,"1-3 Years",IF(HRDataset_v14[[#This Row],[Tenure in Years
]]&lt;5,"3-5 Years",IF(HRDataset_v14[[#This Row],[Tenure in Years
]]&lt;10,"5-10 Years","10+ Years"))))</f>
        <v>10+ Years</v>
      </c>
      <c r="AQ202" t="str">
        <f ca="1">IF(HRDataset_v14[[#This Row],[Age Calculation
]]&lt;26,"18-25",IF(HRDataset_v14[[#This Row],[Age Calculation
]]&lt;36,"26-35",IF(HRDataset_v14[[#This Row],[Age Calculation
]]&lt;46,"36-45",IF(HRDataset_v14[[#This Row],[Age Calculation
]]&lt;56,"46-55","55+"))))</f>
        <v>46-55</v>
      </c>
      <c r="AR202" t="str">
        <f>IF(HRDataset_v14[[#This Row],[Salary]]&lt;40000,"Entry (&lt;40K)",IF(HRDataset_v14[[#This Row],[Salary]]&lt;70000,"Mid (40-70K)",IF(HRDataset_v14[[#This Row],[Salary]]&lt;100000,"Senior (70-100K)","Executive (100K+)")))</f>
        <v>Mid (40-70K)</v>
      </c>
      <c r="AS202">
        <f>IF(HRDataset_v14[[#This Row],[EmploymentStatus]]="Active",1,0)</f>
        <v>1</v>
      </c>
      <c r="AT202">
        <f>YEAR(HRDataset_v14[[#This Row],[DateofHire]])</f>
        <v>2014</v>
      </c>
      <c r="AU202">
        <f>MONTH(HRDataset_v14[[#This Row],[DateofHire]])</f>
        <v>5</v>
      </c>
      <c r="AV202" t="str">
        <f>"Q"&amp;ROUNDUP(MONTH(HRDataset_v14[[#This Row],[DateofHire]])/3,0)</f>
        <v>Q2</v>
      </c>
      <c r="AW202" t="str">
        <f>TEXT(HRDataset_v14[[#This Row],[DateofHire]],"MMM")</f>
        <v>May</v>
      </c>
      <c r="AX202" t="str">
        <f>TEXT(HRDataset_v14[[#This Row],[DateofHire]],"YYYY-MM")</f>
        <v>2014-05</v>
      </c>
      <c r="AY202" t="str">
        <f>IF(ISBLANK(HRDataset_v14[[#This Row],[DateofTermination]]),"N/A",YEAR(HRDataset_v14[[#This Row],[DateofTermination]]))</f>
        <v>N/A</v>
      </c>
      <c r="AZ202" t="str" cm="1">
        <f t="array" ref="AZ202">INDEX(_xlfn.UNIQUE(Z202:Z512),MATCH(MAX(COUNTIF(Z202:Z512,_xlfn.UNIQUE(Z202:Z512))),COUNTIF(Z202:Z512,_xlfn.UNIQUE(Z202:Z512)),0))</f>
        <v xml:space="preserve">Production       </v>
      </c>
      <c r="BA202">
        <f t="shared" si="32"/>
        <v>57.142857142857139</v>
      </c>
      <c r="BB202">
        <f t="shared" si="33"/>
        <v>0</v>
      </c>
      <c r="BC202" t="str">
        <f t="shared" si="28"/>
        <v>Medium</v>
      </c>
      <c r="BD202">
        <f t="shared" si="29"/>
        <v>5</v>
      </c>
      <c r="BE202" t="str">
        <f t="shared" si="30"/>
        <v/>
      </c>
      <c r="BT202">
        <f t="shared" si="31"/>
        <v>5</v>
      </c>
      <c r="BV202">
        <v>3.42</v>
      </c>
    </row>
    <row r="203" spans="1:74" x14ac:dyDescent="0.3">
      <c r="A203" t="s">
        <v>460</v>
      </c>
      <c r="B203">
        <v>10037</v>
      </c>
      <c r="C203">
        <v>0</v>
      </c>
      <c r="D203">
        <v>3</v>
      </c>
      <c r="E203">
        <v>0</v>
      </c>
      <c r="F203">
        <v>1</v>
      </c>
      <c r="G203">
        <v>5</v>
      </c>
      <c r="H203">
        <v>4</v>
      </c>
      <c r="I203">
        <v>1</v>
      </c>
      <c r="J203">
        <v>52984</v>
      </c>
      <c r="K203">
        <v>0</v>
      </c>
      <c r="L203">
        <v>19</v>
      </c>
      <c r="M203" t="s">
        <v>37</v>
      </c>
      <c r="N203" t="s">
        <v>38</v>
      </c>
      <c r="O203">
        <v>1810</v>
      </c>
      <c r="P203">
        <v>24626</v>
      </c>
      <c r="Q203" t="s">
        <v>64</v>
      </c>
      <c r="R203" t="s">
        <v>166</v>
      </c>
      <c r="S203" t="s">
        <v>41</v>
      </c>
      <c r="T203" t="s">
        <v>42</v>
      </c>
      <c r="U203" t="s">
        <v>91</v>
      </c>
      <c r="V203">
        <v>41365</v>
      </c>
      <c r="X203" t="s">
        <v>44</v>
      </c>
      <c r="Y203" t="s">
        <v>45</v>
      </c>
      <c r="Z203" t="s">
        <v>46</v>
      </c>
      <c r="AA203" t="s">
        <v>92</v>
      </c>
      <c r="AB203">
        <v>12</v>
      </c>
      <c r="AC203" t="s">
        <v>93</v>
      </c>
      <c r="AD203" t="s">
        <v>49</v>
      </c>
      <c r="AE203">
        <v>4</v>
      </c>
      <c r="AF203">
        <v>3</v>
      </c>
      <c r="AG203">
        <v>0</v>
      </c>
      <c r="AH203" t="s">
        <v>273</v>
      </c>
      <c r="AI203">
        <v>0</v>
      </c>
      <c r="AJ203">
        <v>12</v>
      </c>
      <c r="AK203" t="str">
        <f t="shared" si="26"/>
        <v>Normal</v>
      </c>
      <c r="AL203" t="str">
        <f t="shared" si="27"/>
        <v>low Outlier</v>
      </c>
      <c r="AM203">
        <f ca="1">INT((TODAY()-HRDataset_v14[[#This Row],[DOB]])/365.25)</f>
        <v>58</v>
      </c>
      <c r="AN203">
        <f ca="1">DATEDIF(HRDataset_v14[[#This Row],[DateofHire]],TODAY(),"Y")</f>
        <v>13</v>
      </c>
      <c r="AO203">
        <f ca="1">IF(ISBLANK(HRDataset_v14[[#This Row],[DateofTermination]]),DATEDIF(HRDataset_v14[[#This Row],[DateofHire]],TODAY(),"Y"),DATEDIF(HRDataset_v14[[#This Row],[DateofHire]],HRDataset_v14[[#This Row],[DateofTermination]],"Y"))</f>
        <v>13</v>
      </c>
      <c r="AP203" t="str">
        <f ca="1">IF(HRDataset_v14[[#This Row],[Tenure in Years
]]&lt;1,"0-1 Year",IF(HRDataset_v14[[#This Row],[Tenure in Years
]]&lt;3,"1-3 Years",IF(HRDataset_v14[[#This Row],[Tenure in Years
]]&lt;5,"3-5 Years",IF(HRDataset_v14[[#This Row],[Tenure in Years
]]&lt;10,"5-10 Years","10+ Years"))))</f>
        <v>10+ Years</v>
      </c>
      <c r="AQ203" t="str">
        <f ca="1">IF(HRDataset_v14[[#This Row],[Age Calculation
]]&lt;26,"18-25",IF(HRDataset_v14[[#This Row],[Age Calculation
]]&lt;36,"26-35",IF(HRDataset_v14[[#This Row],[Age Calculation
]]&lt;46,"36-45",IF(HRDataset_v14[[#This Row],[Age Calculation
]]&lt;56,"46-55","55+"))))</f>
        <v>55+</v>
      </c>
      <c r="AR203" t="str">
        <f>IF(HRDataset_v14[[#This Row],[Salary]]&lt;40000,"Entry (&lt;40K)",IF(HRDataset_v14[[#This Row],[Salary]]&lt;70000,"Mid (40-70K)",IF(HRDataset_v14[[#This Row],[Salary]]&lt;100000,"Senior (70-100K)","Executive (100K+)")))</f>
        <v>Mid (40-70K)</v>
      </c>
      <c r="AS203">
        <f>IF(HRDataset_v14[[#This Row],[EmploymentStatus]]="Active",1,0)</f>
        <v>1</v>
      </c>
      <c r="AT203">
        <f>YEAR(HRDataset_v14[[#This Row],[DateofHire]])</f>
        <v>2013</v>
      </c>
      <c r="AU203">
        <f>MONTH(HRDataset_v14[[#This Row],[DateofHire]])</f>
        <v>4</v>
      </c>
      <c r="AV203" t="str">
        <f>"Q"&amp;ROUNDUP(MONTH(HRDataset_v14[[#This Row],[DateofHire]])/3,0)</f>
        <v>Q2</v>
      </c>
      <c r="AW203" t="str">
        <f>TEXT(HRDataset_v14[[#This Row],[DateofHire]],"MMM")</f>
        <v>Apr</v>
      </c>
      <c r="AX203" t="str">
        <f>TEXT(HRDataset_v14[[#This Row],[DateofHire]],"YYYY-MM")</f>
        <v>2013-04</v>
      </c>
      <c r="AY203" t="str">
        <f>IF(ISBLANK(HRDataset_v14[[#This Row],[DateofTermination]]),"N/A",YEAR(HRDataset_v14[[#This Row],[DateofTermination]]))</f>
        <v>N/A</v>
      </c>
      <c r="AZ203" t="str" cm="1">
        <f t="array" ref="AZ203">INDEX(_xlfn.UNIQUE(Z203:Z513),MATCH(MAX(COUNTIF(Z203:Z513,_xlfn.UNIQUE(Z203:Z513))),COUNTIF(Z203:Z513,_xlfn.UNIQUE(Z203:Z513)),0))</f>
        <v xml:space="preserve">Production       </v>
      </c>
      <c r="BA203">
        <f t="shared" si="32"/>
        <v>37.5</v>
      </c>
      <c r="BB203">
        <f t="shared" si="33"/>
        <v>0</v>
      </c>
      <c r="BC203" t="str">
        <f t="shared" si="28"/>
        <v>Low</v>
      </c>
      <c r="BD203">
        <f t="shared" si="29"/>
        <v>4</v>
      </c>
      <c r="BE203" t="str">
        <f t="shared" si="30"/>
        <v/>
      </c>
      <c r="BT203">
        <f t="shared" si="31"/>
        <v>4</v>
      </c>
      <c r="BV203">
        <v>4.2</v>
      </c>
    </row>
    <row r="204" spans="1:74" x14ac:dyDescent="0.3">
      <c r="A204" t="s">
        <v>461</v>
      </c>
      <c r="B204">
        <v>10042</v>
      </c>
      <c r="C204">
        <v>0</v>
      </c>
      <c r="D204">
        <v>0</v>
      </c>
      <c r="E204">
        <v>0</v>
      </c>
      <c r="F204">
        <v>1</v>
      </c>
      <c r="G204">
        <v>6</v>
      </c>
      <c r="H204">
        <v>3</v>
      </c>
      <c r="I204">
        <v>0</v>
      </c>
      <c r="J204">
        <v>63695</v>
      </c>
      <c r="K204">
        <v>0</v>
      </c>
      <c r="L204">
        <v>3</v>
      </c>
      <c r="M204" t="s">
        <v>169</v>
      </c>
      <c r="N204" t="s">
        <v>462</v>
      </c>
      <c r="O204">
        <v>30428</v>
      </c>
      <c r="P204">
        <v>32598</v>
      </c>
      <c r="Q204" t="s">
        <v>64</v>
      </c>
      <c r="R204" t="s">
        <v>40</v>
      </c>
      <c r="S204" t="s">
        <v>41</v>
      </c>
      <c r="T204" t="s">
        <v>42</v>
      </c>
      <c r="U204" t="s">
        <v>111</v>
      </c>
      <c r="V204">
        <v>41463</v>
      </c>
      <c r="X204" t="s">
        <v>44</v>
      </c>
      <c r="Y204" t="s">
        <v>45</v>
      </c>
      <c r="Z204" t="s">
        <v>171</v>
      </c>
      <c r="AA204" t="s">
        <v>197</v>
      </c>
      <c r="AB204">
        <v>21</v>
      </c>
      <c r="AC204" t="s">
        <v>59</v>
      </c>
      <c r="AD204" t="s">
        <v>60</v>
      </c>
      <c r="AE204">
        <v>5</v>
      </c>
      <c r="AF204">
        <v>5</v>
      </c>
      <c r="AG204">
        <v>0</v>
      </c>
      <c r="AH204" t="s">
        <v>94</v>
      </c>
      <c r="AI204">
        <v>0</v>
      </c>
      <c r="AJ204">
        <v>2</v>
      </c>
      <c r="AK204" t="str">
        <f t="shared" si="26"/>
        <v>Normal</v>
      </c>
      <c r="AL204" t="str">
        <f t="shared" si="27"/>
        <v>low Outlier</v>
      </c>
      <c r="AM204">
        <f ca="1">INT((TODAY()-HRDataset_v14[[#This Row],[DOB]])/365.25)</f>
        <v>37</v>
      </c>
      <c r="AN204">
        <f ca="1">DATEDIF(HRDataset_v14[[#This Row],[DateofHire]],TODAY(),"Y")</f>
        <v>12</v>
      </c>
      <c r="AO204">
        <f ca="1">IF(ISBLANK(HRDataset_v14[[#This Row],[DateofTermination]]),DATEDIF(HRDataset_v14[[#This Row],[DateofHire]],TODAY(),"Y"),DATEDIF(HRDataset_v14[[#This Row],[DateofHire]],HRDataset_v14[[#This Row],[DateofTermination]],"Y"))</f>
        <v>12</v>
      </c>
      <c r="AP204" t="str">
        <f ca="1">IF(HRDataset_v14[[#This Row],[Tenure in Years
]]&lt;1,"0-1 Year",IF(HRDataset_v14[[#This Row],[Tenure in Years
]]&lt;3,"1-3 Years",IF(HRDataset_v14[[#This Row],[Tenure in Years
]]&lt;5,"3-5 Years",IF(HRDataset_v14[[#This Row],[Tenure in Years
]]&lt;10,"5-10 Years","10+ Years"))))</f>
        <v>10+ Years</v>
      </c>
      <c r="AQ204" t="str">
        <f ca="1">IF(HRDataset_v14[[#This Row],[Age Calculation
]]&lt;26,"18-25",IF(HRDataset_v14[[#This Row],[Age Calculation
]]&lt;36,"26-35",IF(HRDataset_v14[[#This Row],[Age Calculation
]]&lt;46,"36-45",IF(HRDataset_v14[[#This Row],[Age Calculation
]]&lt;56,"46-55","55+"))))</f>
        <v>36-45</v>
      </c>
      <c r="AR204" t="str">
        <f>IF(HRDataset_v14[[#This Row],[Salary]]&lt;40000,"Entry (&lt;40K)",IF(HRDataset_v14[[#This Row],[Salary]]&lt;70000,"Mid (40-70K)",IF(HRDataset_v14[[#This Row],[Salary]]&lt;100000,"Senior (70-100K)","Executive (100K+)")))</f>
        <v>Mid (40-70K)</v>
      </c>
      <c r="AS204">
        <f>IF(HRDataset_v14[[#This Row],[EmploymentStatus]]="Active",1,0)</f>
        <v>1</v>
      </c>
      <c r="AT204">
        <f>YEAR(HRDataset_v14[[#This Row],[DateofHire]])</f>
        <v>2013</v>
      </c>
      <c r="AU204">
        <f>MONTH(HRDataset_v14[[#This Row],[DateofHire]])</f>
        <v>7</v>
      </c>
      <c r="AV204" t="str">
        <f>"Q"&amp;ROUNDUP(MONTH(HRDataset_v14[[#This Row],[DateofHire]])/3,0)</f>
        <v>Q3</v>
      </c>
      <c r="AW204" t="str">
        <f>TEXT(HRDataset_v14[[#This Row],[DateofHire]],"MMM")</f>
        <v>Jul</v>
      </c>
      <c r="AX204" t="str">
        <f>TEXT(HRDataset_v14[[#This Row],[DateofHire]],"YYYY-MM")</f>
        <v>2013-07</v>
      </c>
      <c r="AY204" t="str">
        <f>IF(ISBLANK(HRDataset_v14[[#This Row],[DateofTermination]]),"N/A",YEAR(HRDataset_v14[[#This Row],[DateofTermination]]))</f>
        <v>N/A</v>
      </c>
      <c r="AZ204" t="str" cm="1">
        <f t="array" ref="AZ204">INDEX(_xlfn.UNIQUE(Z204:Z514),MATCH(MAX(COUNTIF(Z204:Z514,_xlfn.UNIQUE(Z204:Z514))),COUNTIF(Z204:Z514,_xlfn.UNIQUE(Z204:Z514)),0))</f>
        <v xml:space="preserve">Production       </v>
      </c>
      <c r="BA204">
        <f t="shared" si="32"/>
        <v>0</v>
      </c>
      <c r="BB204">
        <f t="shared" si="33"/>
        <v>0</v>
      </c>
      <c r="BC204" t="str">
        <f t="shared" si="28"/>
        <v>Medium</v>
      </c>
      <c r="BD204">
        <f t="shared" si="29"/>
        <v>5</v>
      </c>
      <c r="BE204" t="str">
        <f t="shared" si="30"/>
        <v/>
      </c>
      <c r="BT204">
        <f t="shared" si="31"/>
        <v>5</v>
      </c>
      <c r="BV204">
        <v>3.4</v>
      </c>
    </row>
    <row r="205" spans="1:74" x14ac:dyDescent="0.3">
      <c r="A205" t="s">
        <v>463</v>
      </c>
      <c r="B205">
        <v>10206</v>
      </c>
      <c r="C205">
        <v>0</v>
      </c>
      <c r="D205">
        <v>0</v>
      </c>
      <c r="E205">
        <v>0</v>
      </c>
      <c r="F205">
        <v>1</v>
      </c>
      <c r="G205">
        <v>5</v>
      </c>
      <c r="H205">
        <v>3</v>
      </c>
      <c r="I205">
        <v>0</v>
      </c>
      <c r="J205">
        <v>62061</v>
      </c>
      <c r="K205">
        <v>0</v>
      </c>
      <c r="L205">
        <v>19</v>
      </c>
      <c r="M205" t="s">
        <v>37</v>
      </c>
      <c r="N205" t="s">
        <v>38</v>
      </c>
      <c r="O205">
        <v>2132</v>
      </c>
      <c r="P205">
        <v>30870</v>
      </c>
      <c r="Q205" t="s">
        <v>64</v>
      </c>
      <c r="R205" t="s">
        <v>40</v>
      </c>
      <c r="S205" t="s">
        <v>41</v>
      </c>
      <c r="T205" t="s">
        <v>42</v>
      </c>
      <c r="U205" t="s">
        <v>43</v>
      </c>
      <c r="V205">
        <v>41463</v>
      </c>
      <c r="X205" t="s">
        <v>44</v>
      </c>
      <c r="Y205" t="s">
        <v>45</v>
      </c>
      <c r="Z205" t="s">
        <v>46</v>
      </c>
      <c r="AA205" t="s">
        <v>102</v>
      </c>
      <c r="AB205">
        <v>14</v>
      </c>
      <c r="AC205" t="s">
        <v>48</v>
      </c>
      <c r="AD205" t="s">
        <v>60</v>
      </c>
      <c r="AE205">
        <v>3.6</v>
      </c>
      <c r="AF205">
        <v>5</v>
      </c>
      <c r="AG205">
        <v>0</v>
      </c>
      <c r="AH205" t="s">
        <v>84</v>
      </c>
      <c r="AI205">
        <v>0</v>
      </c>
      <c r="AJ205">
        <v>4</v>
      </c>
      <c r="AK205" t="str">
        <f t="shared" si="26"/>
        <v>Normal</v>
      </c>
      <c r="AL205" t="str">
        <f t="shared" si="27"/>
        <v>low Outlier</v>
      </c>
      <c r="AM205">
        <f ca="1">INT((TODAY()-HRDataset_v14[[#This Row],[DOB]])/365.25)</f>
        <v>41</v>
      </c>
      <c r="AN205">
        <f ca="1">DATEDIF(HRDataset_v14[[#This Row],[DateofHire]],TODAY(),"Y")</f>
        <v>12</v>
      </c>
      <c r="AO205">
        <f ca="1">IF(ISBLANK(HRDataset_v14[[#This Row],[DateofTermination]]),DATEDIF(HRDataset_v14[[#This Row],[DateofHire]],TODAY(),"Y"),DATEDIF(HRDataset_v14[[#This Row],[DateofHire]],HRDataset_v14[[#This Row],[DateofTermination]],"Y"))</f>
        <v>12</v>
      </c>
      <c r="AP205" t="str">
        <f ca="1">IF(HRDataset_v14[[#This Row],[Tenure in Years
]]&lt;1,"0-1 Year",IF(HRDataset_v14[[#This Row],[Tenure in Years
]]&lt;3,"1-3 Years",IF(HRDataset_v14[[#This Row],[Tenure in Years
]]&lt;5,"3-5 Years",IF(HRDataset_v14[[#This Row],[Tenure in Years
]]&lt;10,"5-10 Years","10+ Years"))))</f>
        <v>10+ Years</v>
      </c>
      <c r="AQ205" t="str">
        <f ca="1">IF(HRDataset_v14[[#This Row],[Age Calculation
]]&lt;26,"18-25",IF(HRDataset_v14[[#This Row],[Age Calculation
]]&lt;36,"26-35",IF(HRDataset_v14[[#This Row],[Age Calculation
]]&lt;46,"36-45",IF(HRDataset_v14[[#This Row],[Age Calculation
]]&lt;56,"46-55","55+"))))</f>
        <v>36-45</v>
      </c>
      <c r="AR205" t="str">
        <f>IF(HRDataset_v14[[#This Row],[Salary]]&lt;40000,"Entry (&lt;40K)",IF(HRDataset_v14[[#This Row],[Salary]]&lt;70000,"Mid (40-70K)",IF(HRDataset_v14[[#This Row],[Salary]]&lt;100000,"Senior (70-100K)","Executive (100K+)")))</f>
        <v>Mid (40-70K)</v>
      </c>
      <c r="AS205">
        <f>IF(HRDataset_v14[[#This Row],[EmploymentStatus]]="Active",1,0)</f>
        <v>1</v>
      </c>
      <c r="AT205">
        <f>YEAR(HRDataset_v14[[#This Row],[DateofHire]])</f>
        <v>2013</v>
      </c>
      <c r="AU205">
        <f>MONTH(HRDataset_v14[[#This Row],[DateofHire]])</f>
        <v>7</v>
      </c>
      <c r="AV205" t="str">
        <f>"Q"&amp;ROUNDUP(MONTH(HRDataset_v14[[#This Row],[DateofHire]])/3,0)</f>
        <v>Q3</v>
      </c>
      <c r="AW205" t="str">
        <f>TEXT(HRDataset_v14[[#This Row],[DateofHire]],"MMM")</f>
        <v>Jul</v>
      </c>
      <c r="AX205" t="str">
        <f>TEXT(HRDataset_v14[[#This Row],[DateofHire]],"YYYY-MM")</f>
        <v>2013-07</v>
      </c>
      <c r="AY205" t="str">
        <f>IF(ISBLANK(HRDataset_v14[[#This Row],[DateofTermination]]),"N/A",YEAR(HRDataset_v14[[#This Row],[DateofTermination]]))</f>
        <v>N/A</v>
      </c>
      <c r="AZ205" t="str" cm="1">
        <f t="array" ref="AZ205">INDEX(_xlfn.UNIQUE(Z205:Z515),MATCH(MAX(COUNTIF(Z205:Z515,_xlfn.UNIQUE(Z205:Z515))),COUNTIF(Z205:Z515,_xlfn.UNIQUE(Z205:Z515)),0))</f>
        <v xml:space="preserve">Production       </v>
      </c>
      <c r="BA205">
        <f t="shared" si="32"/>
        <v>25</v>
      </c>
      <c r="BB205">
        <f t="shared" si="33"/>
        <v>0</v>
      </c>
      <c r="BC205" t="str">
        <f t="shared" si="28"/>
        <v>Medium</v>
      </c>
      <c r="BD205">
        <f t="shared" si="29"/>
        <v>3.6</v>
      </c>
      <c r="BE205" t="str">
        <f t="shared" si="30"/>
        <v/>
      </c>
      <c r="BT205">
        <f t="shared" si="31"/>
        <v>3.6</v>
      </c>
      <c r="BV205">
        <v>4.07</v>
      </c>
    </row>
    <row r="206" spans="1:74" x14ac:dyDescent="0.3">
      <c r="A206" t="s">
        <v>464</v>
      </c>
      <c r="B206">
        <v>10104</v>
      </c>
      <c r="C206">
        <v>0</v>
      </c>
      <c r="D206">
        <v>0</v>
      </c>
      <c r="E206">
        <v>0</v>
      </c>
      <c r="F206">
        <v>1</v>
      </c>
      <c r="G206">
        <v>5</v>
      </c>
      <c r="H206">
        <v>3</v>
      </c>
      <c r="I206">
        <v>0</v>
      </c>
      <c r="J206">
        <v>66738</v>
      </c>
      <c r="K206">
        <v>0</v>
      </c>
      <c r="L206">
        <v>20</v>
      </c>
      <c r="M206" t="s">
        <v>63</v>
      </c>
      <c r="N206" t="s">
        <v>38</v>
      </c>
      <c r="O206">
        <v>1040</v>
      </c>
      <c r="P206">
        <v>31374</v>
      </c>
      <c r="Q206" t="s">
        <v>64</v>
      </c>
      <c r="R206" t="s">
        <v>40</v>
      </c>
      <c r="S206" t="s">
        <v>41</v>
      </c>
      <c r="T206" t="s">
        <v>42</v>
      </c>
      <c r="U206" t="s">
        <v>43</v>
      </c>
      <c r="V206">
        <v>41953</v>
      </c>
      <c r="X206" t="s">
        <v>44</v>
      </c>
      <c r="Y206" t="s">
        <v>45</v>
      </c>
      <c r="Z206" t="s">
        <v>46</v>
      </c>
      <c r="AA206" t="s">
        <v>69</v>
      </c>
      <c r="AB206">
        <v>16</v>
      </c>
      <c r="AC206" t="s">
        <v>59</v>
      </c>
      <c r="AD206" t="s">
        <v>60</v>
      </c>
      <c r="AE206">
        <v>4.53</v>
      </c>
      <c r="AF206">
        <v>5</v>
      </c>
      <c r="AG206">
        <v>0</v>
      </c>
      <c r="AH206" t="s">
        <v>310</v>
      </c>
      <c r="AI206">
        <v>0</v>
      </c>
      <c r="AJ206">
        <v>5</v>
      </c>
      <c r="AK206" t="str">
        <f t="shared" si="26"/>
        <v>Normal</v>
      </c>
      <c r="AL206" t="str">
        <f t="shared" si="27"/>
        <v>low Outlier</v>
      </c>
      <c r="AM206">
        <f ca="1">INT((TODAY()-HRDataset_v14[[#This Row],[DOB]])/365.25)</f>
        <v>40</v>
      </c>
      <c r="AN206">
        <f ca="1">DATEDIF(HRDataset_v14[[#This Row],[DateofHire]],TODAY(),"Y")</f>
        <v>11</v>
      </c>
      <c r="AO206">
        <f ca="1">IF(ISBLANK(HRDataset_v14[[#This Row],[DateofTermination]]),DATEDIF(HRDataset_v14[[#This Row],[DateofHire]],TODAY(),"Y"),DATEDIF(HRDataset_v14[[#This Row],[DateofHire]],HRDataset_v14[[#This Row],[DateofTermination]],"Y"))</f>
        <v>11</v>
      </c>
      <c r="AP206" t="str">
        <f ca="1">IF(HRDataset_v14[[#This Row],[Tenure in Years
]]&lt;1,"0-1 Year",IF(HRDataset_v14[[#This Row],[Tenure in Years
]]&lt;3,"1-3 Years",IF(HRDataset_v14[[#This Row],[Tenure in Years
]]&lt;5,"3-5 Years",IF(HRDataset_v14[[#This Row],[Tenure in Years
]]&lt;10,"5-10 Years","10+ Years"))))</f>
        <v>10+ Years</v>
      </c>
      <c r="AQ206" t="str">
        <f ca="1">IF(HRDataset_v14[[#This Row],[Age Calculation
]]&lt;26,"18-25",IF(HRDataset_v14[[#This Row],[Age Calculation
]]&lt;36,"26-35",IF(HRDataset_v14[[#This Row],[Age Calculation
]]&lt;46,"36-45",IF(HRDataset_v14[[#This Row],[Age Calculation
]]&lt;56,"46-55","55+"))))</f>
        <v>36-45</v>
      </c>
      <c r="AR206" t="str">
        <f>IF(HRDataset_v14[[#This Row],[Salary]]&lt;40000,"Entry (&lt;40K)",IF(HRDataset_v14[[#This Row],[Salary]]&lt;70000,"Mid (40-70K)",IF(HRDataset_v14[[#This Row],[Salary]]&lt;100000,"Senior (70-100K)","Executive (100K+)")))</f>
        <v>Mid (40-70K)</v>
      </c>
      <c r="AS206">
        <f>IF(HRDataset_v14[[#This Row],[EmploymentStatus]]="Active",1,0)</f>
        <v>1</v>
      </c>
      <c r="AT206">
        <f>YEAR(HRDataset_v14[[#This Row],[DateofHire]])</f>
        <v>2014</v>
      </c>
      <c r="AU206">
        <f>MONTH(HRDataset_v14[[#This Row],[DateofHire]])</f>
        <v>11</v>
      </c>
      <c r="AV206" t="str">
        <f>"Q"&amp;ROUNDUP(MONTH(HRDataset_v14[[#This Row],[DateofHire]])/3,0)</f>
        <v>Q4</v>
      </c>
      <c r="AW206" t="str">
        <f>TEXT(HRDataset_v14[[#This Row],[DateofHire]],"MMM")</f>
        <v>Nov</v>
      </c>
      <c r="AX206" t="str">
        <f>TEXT(HRDataset_v14[[#This Row],[DateofHire]],"YYYY-MM")</f>
        <v>2014-11</v>
      </c>
      <c r="AY206" t="str">
        <f>IF(ISBLANK(HRDataset_v14[[#This Row],[DateofTermination]]),"N/A",YEAR(HRDataset_v14[[#This Row],[DateofTermination]]))</f>
        <v>N/A</v>
      </c>
      <c r="AZ206" t="str" cm="1">
        <f t="array" ref="AZ206">INDEX(_xlfn.UNIQUE(Z206:Z516),MATCH(MAX(COUNTIF(Z206:Z516,_xlfn.UNIQUE(Z206:Z516))),COUNTIF(Z206:Z516,_xlfn.UNIQUE(Z206:Z516)),0))</f>
        <v xml:space="preserve">Production       </v>
      </c>
      <c r="BA206">
        <f t="shared" si="32"/>
        <v>50</v>
      </c>
      <c r="BB206">
        <f t="shared" si="33"/>
        <v>0</v>
      </c>
      <c r="BC206" t="str">
        <f t="shared" si="28"/>
        <v>Medium</v>
      </c>
      <c r="BD206">
        <f t="shared" si="29"/>
        <v>4.53</v>
      </c>
      <c r="BE206" t="str">
        <f t="shared" si="30"/>
        <v/>
      </c>
      <c r="BT206">
        <f t="shared" si="31"/>
        <v>4.53</v>
      </c>
      <c r="BV206">
        <v>4.5999999999999996</v>
      </c>
    </row>
    <row r="207" spans="1:74" x14ac:dyDescent="0.3">
      <c r="A207" t="s">
        <v>465</v>
      </c>
      <c r="B207">
        <v>10303</v>
      </c>
      <c r="C207">
        <v>0</v>
      </c>
      <c r="D207">
        <v>0</v>
      </c>
      <c r="E207">
        <v>0</v>
      </c>
      <c r="F207">
        <v>4</v>
      </c>
      <c r="G207">
        <v>5</v>
      </c>
      <c r="H207">
        <v>1</v>
      </c>
      <c r="I207">
        <v>0</v>
      </c>
      <c r="J207">
        <v>52674</v>
      </c>
      <c r="K207">
        <v>1</v>
      </c>
      <c r="L207">
        <v>19</v>
      </c>
      <c r="M207" t="s">
        <v>37</v>
      </c>
      <c r="N207" t="s">
        <v>38</v>
      </c>
      <c r="O207">
        <v>2152</v>
      </c>
      <c r="P207">
        <v>29494</v>
      </c>
      <c r="Q207" t="s">
        <v>64</v>
      </c>
      <c r="R207" t="s">
        <v>40</v>
      </c>
      <c r="S207" t="s">
        <v>41</v>
      </c>
      <c r="T207" t="s">
        <v>42</v>
      </c>
      <c r="U207" t="s">
        <v>111</v>
      </c>
      <c r="V207">
        <v>41729</v>
      </c>
      <c r="W207">
        <v>43221</v>
      </c>
      <c r="X207" t="s">
        <v>129</v>
      </c>
      <c r="Y207" t="s">
        <v>121</v>
      </c>
      <c r="Z207" t="s">
        <v>46</v>
      </c>
      <c r="AA207" t="s">
        <v>66</v>
      </c>
      <c r="AB207">
        <v>20</v>
      </c>
      <c r="AC207" t="s">
        <v>48</v>
      </c>
      <c r="AD207" t="s">
        <v>241</v>
      </c>
      <c r="AE207">
        <v>2.33</v>
      </c>
      <c r="AF207">
        <v>2</v>
      </c>
      <c r="AG207">
        <v>0</v>
      </c>
      <c r="AH207" t="s">
        <v>466</v>
      </c>
      <c r="AI207">
        <v>6</v>
      </c>
      <c r="AJ207">
        <v>3</v>
      </c>
      <c r="AK207" t="str">
        <f t="shared" si="26"/>
        <v>Normal</v>
      </c>
      <c r="AL207" t="str">
        <f t="shared" si="27"/>
        <v>low Outlier</v>
      </c>
      <c r="AM207">
        <f ca="1">INT((TODAY()-HRDataset_v14[[#This Row],[DOB]])/365.25)</f>
        <v>45</v>
      </c>
      <c r="AN207">
        <f ca="1">DATEDIF(HRDataset_v14[[#This Row],[DateofHire]],TODAY(),"Y")</f>
        <v>12</v>
      </c>
      <c r="AO207">
        <f ca="1">IF(ISBLANK(HRDataset_v14[[#This Row],[DateofTermination]]),DATEDIF(HRDataset_v14[[#This Row],[DateofHire]],TODAY(),"Y"),DATEDIF(HRDataset_v14[[#This Row],[DateofHire]],HRDataset_v14[[#This Row],[DateofTermination]],"Y"))</f>
        <v>4</v>
      </c>
      <c r="AP207" t="str">
        <f ca="1">IF(HRDataset_v14[[#This Row],[Tenure in Years
]]&lt;1,"0-1 Year",IF(HRDataset_v14[[#This Row],[Tenure in Years
]]&lt;3,"1-3 Years",IF(HRDataset_v14[[#This Row],[Tenure in Years
]]&lt;5,"3-5 Years",IF(HRDataset_v14[[#This Row],[Tenure in Years
]]&lt;10,"5-10 Years","10+ Years"))))</f>
        <v>10+ Years</v>
      </c>
      <c r="AQ207" t="str">
        <f ca="1">IF(HRDataset_v14[[#This Row],[Age Calculation
]]&lt;26,"18-25",IF(HRDataset_v14[[#This Row],[Age Calculation
]]&lt;36,"26-35",IF(HRDataset_v14[[#This Row],[Age Calculation
]]&lt;46,"36-45",IF(HRDataset_v14[[#This Row],[Age Calculation
]]&lt;56,"46-55","55+"))))</f>
        <v>36-45</v>
      </c>
      <c r="AR207" t="str">
        <f>IF(HRDataset_v14[[#This Row],[Salary]]&lt;40000,"Entry (&lt;40K)",IF(HRDataset_v14[[#This Row],[Salary]]&lt;70000,"Mid (40-70K)",IF(HRDataset_v14[[#This Row],[Salary]]&lt;100000,"Senior (70-100K)","Executive (100K+)")))</f>
        <v>Mid (40-70K)</v>
      </c>
      <c r="AS207">
        <f>IF(HRDataset_v14[[#This Row],[EmploymentStatus]]="Active",1,0)</f>
        <v>0</v>
      </c>
      <c r="AT207">
        <f>YEAR(HRDataset_v14[[#This Row],[DateofHire]])</f>
        <v>2014</v>
      </c>
      <c r="AU207">
        <f>MONTH(HRDataset_v14[[#This Row],[DateofHire]])</f>
        <v>3</v>
      </c>
      <c r="AV207" t="str">
        <f>"Q"&amp;ROUNDUP(MONTH(HRDataset_v14[[#This Row],[DateofHire]])/3,0)</f>
        <v>Q1</v>
      </c>
      <c r="AW207" t="str">
        <f>TEXT(HRDataset_v14[[#This Row],[DateofHire]],"MMM")</f>
        <v>Mar</v>
      </c>
      <c r="AX207" t="str">
        <f>TEXT(HRDataset_v14[[#This Row],[DateofHire]],"YYYY-MM")</f>
        <v>2014-03</v>
      </c>
      <c r="AY207">
        <f>IF(ISBLANK(HRDataset_v14[[#This Row],[DateofTermination]]),"N/A",YEAR(HRDataset_v14[[#This Row],[DateofTermination]]))</f>
        <v>2018</v>
      </c>
      <c r="AZ207" t="str" cm="1">
        <f t="array" ref="AZ207">INDEX(_xlfn.UNIQUE(Z207:Z517),MATCH(MAX(COUNTIF(Z207:Z517,_xlfn.UNIQUE(Z207:Z517))),COUNTIF(Z207:Z517,_xlfn.UNIQUE(Z207:Z517)),0))</f>
        <v xml:space="preserve">Production       </v>
      </c>
      <c r="BA207">
        <f t="shared" si="32"/>
        <v>75</v>
      </c>
      <c r="BB207">
        <f t="shared" si="33"/>
        <v>2</v>
      </c>
      <c r="BC207" t="str">
        <f t="shared" si="28"/>
        <v>High</v>
      </c>
      <c r="BD207" t="str">
        <f t="shared" si="29"/>
        <v/>
      </c>
      <c r="BE207">
        <f t="shared" si="30"/>
        <v>2.33</v>
      </c>
      <c r="BT207" t="str">
        <f t="shared" si="31"/>
        <v/>
      </c>
      <c r="BV207">
        <v>5</v>
      </c>
    </row>
    <row r="208" spans="1:74" x14ac:dyDescent="0.3">
      <c r="A208" t="s">
        <v>467</v>
      </c>
      <c r="B208">
        <v>10078</v>
      </c>
      <c r="C208">
        <v>1</v>
      </c>
      <c r="D208">
        <v>1</v>
      </c>
      <c r="E208">
        <v>0</v>
      </c>
      <c r="F208">
        <v>5</v>
      </c>
      <c r="G208">
        <v>5</v>
      </c>
      <c r="H208">
        <v>3</v>
      </c>
      <c r="I208">
        <v>0</v>
      </c>
      <c r="J208">
        <v>71966</v>
      </c>
      <c r="K208">
        <v>1</v>
      </c>
      <c r="L208">
        <v>20</v>
      </c>
      <c r="M208" t="s">
        <v>63</v>
      </c>
      <c r="N208" t="s">
        <v>38</v>
      </c>
      <c r="O208">
        <v>2492</v>
      </c>
      <c r="P208">
        <v>19035</v>
      </c>
      <c r="Q208" t="s">
        <v>64</v>
      </c>
      <c r="R208" t="s">
        <v>53</v>
      </c>
      <c r="S208" t="s">
        <v>41</v>
      </c>
      <c r="T208" t="s">
        <v>42</v>
      </c>
      <c r="U208" t="s">
        <v>132</v>
      </c>
      <c r="V208">
        <v>41043</v>
      </c>
      <c r="W208">
        <v>41505</v>
      </c>
      <c r="X208" t="s">
        <v>105</v>
      </c>
      <c r="Y208" t="s">
        <v>56</v>
      </c>
      <c r="Z208" t="s">
        <v>46</v>
      </c>
      <c r="AA208" t="s">
        <v>74</v>
      </c>
      <c r="AB208">
        <v>39</v>
      </c>
      <c r="AC208" t="s">
        <v>48</v>
      </c>
      <c r="AD208" t="s">
        <v>60</v>
      </c>
      <c r="AE208">
        <v>5</v>
      </c>
      <c r="AF208">
        <v>3</v>
      </c>
      <c r="AG208">
        <v>0</v>
      </c>
      <c r="AH208" t="s">
        <v>468</v>
      </c>
      <c r="AI208">
        <v>0</v>
      </c>
      <c r="AJ208">
        <v>17</v>
      </c>
      <c r="AK208" t="str">
        <f t="shared" si="26"/>
        <v>Normal</v>
      </c>
      <c r="AL208" t="str">
        <f t="shared" si="27"/>
        <v>low Outlier</v>
      </c>
      <c r="AM208">
        <f ca="1">INT((TODAY()-HRDataset_v14[[#This Row],[DOB]])/365.25)</f>
        <v>74</v>
      </c>
      <c r="AN208">
        <f ca="1">DATEDIF(HRDataset_v14[[#This Row],[DateofHire]],TODAY(),"Y")</f>
        <v>13</v>
      </c>
      <c r="AO208">
        <f ca="1">IF(ISBLANK(HRDataset_v14[[#This Row],[DateofTermination]]),DATEDIF(HRDataset_v14[[#This Row],[DateofHire]],TODAY(),"Y"),DATEDIF(HRDataset_v14[[#This Row],[DateofHire]],HRDataset_v14[[#This Row],[DateofTermination]],"Y"))</f>
        <v>1</v>
      </c>
      <c r="AP208" t="str">
        <f ca="1">IF(HRDataset_v14[[#This Row],[Tenure in Years
]]&lt;1,"0-1 Year",IF(HRDataset_v14[[#This Row],[Tenure in Years
]]&lt;3,"1-3 Years",IF(HRDataset_v14[[#This Row],[Tenure in Years
]]&lt;5,"3-5 Years",IF(HRDataset_v14[[#This Row],[Tenure in Years
]]&lt;10,"5-10 Years","10+ Years"))))</f>
        <v>10+ Years</v>
      </c>
      <c r="AQ208" t="str">
        <f ca="1">IF(HRDataset_v14[[#This Row],[Age Calculation
]]&lt;26,"18-25",IF(HRDataset_v14[[#This Row],[Age Calculation
]]&lt;36,"26-35",IF(HRDataset_v14[[#This Row],[Age Calculation
]]&lt;46,"36-45",IF(HRDataset_v14[[#This Row],[Age Calculation
]]&lt;56,"46-55","55+"))))</f>
        <v>55+</v>
      </c>
      <c r="AR208" t="str">
        <f>IF(HRDataset_v14[[#This Row],[Salary]]&lt;40000,"Entry (&lt;40K)",IF(HRDataset_v14[[#This Row],[Salary]]&lt;70000,"Mid (40-70K)",IF(HRDataset_v14[[#This Row],[Salary]]&lt;100000,"Senior (70-100K)","Executive (100K+)")))</f>
        <v>Senior (70-100K)</v>
      </c>
      <c r="AS208">
        <f>IF(HRDataset_v14[[#This Row],[EmploymentStatus]]="Active",1,0)</f>
        <v>0</v>
      </c>
      <c r="AT208">
        <f>YEAR(HRDataset_v14[[#This Row],[DateofHire]])</f>
        <v>2012</v>
      </c>
      <c r="AU208">
        <f>MONTH(HRDataset_v14[[#This Row],[DateofHire]])</f>
        <v>5</v>
      </c>
      <c r="AV208" t="str">
        <f>"Q"&amp;ROUNDUP(MONTH(HRDataset_v14[[#This Row],[DateofHire]])/3,0)</f>
        <v>Q2</v>
      </c>
      <c r="AW208" t="str">
        <f>TEXT(HRDataset_v14[[#This Row],[DateofHire]],"MMM")</f>
        <v>May</v>
      </c>
      <c r="AX208" t="str">
        <f>TEXT(HRDataset_v14[[#This Row],[DateofHire]],"YYYY-MM")</f>
        <v>2012-05</v>
      </c>
      <c r="AY208">
        <f>IF(ISBLANK(HRDataset_v14[[#This Row],[DateofTermination]]),"N/A",YEAR(HRDataset_v14[[#This Row],[DateofTermination]]))</f>
        <v>2013</v>
      </c>
      <c r="AZ208" t="str" cm="1">
        <f t="array" ref="AZ208">INDEX(_xlfn.UNIQUE(Z208:Z518),MATCH(MAX(COUNTIF(Z208:Z518,_xlfn.UNIQUE(Z208:Z518))),COUNTIF(Z208:Z518,_xlfn.UNIQUE(Z208:Z518)),0))</f>
        <v xml:space="preserve">Production       </v>
      </c>
      <c r="BA208">
        <f t="shared" si="32"/>
        <v>71.428571428571431</v>
      </c>
      <c r="BB208">
        <f t="shared" si="33"/>
        <v>6</v>
      </c>
      <c r="BC208" t="str">
        <f t="shared" si="28"/>
        <v>Medium</v>
      </c>
      <c r="BD208" t="str">
        <f t="shared" si="29"/>
        <v/>
      </c>
      <c r="BE208">
        <f t="shared" si="30"/>
        <v>5</v>
      </c>
      <c r="BT208" t="str">
        <f t="shared" si="31"/>
        <v/>
      </c>
      <c r="BV208">
        <v>4.5</v>
      </c>
    </row>
    <row r="209" spans="1:72" x14ac:dyDescent="0.3">
      <c r="A209" t="s">
        <v>469</v>
      </c>
      <c r="B209">
        <v>10121</v>
      </c>
      <c r="C209">
        <v>0</v>
      </c>
      <c r="D209">
        <v>0</v>
      </c>
      <c r="E209">
        <v>0</v>
      </c>
      <c r="F209">
        <v>1</v>
      </c>
      <c r="G209">
        <v>6</v>
      </c>
      <c r="H209">
        <v>3</v>
      </c>
      <c r="I209">
        <v>0</v>
      </c>
      <c r="J209">
        <v>63051</v>
      </c>
      <c r="K209">
        <v>0</v>
      </c>
      <c r="L209">
        <v>3</v>
      </c>
      <c r="M209" t="s">
        <v>169</v>
      </c>
      <c r="N209" t="s">
        <v>470</v>
      </c>
      <c r="O209">
        <v>33174</v>
      </c>
      <c r="P209">
        <v>33004</v>
      </c>
      <c r="Q209" t="s">
        <v>64</v>
      </c>
      <c r="R209" t="s">
        <v>40</v>
      </c>
      <c r="S209" t="s">
        <v>41</v>
      </c>
      <c r="T209" t="s">
        <v>100</v>
      </c>
      <c r="U209" t="s">
        <v>43</v>
      </c>
      <c r="V209">
        <v>41547</v>
      </c>
      <c r="X209" t="s">
        <v>44</v>
      </c>
      <c r="Y209" t="s">
        <v>45</v>
      </c>
      <c r="Z209" t="s">
        <v>171</v>
      </c>
      <c r="AA209" t="s">
        <v>197</v>
      </c>
      <c r="AB209">
        <v>21</v>
      </c>
      <c r="AC209" t="s">
        <v>59</v>
      </c>
      <c r="AD209" t="s">
        <v>60</v>
      </c>
      <c r="AE209">
        <v>4.28</v>
      </c>
      <c r="AF209">
        <v>3</v>
      </c>
      <c r="AG209">
        <v>0</v>
      </c>
      <c r="AH209" t="s">
        <v>94</v>
      </c>
      <c r="AI209">
        <v>0</v>
      </c>
      <c r="AJ209">
        <v>1</v>
      </c>
      <c r="AK209" t="str">
        <f t="shared" si="26"/>
        <v>Normal</v>
      </c>
      <c r="AL209" t="str">
        <f t="shared" si="27"/>
        <v>low Outlier</v>
      </c>
      <c r="AM209">
        <f ca="1">INT((TODAY()-HRDataset_v14[[#This Row],[DOB]])/365.25)</f>
        <v>35</v>
      </c>
      <c r="AN209">
        <f ca="1">DATEDIF(HRDataset_v14[[#This Row],[DateofHire]],TODAY(),"Y")</f>
        <v>12</v>
      </c>
      <c r="AO209">
        <f ca="1">IF(ISBLANK(HRDataset_v14[[#This Row],[DateofTermination]]),DATEDIF(HRDataset_v14[[#This Row],[DateofHire]],TODAY(),"Y"),DATEDIF(HRDataset_v14[[#This Row],[DateofHire]],HRDataset_v14[[#This Row],[DateofTermination]],"Y"))</f>
        <v>12</v>
      </c>
      <c r="AP209" t="str">
        <f ca="1">IF(HRDataset_v14[[#This Row],[Tenure in Years
]]&lt;1,"0-1 Year",IF(HRDataset_v14[[#This Row],[Tenure in Years
]]&lt;3,"1-3 Years",IF(HRDataset_v14[[#This Row],[Tenure in Years
]]&lt;5,"3-5 Years",IF(HRDataset_v14[[#This Row],[Tenure in Years
]]&lt;10,"5-10 Years","10+ Years"))))</f>
        <v>10+ Years</v>
      </c>
      <c r="AQ209" t="str">
        <f ca="1">IF(HRDataset_v14[[#This Row],[Age Calculation
]]&lt;26,"18-25",IF(HRDataset_v14[[#This Row],[Age Calculation
]]&lt;36,"26-35",IF(HRDataset_v14[[#This Row],[Age Calculation
]]&lt;46,"36-45",IF(HRDataset_v14[[#This Row],[Age Calculation
]]&lt;56,"46-55","55+"))))</f>
        <v>26-35</v>
      </c>
      <c r="AR209" t="str">
        <f>IF(HRDataset_v14[[#This Row],[Salary]]&lt;40000,"Entry (&lt;40K)",IF(HRDataset_v14[[#This Row],[Salary]]&lt;70000,"Mid (40-70K)",IF(HRDataset_v14[[#This Row],[Salary]]&lt;100000,"Senior (70-100K)","Executive (100K+)")))</f>
        <v>Mid (40-70K)</v>
      </c>
      <c r="AS209">
        <f>IF(HRDataset_v14[[#This Row],[EmploymentStatus]]="Active",1,0)</f>
        <v>1</v>
      </c>
      <c r="AT209">
        <f>YEAR(HRDataset_v14[[#This Row],[DateofHire]])</f>
        <v>2013</v>
      </c>
      <c r="AU209">
        <f>MONTH(HRDataset_v14[[#This Row],[DateofHire]])</f>
        <v>9</v>
      </c>
      <c r="AV209" t="str">
        <f>"Q"&amp;ROUNDUP(MONTH(HRDataset_v14[[#This Row],[DateofHire]])/3,0)</f>
        <v>Q3</v>
      </c>
      <c r="AW209" t="str">
        <f>TEXT(HRDataset_v14[[#This Row],[DateofHire]],"MMM")</f>
        <v>Sep</v>
      </c>
      <c r="AX209" t="str">
        <f>TEXT(HRDataset_v14[[#This Row],[DateofHire]],"YYYY-MM")</f>
        <v>2013-09</v>
      </c>
      <c r="AY209" t="str">
        <f>IF(ISBLANK(HRDataset_v14[[#This Row],[DateofTermination]]),"N/A",YEAR(HRDataset_v14[[#This Row],[DateofTermination]]))</f>
        <v>N/A</v>
      </c>
      <c r="AZ209" t="str" cm="1">
        <f t="array" ref="AZ209">INDEX(_xlfn.UNIQUE(Z209:Z519),MATCH(MAX(COUNTIF(Z209:Z519,_xlfn.UNIQUE(Z209:Z519))),COUNTIF(Z209:Z519,_xlfn.UNIQUE(Z209:Z519)),0))</f>
        <v xml:space="preserve">Production       </v>
      </c>
      <c r="BA209">
        <f t="shared" si="32"/>
        <v>0</v>
      </c>
      <c r="BB209">
        <f t="shared" si="33"/>
        <v>0</v>
      </c>
      <c r="BC209" t="str">
        <f t="shared" si="28"/>
        <v>Medium</v>
      </c>
      <c r="BD209">
        <f t="shared" si="29"/>
        <v>4.28</v>
      </c>
      <c r="BE209" t="str">
        <f t="shared" si="30"/>
        <v/>
      </c>
      <c r="BT209">
        <f t="shared" si="31"/>
        <v>4.28</v>
      </c>
    </row>
    <row r="210" spans="1:72" x14ac:dyDescent="0.3">
      <c r="A210" t="s">
        <v>471</v>
      </c>
      <c r="B210">
        <v>10021</v>
      </c>
      <c r="C210">
        <v>1</v>
      </c>
      <c r="D210">
        <v>1</v>
      </c>
      <c r="E210">
        <v>1</v>
      </c>
      <c r="F210">
        <v>1</v>
      </c>
      <c r="G210">
        <v>5</v>
      </c>
      <c r="H210">
        <v>4</v>
      </c>
      <c r="I210">
        <v>0</v>
      </c>
      <c r="J210">
        <v>47414</v>
      </c>
      <c r="K210">
        <v>0</v>
      </c>
      <c r="L210">
        <v>19</v>
      </c>
      <c r="M210" t="s">
        <v>37</v>
      </c>
      <c r="N210" t="s">
        <v>38</v>
      </c>
      <c r="O210">
        <v>2478</v>
      </c>
      <c r="P210">
        <v>28105</v>
      </c>
      <c r="Q210" t="s">
        <v>39</v>
      </c>
      <c r="R210" t="s">
        <v>53</v>
      </c>
      <c r="S210" t="s">
        <v>41</v>
      </c>
      <c r="T210" t="s">
        <v>42</v>
      </c>
      <c r="U210" t="s">
        <v>43</v>
      </c>
      <c r="V210">
        <v>41547</v>
      </c>
      <c r="X210" t="s">
        <v>44</v>
      </c>
      <c r="Y210" t="s">
        <v>45</v>
      </c>
      <c r="Z210" t="s">
        <v>46</v>
      </c>
      <c r="AA210" t="s">
        <v>113</v>
      </c>
      <c r="AB210">
        <v>18</v>
      </c>
      <c r="AC210" t="s">
        <v>48</v>
      </c>
      <c r="AD210" t="s">
        <v>49</v>
      </c>
      <c r="AE210">
        <v>5</v>
      </c>
      <c r="AF210">
        <v>3</v>
      </c>
      <c r="AG210">
        <v>0</v>
      </c>
      <c r="AH210" t="s">
        <v>319</v>
      </c>
      <c r="AI210">
        <v>0</v>
      </c>
      <c r="AJ210">
        <v>13</v>
      </c>
      <c r="AK210" t="str">
        <f t="shared" si="26"/>
        <v>Normal</v>
      </c>
      <c r="AL210" t="str">
        <f t="shared" si="27"/>
        <v>low Outlier</v>
      </c>
      <c r="AM210">
        <f ca="1">INT((TODAY()-HRDataset_v14[[#This Row],[DOB]])/365.25)</f>
        <v>49</v>
      </c>
      <c r="AN210">
        <f ca="1">DATEDIF(HRDataset_v14[[#This Row],[DateofHire]],TODAY(),"Y")</f>
        <v>12</v>
      </c>
      <c r="AO210">
        <f ca="1">IF(ISBLANK(HRDataset_v14[[#This Row],[DateofTermination]]),DATEDIF(HRDataset_v14[[#This Row],[DateofHire]],TODAY(),"Y"),DATEDIF(HRDataset_v14[[#This Row],[DateofHire]],HRDataset_v14[[#This Row],[DateofTermination]],"Y"))</f>
        <v>12</v>
      </c>
      <c r="AP210" t="str">
        <f ca="1">IF(HRDataset_v14[[#This Row],[Tenure in Years
]]&lt;1,"0-1 Year",IF(HRDataset_v14[[#This Row],[Tenure in Years
]]&lt;3,"1-3 Years",IF(HRDataset_v14[[#This Row],[Tenure in Years
]]&lt;5,"3-5 Years",IF(HRDataset_v14[[#This Row],[Tenure in Years
]]&lt;10,"5-10 Years","10+ Years"))))</f>
        <v>10+ Years</v>
      </c>
      <c r="AQ210" t="str">
        <f ca="1">IF(HRDataset_v14[[#This Row],[Age Calculation
]]&lt;26,"18-25",IF(HRDataset_v14[[#This Row],[Age Calculation
]]&lt;36,"26-35",IF(HRDataset_v14[[#This Row],[Age Calculation
]]&lt;46,"36-45",IF(HRDataset_v14[[#This Row],[Age Calculation
]]&lt;56,"46-55","55+"))))</f>
        <v>46-55</v>
      </c>
      <c r="AR210" t="str">
        <f>IF(HRDataset_v14[[#This Row],[Salary]]&lt;40000,"Entry (&lt;40K)",IF(HRDataset_v14[[#This Row],[Salary]]&lt;70000,"Mid (40-70K)",IF(HRDataset_v14[[#This Row],[Salary]]&lt;100000,"Senior (70-100K)","Executive (100K+)")))</f>
        <v>Mid (40-70K)</v>
      </c>
      <c r="AS210">
        <f>IF(HRDataset_v14[[#This Row],[EmploymentStatus]]="Active",1,0)</f>
        <v>1</v>
      </c>
      <c r="AT210">
        <f>YEAR(HRDataset_v14[[#This Row],[DateofHire]])</f>
        <v>2013</v>
      </c>
      <c r="AU210">
        <f>MONTH(HRDataset_v14[[#This Row],[DateofHire]])</f>
        <v>9</v>
      </c>
      <c r="AV210" t="str">
        <f>"Q"&amp;ROUNDUP(MONTH(HRDataset_v14[[#This Row],[DateofHire]])/3,0)</f>
        <v>Q3</v>
      </c>
      <c r="AW210" t="str">
        <f>TEXT(HRDataset_v14[[#This Row],[DateofHire]],"MMM")</f>
        <v>Sep</v>
      </c>
      <c r="AX210" t="str">
        <f>TEXT(HRDataset_v14[[#This Row],[DateofHire]],"YYYY-MM")</f>
        <v>2013-09</v>
      </c>
      <c r="AY210" t="str">
        <f>IF(ISBLANK(HRDataset_v14[[#This Row],[DateofTermination]]),"N/A",YEAR(HRDataset_v14[[#This Row],[DateofTermination]]))</f>
        <v>N/A</v>
      </c>
      <c r="AZ210" t="str" cm="1">
        <f t="array" ref="AZ210">INDEX(_xlfn.UNIQUE(Z210:Z520),MATCH(MAX(COUNTIF(Z210:Z520,_xlfn.UNIQUE(Z210:Z520))),COUNTIF(Z210:Z520,_xlfn.UNIQUE(Z210:Z520)),0))</f>
        <v xml:space="preserve">Production       </v>
      </c>
      <c r="BA210">
        <f t="shared" si="32"/>
        <v>16.666666666666664</v>
      </c>
      <c r="BB210">
        <f t="shared" si="33"/>
        <v>0</v>
      </c>
      <c r="BC210" t="str">
        <f t="shared" si="28"/>
        <v>Low</v>
      </c>
      <c r="BD210">
        <f t="shared" si="29"/>
        <v>5</v>
      </c>
      <c r="BE210" t="str">
        <f t="shared" si="30"/>
        <v/>
      </c>
      <c r="BT210">
        <f t="shared" si="31"/>
        <v>5</v>
      </c>
    </row>
    <row r="211" spans="1:72" x14ac:dyDescent="0.3">
      <c r="A211" t="s">
        <v>472</v>
      </c>
      <c r="B211">
        <v>10281</v>
      </c>
      <c r="C211">
        <v>0</v>
      </c>
      <c r="D211">
        <v>0</v>
      </c>
      <c r="E211">
        <v>1</v>
      </c>
      <c r="F211">
        <v>1</v>
      </c>
      <c r="G211">
        <v>5</v>
      </c>
      <c r="H211">
        <v>2</v>
      </c>
      <c r="I211">
        <v>0</v>
      </c>
      <c r="J211">
        <v>53060</v>
      </c>
      <c r="K211">
        <v>0</v>
      </c>
      <c r="L211">
        <v>19</v>
      </c>
      <c r="M211" t="s">
        <v>37</v>
      </c>
      <c r="N211" t="s">
        <v>38</v>
      </c>
      <c r="O211">
        <v>1760</v>
      </c>
      <c r="P211">
        <v>29183</v>
      </c>
      <c r="Q211" t="s">
        <v>39</v>
      </c>
      <c r="R211" t="s">
        <v>40</v>
      </c>
      <c r="S211" t="s">
        <v>41</v>
      </c>
      <c r="T211" t="s">
        <v>42</v>
      </c>
      <c r="U211" t="s">
        <v>91</v>
      </c>
      <c r="V211">
        <v>41687</v>
      </c>
      <c r="X211" t="s">
        <v>44</v>
      </c>
      <c r="Y211" t="s">
        <v>45</v>
      </c>
      <c r="Z211" t="s">
        <v>46</v>
      </c>
      <c r="AA211" t="s">
        <v>47</v>
      </c>
      <c r="AB211">
        <v>22</v>
      </c>
      <c r="AC211" t="s">
        <v>48</v>
      </c>
      <c r="AD211" t="s">
        <v>141</v>
      </c>
      <c r="AE211">
        <v>4.25</v>
      </c>
      <c r="AF211">
        <v>3</v>
      </c>
      <c r="AG211">
        <v>0</v>
      </c>
      <c r="AH211" t="s">
        <v>218</v>
      </c>
      <c r="AI211">
        <v>4</v>
      </c>
      <c r="AJ211">
        <v>6</v>
      </c>
      <c r="AK211" t="str">
        <f t="shared" si="26"/>
        <v>Normal</v>
      </c>
      <c r="AL211" t="str">
        <f t="shared" si="27"/>
        <v>low Outlier</v>
      </c>
      <c r="AM211">
        <f ca="1">INT((TODAY()-HRDataset_v14[[#This Row],[DOB]])/365.25)</f>
        <v>46</v>
      </c>
      <c r="AN211">
        <f ca="1">DATEDIF(HRDataset_v14[[#This Row],[DateofHire]],TODAY(),"Y")</f>
        <v>12</v>
      </c>
      <c r="AO211">
        <f ca="1">IF(ISBLANK(HRDataset_v14[[#This Row],[DateofTermination]]),DATEDIF(HRDataset_v14[[#This Row],[DateofHire]],TODAY(),"Y"),DATEDIF(HRDataset_v14[[#This Row],[DateofHire]],HRDataset_v14[[#This Row],[DateofTermination]],"Y"))</f>
        <v>12</v>
      </c>
      <c r="AP211" t="str">
        <f ca="1">IF(HRDataset_v14[[#This Row],[Tenure in Years
]]&lt;1,"0-1 Year",IF(HRDataset_v14[[#This Row],[Tenure in Years
]]&lt;3,"1-3 Years",IF(HRDataset_v14[[#This Row],[Tenure in Years
]]&lt;5,"3-5 Years",IF(HRDataset_v14[[#This Row],[Tenure in Years
]]&lt;10,"5-10 Years","10+ Years"))))</f>
        <v>10+ Years</v>
      </c>
      <c r="AQ211" t="str">
        <f ca="1">IF(HRDataset_v14[[#This Row],[Age Calculation
]]&lt;26,"18-25",IF(HRDataset_v14[[#This Row],[Age Calculation
]]&lt;36,"26-35",IF(HRDataset_v14[[#This Row],[Age Calculation
]]&lt;46,"36-45",IF(HRDataset_v14[[#This Row],[Age Calculation
]]&lt;56,"46-55","55+"))))</f>
        <v>46-55</v>
      </c>
      <c r="AR211" t="str">
        <f>IF(HRDataset_v14[[#This Row],[Salary]]&lt;40000,"Entry (&lt;40K)",IF(HRDataset_v14[[#This Row],[Salary]]&lt;70000,"Mid (40-70K)",IF(HRDataset_v14[[#This Row],[Salary]]&lt;100000,"Senior (70-100K)","Executive (100K+)")))</f>
        <v>Mid (40-70K)</v>
      </c>
      <c r="AS211">
        <f>IF(HRDataset_v14[[#This Row],[EmploymentStatus]]="Active",1,0)</f>
        <v>1</v>
      </c>
      <c r="AT211">
        <f>YEAR(HRDataset_v14[[#This Row],[DateofHire]])</f>
        <v>2014</v>
      </c>
      <c r="AU211">
        <f>MONTH(HRDataset_v14[[#This Row],[DateofHire]])</f>
        <v>2</v>
      </c>
      <c r="AV211" t="str">
        <f>"Q"&amp;ROUNDUP(MONTH(HRDataset_v14[[#This Row],[DateofHire]])/3,0)</f>
        <v>Q1</v>
      </c>
      <c r="AW211" t="str">
        <f>TEXT(HRDataset_v14[[#This Row],[DateofHire]],"MMM")</f>
        <v>Feb</v>
      </c>
      <c r="AX211" t="str">
        <f>TEXT(HRDataset_v14[[#This Row],[DateofHire]],"YYYY-MM")</f>
        <v>2014-02</v>
      </c>
      <c r="AY211" t="str">
        <f>IF(ISBLANK(HRDataset_v14[[#This Row],[DateofTermination]]),"N/A",YEAR(HRDataset_v14[[#This Row],[DateofTermination]]))</f>
        <v>N/A</v>
      </c>
      <c r="AZ211" t="str" cm="1">
        <f t="array" ref="AZ211">INDEX(_xlfn.UNIQUE(Z211:Z521),MATCH(MAX(COUNTIF(Z211:Z521,_xlfn.UNIQUE(Z211:Z521))),COUNTIF(Z211:Z521,_xlfn.UNIQUE(Z211:Z521)),0))</f>
        <v xml:space="preserve">Production       </v>
      </c>
      <c r="BA211">
        <f t="shared" si="32"/>
        <v>50</v>
      </c>
      <c r="BB211">
        <f t="shared" si="33"/>
        <v>0</v>
      </c>
      <c r="BC211" t="str">
        <f t="shared" si="28"/>
        <v>High</v>
      </c>
      <c r="BD211">
        <f t="shared" si="29"/>
        <v>4.25</v>
      </c>
      <c r="BE211" t="str">
        <f t="shared" si="30"/>
        <v/>
      </c>
      <c r="BT211">
        <f t="shared" si="31"/>
        <v>4.25</v>
      </c>
    </row>
    <row r="212" spans="1:72" x14ac:dyDescent="0.3">
      <c r="A212" t="s">
        <v>473</v>
      </c>
      <c r="B212">
        <v>10041</v>
      </c>
      <c r="C212">
        <v>0</v>
      </c>
      <c r="D212">
        <v>0</v>
      </c>
      <c r="E212">
        <v>1</v>
      </c>
      <c r="F212">
        <v>1</v>
      </c>
      <c r="G212">
        <v>6</v>
      </c>
      <c r="H212">
        <v>3</v>
      </c>
      <c r="I212">
        <v>0</v>
      </c>
      <c r="J212">
        <v>68829</v>
      </c>
      <c r="K212">
        <v>0</v>
      </c>
      <c r="L212">
        <v>3</v>
      </c>
      <c r="M212" t="s">
        <v>169</v>
      </c>
      <c r="N212" t="s">
        <v>474</v>
      </c>
      <c r="O212">
        <v>27229</v>
      </c>
      <c r="P212">
        <v>30090</v>
      </c>
      <c r="Q212" t="s">
        <v>39</v>
      </c>
      <c r="R212" t="s">
        <v>40</v>
      </c>
      <c r="S212" t="s">
        <v>41</v>
      </c>
      <c r="T212" t="s">
        <v>42</v>
      </c>
      <c r="U212" t="s">
        <v>43</v>
      </c>
      <c r="V212">
        <v>42009</v>
      </c>
      <c r="X212" t="s">
        <v>44</v>
      </c>
      <c r="Y212" t="s">
        <v>45</v>
      </c>
      <c r="Z212" t="s">
        <v>171</v>
      </c>
      <c r="AA212" t="s">
        <v>172</v>
      </c>
      <c r="AB212">
        <v>17</v>
      </c>
      <c r="AC212" t="s">
        <v>254</v>
      </c>
      <c r="AD212" t="s">
        <v>60</v>
      </c>
      <c r="AE212">
        <v>5</v>
      </c>
      <c r="AF212">
        <v>5</v>
      </c>
      <c r="AG212">
        <v>0</v>
      </c>
      <c r="AH212" t="s">
        <v>124</v>
      </c>
      <c r="AI212">
        <v>0</v>
      </c>
      <c r="AJ212">
        <v>18</v>
      </c>
      <c r="AK212" t="str">
        <f t="shared" si="26"/>
        <v>Normal</v>
      </c>
      <c r="AL212" t="str">
        <f t="shared" si="27"/>
        <v>low Outlier</v>
      </c>
      <c r="AM212">
        <f ca="1">INT((TODAY()-HRDataset_v14[[#This Row],[DOB]])/365.25)</f>
        <v>43</v>
      </c>
      <c r="AN212">
        <f ca="1">DATEDIF(HRDataset_v14[[#This Row],[DateofHire]],TODAY(),"Y")</f>
        <v>11</v>
      </c>
      <c r="AO212">
        <f ca="1">IF(ISBLANK(HRDataset_v14[[#This Row],[DateofTermination]]),DATEDIF(HRDataset_v14[[#This Row],[DateofHire]],TODAY(),"Y"),DATEDIF(HRDataset_v14[[#This Row],[DateofHire]],HRDataset_v14[[#This Row],[DateofTermination]],"Y"))</f>
        <v>11</v>
      </c>
      <c r="AP212" t="str">
        <f ca="1">IF(HRDataset_v14[[#This Row],[Tenure in Years
]]&lt;1,"0-1 Year",IF(HRDataset_v14[[#This Row],[Tenure in Years
]]&lt;3,"1-3 Years",IF(HRDataset_v14[[#This Row],[Tenure in Years
]]&lt;5,"3-5 Years",IF(HRDataset_v14[[#This Row],[Tenure in Years
]]&lt;10,"5-10 Years","10+ Years"))))</f>
        <v>10+ Years</v>
      </c>
      <c r="AQ212" t="str">
        <f ca="1">IF(HRDataset_v14[[#This Row],[Age Calculation
]]&lt;26,"18-25",IF(HRDataset_v14[[#This Row],[Age Calculation
]]&lt;36,"26-35",IF(HRDataset_v14[[#This Row],[Age Calculation
]]&lt;46,"36-45",IF(HRDataset_v14[[#This Row],[Age Calculation
]]&lt;56,"46-55","55+"))))</f>
        <v>36-45</v>
      </c>
      <c r="AR212" t="str">
        <f>IF(HRDataset_v14[[#This Row],[Salary]]&lt;40000,"Entry (&lt;40K)",IF(HRDataset_v14[[#This Row],[Salary]]&lt;70000,"Mid (40-70K)",IF(HRDataset_v14[[#This Row],[Salary]]&lt;100000,"Senior (70-100K)","Executive (100K+)")))</f>
        <v>Mid (40-70K)</v>
      </c>
      <c r="AS212">
        <f>IF(HRDataset_v14[[#This Row],[EmploymentStatus]]="Active",1,0)</f>
        <v>1</v>
      </c>
      <c r="AT212">
        <f>YEAR(HRDataset_v14[[#This Row],[DateofHire]])</f>
        <v>2015</v>
      </c>
      <c r="AU212">
        <f>MONTH(HRDataset_v14[[#This Row],[DateofHire]])</f>
        <v>1</v>
      </c>
      <c r="AV212" t="str">
        <f>"Q"&amp;ROUNDUP(MONTH(HRDataset_v14[[#This Row],[DateofHire]])/3,0)</f>
        <v>Q1</v>
      </c>
      <c r="AW212" t="str">
        <f>TEXT(HRDataset_v14[[#This Row],[DateofHire]],"MMM")</f>
        <v>Jan</v>
      </c>
      <c r="AX212" t="str">
        <f>TEXT(HRDataset_v14[[#This Row],[DateofHire]],"YYYY-MM")</f>
        <v>2015-01</v>
      </c>
      <c r="AY212" t="str">
        <f>IF(ISBLANK(HRDataset_v14[[#This Row],[DateofTermination]]),"N/A",YEAR(HRDataset_v14[[#This Row],[DateofTermination]]))</f>
        <v>N/A</v>
      </c>
      <c r="AZ212" t="str" cm="1">
        <f t="array" ref="AZ212">INDEX(_xlfn.UNIQUE(Z212:Z522),MATCH(MAX(COUNTIF(Z212:Z522,_xlfn.UNIQUE(Z212:Z522))),COUNTIF(Z212:Z522,_xlfn.UNIQUE(Z212:Z522)),0))</f>
        <v xml:space="preserve">Production       </v>
      </c>
      <c r="BA212">
        <f t="shared" si="32"/>
        <v>0</v>
      </c>
      <c r="BB212">
        <f t="shared" si="33"/>
        <v>0</v>
      </c>
      <c r="BC212" t="str">
        <f t="shared" si="28"/>
        <v>Medium</v>
      </c>
      <c r="BD212">
        <f t="shared" si="29"/>
        <v>5</v>
      </c>
      <c r="BE212" t="str">
        <f t="shared" si="30"/>
        <v/>
      </c>
      <c r="BT212">
        <f t="shared" si="31"/>
        <v>5</v>
      </c>
    </row>
    <row r="213" spans="1:72" x14ac:dyDescent="0.3">
      <c r="A213" t="s">
        <v>475</v>
      </c>
      <c r="B213">
        <v>10148</v>
      </c>
      <c r="C213">
        <v>1</v>
      </c>
      <c r="D213">
        <v>1</v>
      </c>
      <c r="E213">
        <v>0</v>
      </c>
      <c r="F213">
        <v>5</v>
      </c>
      <c r="G213">
        <v>5</v>
      </c>
      <c r="H213">
        <v>3</v>
      </c>
      <c r="I213">
        <v>0</v>
      </c>
      <c r="J213">
        <v>63515</v>
      </c>
      <c r="K213">
        <v>1</v>
      </c>
      <c r="L213">
        <v>19</v>
      </c>
      <c r="M213" t="s">
        <v>37</v>
      </c>
      <c r="N213" t="s">
        <v>38</v>
      </c>
      <c r="O213">
        <v>2351</v>
      </c>
      <c r="P213">
        <v>28976</v>
      </c>
      <c r="Q213" t="s">
        <v>64</v>
      </c>
      <c r="R213" t="s">
        <v>53</v>
      </c>
      <c r="S213" t="s">
        <v>41</v>
      </c>
      <c r="T213" t="s">
        <v>42</v>
      </c>
      <c r="U213" t="s">
        <v>43</v>
      </c>
      <c r="V213">
        <v>40581</v>
      </c>
      <c r="W213">
        <v>41651</v>
      </c>
      <c r="X213" t="s">
        <v>101</v>
      </c>
      <c r="Y213" t="s">
        <v>56</v>
      </c>
      <c r="Z213" t="s">
        <v>46</v>
      </c>
      <c r="AA213" t="s">
        <v>69</v>
      </c>
      <c r="AB213">
        <v>16</v>
      </c>
      <c r="AC213" t="s">
        <v>75</v>
      </c>
      <c r="AD213" t="s">
        <v>60</v>
      </c>
      <c r="AE213">
        <v>3.89</v>
      </c>
      <c r="AF213">
        <v>4</v>
      </c>
      <c r="AG213">
        <v>0</v>
      </c>
      <c r="AH213" t="s">
        <v>159</v>
      </c>
      <c r="AI213">
        <v>0</v>
      </c>
      <c r="AJ213">
        <v>7</v>
      </c>
      <c r="AK213" t="str">
        <f t="shared" si="26"/>
        <v>Normal</v>
      </c>
      <c r="AL213" t="str">
        <f t="shared" si="27"/>
        <v>low Outlier</v>
      </c>
      <c r="AM213">
        <f ca="1">INT((TODAY()-HRDataset_v14[[#This Row],[DOB]])/365.25)</f>
        <v>46</v>
      </c>
      <c r="AN213">
        <f ca="1">DATEDIF(HRDataset_v14[[#This Row],[DateofHire]],TODAY(),"Y")</f>
        <v>15</v>
      </c>
      <c r="AO213">
        <f ca="1">IF(ISBLANK(HRDataset_v14[[#This Row],[DateofTermination]]),DATEDIF(HRDataset_v14[[#This Row],[DateofHire]],TODAY(),"Y"),DATEDIF(HRDataset_v14[[#This Row],[DateofHire]],HRDataset_v14[[#This Row],[DateofTermination]],"Y"))</f>
        <v>2</v>
      </c>
      <c r="AP213" t="str">
        <f ca="1">IF(HRDataset_v14[[#This Row],[Tenure in Years
]]&lt;1,"0-1 Year",IF(HRDataset_v14[[#This Row],[Tenure in Years
]]&lt;3,"1-3 Years",IF(HRDataset_v14[[#This Row],[Tenure in Years
]]&lt;5,"3-5 Years",IF(HRDataset_v14[[#This Row],[Tenure in Years
]]&lt;10,"5-10 Years","10+ Years"))))</f>
        <v>10+ Years</v>
      </c>
      <c r="AQ213" t="str">
        <f ca="1">IF(HRDataset_v14[[#This Row],[Age Calculation
]]&lt;26,"18-25",IF(HRDataset_v14[[#This Row],[Age Calculation
]]&lt;36,"26-35",IF(HRDataset_v14[[#This Row],[Age Calculation
]]&lt;46,"36-45",IF(HRDataset_v14[[#This Row],[Age Calculation
]]&lt;56,"46-55","55+"))))</f>
        <v>46-55</v>
      </c>
      <c r="AR213" t="str">
        <f>IF(HRDataset_v14[[#This Row],[Salary]]&lt;40000,"Entry (&lt;40K)",IF(HRDataset_v14[[#This Row],[Salary]]&lt;70000,"Mid (40-70K)",IF(HRDataset_v14[[#This Row],[Salary]]&lt;100000,"Senior (70-100K)","Executive (100K+)")))</f>
        <v>Mid (40-70K)</v>
      </c>
      <c r="AS213">
        <f>IF(HRDataset_v14[[#This Row],[EmploymentStatus]]="Active",1,0)</f>
        <v>0</v>
      </c>
      <c r="AT213">
        <f>YEAR(HRDataset_v14[[#This Row],[DateofHire]])</f>
        <v>2011</v>
      </c>
      <c r="AU213">
        <f>MONTH(HRDataset_v14[[#This Row],[DateofHire]])</f>
        <v>2</v>
      </c>
      <c r="AV213" t="str">
        <f>"Q"&amp;ROUNDUP(MONTH(HRDataset_v14[[#This Row],[DateofHire]])/3,0)</f>
        <v>Q1</v>
      </c>
      <c r="AW213" t="str">
        <f>TEXT(HRDataset_v14[[#This Row],[DateofHire]],"MMM")</f>
        <v>Feb</v>
      </c>
      <c r="AX213" t="str">
        <f>TEXT(HRDataset_v14[[#This Row],[DateofHire]],"YYYY-MM")</f>
        <v>2011-02</v>
      </c>
      <c r="AY213">
        <f>IF(ISBLANK(HRDataset_v14[[#This Row],[DateofTermination]]),"N/A",YEAR(HRDataset_v14[[#This Row],[DateofTermination]]))</f>
        <v>2014</v>
      </c>
      <c r="AZ213" t="str" cm="1">
        <f t="array" ref="AZ213">INDEX(_xlfn.UNIQUE(Z213:Z523),MATCH(MAX(COUNTIF(Z213:Z523,_xlfn.UNIQUE(Z213:Z523))),COUNTIF(Z213:Z523,_xlfn.UNIQUE(Z213:Z523)),0))</f>
        <v xml:space="preserve">Production       </v>
      </c>
      <c r="BA213">
        <f t="shared" si="32"/>
        <v>57.142857142857139</v>
      </c>
      <c r="BB213">
        <f t="shared" si="33"/>
        <v>12</v>
      </c>
      <c r="BC213" t="str">
        <f t="shared" si="28"/>
        <v>Medium</v>
      </c>
      <c r="BD213" t="str">
        <f t="shared" si="29"/>
        <v/>
      </c>
      <c r="BE213">
        <f t="shared" si="30"/>
        <v>3.89</v>
      </c>
      <c r="BT213" t="str">
        <f t="shared" si="31"/>
        <v/>
      </c>
    </row>
    <row r="214" spans="1:72" x14ac:dyDescent="0.3">
      <c r="A214" t="s">
        <v>476</v>
      </c>
      <c r="B214">
        <v>10005</v>
      </c>
      <c r="C214">
        <v>0</v>
      </c>
      <c r="D214">
        <v>0</v>
      </c>
      <c r="E214">
        <v>1</v>
      </c>
      <c r="F214">
        <v>5</v>
      </c>
      <c r="G214">
        <v>4</v>
      </c>
      <c r="H214">
        <v>4</v>
      </c>
      <c r="I214">
        <v>1</v>
      </c>
      <c r="J214">
        <v>108987</v>
      </c>
      <c r="K214">
        <v>1</v>
      </c>
      <c r="L214">
        <v>24</v>
      </c>
      <c r="M214" t="s">
        <v>81</v>
      </c>
      <c r="N214" t="s">
        <v>38</v>
      </c>
      <c r="O214">
        <v>1844</v>
      </c>
      <c r="P214">
        <v>28906</v>
      </c>
      <c r="Q214" t="s">
        <v>39</v>
      </c>
      <c r="R214" t="s">
        <v>40</v>
      </c>
      <c r="S214" t="s">
        <v>41</v>
      </c>
      <c r="T214" t="s">
        <v>42</v>
      </c>
      <c r="U214" t="s">
        <v>91</v>
      </c>
      <c r="V214">
        <v>40854</v>
      </c>
      <c r="W214">
        <v>42254</v>
      </c>
      <c r="X214" t="s">
        <v>101</v>
      </c>
      <c r="Y214" t="s">
        <v>56</v>
      </c>
      <c r="Z214" t="s">
        <v>82</v>
      </c>
      <c r="AA214" t="s">
        <v>83</v>
      </c>
      <c r="AB214">
        <v>10</v>
      </c>
      <c r="AC214" t="s">
        <v>93</v>
      </c>
      <c r="AD214" t="s">
        <v>49</v>
      </c>
      <c r="AE214">
        <v>5</v>
      </c>
      <c r="AF214">
        <v>5</v>
      </c>
      <c r="AG214">
        <v>3</v>
      </c>
      <c r="AH214" t="s">
        <v>477</v>
      </c>
      <c r="AI214">
        <v>0</v>
      </c>
      <c r="AJ214">
        <v>13</v>
      </c>
      <c r="AK214" t="str">
        <f t="shared" si="26"/>
        <v>Normal</v>
      </c>
      <c r="AL214" t="str">
        <f t="shared" si="27"/>
        <v>low Outlier</v>
      </c>
      <c r="AM214">
        <f ca="1">INT((TODAY()-HRDataset_v14[[#This Row],[DOB]])/365.25)</f>
        <v>47</v>
      </c>
      <c r="AN214">
        <f ca="1">DATEDIF(HRDataset_v14[[#This Row],[DateofHire]],TODAY(),"Y")</f>
        <v>14</v>
      </c>
      <c r="AO214">
        <f ca="1">IF(ISBLANK(HRDataset_v14[[#This Row],[DateofTermination]]),DATEDIF(HRDataset_v14[[#This Row],[DateofHire]],TODAY(),"Y"),DATEDIF(HRDataset_v14[[#This Row],[DateofHire]],HRDataset_v14[[#This Row],[DateofTermination]],"Y"))</f>
        <v>3</v>
      </c>
      <c r="AP214" t="str">
        <f ca="1">IF(HRDataset_v14[[#This Row],[Tenure in Years
]]&lt;1,"0-1 Year",IF(HRDataset_v14[[#This Row],[Tenure in Years
]]&lt;3,"1-3 Years",IF(HRDataset_v14[[#This Row],[Tenure in Years
]]&lt;5,"3-5 Years",IF(HRDataset_v14[[#This Row],[Tenure in Years
]]&lt;10,"5-10 Years","10+ Years"))))</f>
        <v>10+ Years</v>
      </c>
      <c r="AQ214" t="str">
        <f ca="1">IF(HRDataset_v14[[#This Row],[Age Calculation
]]&lt;26,"18-25",IF(HRDataset_v14[[#This Row],[Age Calculation
]]&lt;36,"26-35",IF(HRDataset_v14[[#This Row],[Age Calculation
]]&lt;46,"36-45",IF(HRDataset_v14[[#This Row],[Age Calculation
]]&lt;56,"46-55","55+"))))</f>
        <v>46-55</v>
      </c>
      <c r="AR214" t="str">
        <f>IF(HRDataset_v14[[#This Row],[Salary]]&lt;40000,"Entry (&lt;40K)",IF(HRDataset_v14[[#This Row],[Salary]]&lt;70000,"Mid (40-70K)",IF(HRDataset_v14[[#This Row],[Salary]]&lt;100000,"Senior (70-100K)","Executive (100K+)")))</f>
        <v>Executive (100K+)</v>
      </c>
      <c r="AS214">
        <f>IF(HRDataset_v14[[#This Row],[EmploymentStatus]]="Active",1,0)</f>
        <v>0</v>
      </c>
      <c r="AT214">
        <f>YEAR(HRDataset_v14[[#This Row],[DateofHire]])</f>
        <v>2011</v>
      </c>
      <c r="AU214">
        <f>MONTH(HRDataset_v14[[#This Row],[DateofHire]])</f>
        <v>11</v>
      </c>
      <c r="AV214" t="str">
        <f>"Q"&amp;ROUNDUP(MONTH(HRDataset_v14[[#This Row],[DateofHire]])/3,0)</f>
        <v>Q4</v>
      </c>
      <c r="AW214" t="str">
        <f>TEXT(HRDataset_v14[[#This Row],[DateofHire]],"MMM")</f>
        <v>Nov</v>
      </c>
      <c r="AX214" t="str">
        <f>TEXT(HRDataset_v14[[#This Row],[DateofHire]],"YYYY-MM")</f>
        <v>2011-11</v>
      </c>
      <c r="AY214">
        <f>IF(ISBLANK(HRDataset_v14[[#This Row],[DateofTermination]]),"N/A",YEAR(HRDataset_v14[[#This Row],[DateofTermination]]))</f>
        <v>2015</v>
      </c>
      <c r="AZ214" t="str" cm="1">
        <f t="array" ref="AZ214">INDEX(_xlfn.UNIQUE(Z214:Z524),MATCH(MAX(COUNTIF(Z214:Z524,_xlfn.UNIQUE(Z214:Z524))),COUNTIF(Z214:Z524,_xlfn.UNIQUE(Z214:Z524)),0))</f>
        <v xml:space="preserve">Production       </v>
      </c>
      <c r="BA214">
        <f t="shared" si="32"/>
        <v>50</v>
      </c>
      <c r="BB214">
        <f t="shared" si="33"/>
        <v>11</v>
      </c>
      <c r="BC214" t="str">
        <f t="shared" si="28"/>
        <v>Low</v>
      </c>
      <c r="BD214" t="str">
        <f t="shared" si="29"/>
        <v/>
      </c>
      <c r="BE214">
        <f t="shared" si="30"/>
        <v>5</v>
      </c>
      <c r="BT214" t="str">
        <f t="shared" si="31"/>
        <v/>
      </c>
    </row>
    <row r="215" spans="1:72" x14ac:dyDescent="0.3">
      <c r="A215" t="s">
        <v>478</v>
      </c>
      <c r="B215">
        <v>10259</v>
      </c>
      <c r="C215">
        <v>1</v>
      </c>
      <c r="D215">
        <v>1</v>
      </c>
      <c r="E215">
        <v>1</v>
      </c>
      <c r="F215">
        <v>5</v>
      </c>
      <c r="G215">
        <v>3</v>
      </c>
      <c r="H215">
        <v>3</v>
      </c>
      <c r="I215">
        <v>0</v>
      </c>
      <c r="J215">
        <v>93093</v>
      </c>
      <c r="K215">
        <v>1</v>
      </c>
      <c r="L215">
        <v>9</v>
      </c>
      <c r="M215" t="s">
        <v>108</v>
      </c>
      <c r="N215" t="s">
        <v>38</v>
      </c>
      <c r="O215">
        <v>2747</v>
      </c>
      <c r="P215">
        <v>30930</v>
      </c>
      <c r="Q215" t="s">
        <v>39</v>
      </c>
      <c r="R215" t="s">
        <v>53</v>
      </c>
      <c r="S215" t="s">
        <v>41</v>
      </c>
      <c r="T215" t="s">
        <v>42</v>
      </c>
      <c r="U215" t="s">
        <v>43</v>
      </c>
      <c r="V215">
        <v>41974</v>
      </c>
      <c r="W215">
        <v>42491</v>
      </c>
      <c r="X215" t="s">
        <v>129</v>
      </c>
      <c r="Y215" t="s">
        <v>56</v>
      </c>
      <c r="Z215" t="s">
        <v>57</v>
      </c>
      <c r="AA215" t="s">
        <v>58</v>
      </c>
      <c r="AB215">
        <v>4</v>
      </c>
      <c r="AC215" t="s">
        <v>88</v>
      </c>
      <c r="AD215" t="s">
        <v>60</v>
      </c>
      <c r="AE215">
        <v>4.7</v>
      </c>
      <c r="AF215">
        <v>4</v>
      </c>
      <c r="AG215">
        <v>5</v>
      </c>
      <c r="AH215" t="s">
        <v>479</v>
      </c>
      <c r="AI215">
        <v>0</v>
      </c>
      <c r="AJ215">
        <v>19</v>
      </c>
      <c r="AK215" t="str">
        <f t="shared" si="26"/>
        <v>Normal</v>
      </c>
      <c r="AL215" t="str">
        <f t="shared" si="27"/>
        <v>low Outlier</v>
      </c>
      <c r="AM215">
        <f ca="1">INT((TODAY()-HRDataset_v14[[#This Row],[DOB]])/365.25)</f>
        <v>41</v>
      </c>
      <c r="AN215">
        <f ca="1">DATEDIF(HRDataset_v14[[#This Row],[DateofHire]],TODAY(),"Y")</f>
        <v>11</v>
      </c>
      <c r="AO215">
        <f ca="1">IF(ISBLANK(HRDataset_v14[[#This Row],[DateofTermination]]),DATEDIF(HRDataset_v14[[#This Row],[DateofHire]],TODAY(),"Y"),DATEDIF(HRDataset_v14[[#This Row],[DateofHire]],HRDataset_v14[[#This Row],[DateofTermination]],"Y"))</f>
        <v>1</v>
      </c>
      <c r="AP215" t="str">
        <f ca="1">IF(HRDataset_v14[[#This Row],[Tenure in Years
]]&lt;1,"0-1 Year",IF(HRDataset_v14[[#This Row],[Tenure in Years
]]&lt;3,"1-3 Years",IF(HRDataset_v14[[#This Row],[Tenure in Years
]]&lt;5,"3-5 Years",IF(HRDataset_v14[[#This Row],[Tenure in Years
]]&lt;10,"5-10 Years","10+ Years"))))</f>
        <v>10+ Years</v>
      </c>
      <c r="AQ215" t="str">
        <f ca="1">IF(HRDataset_v14[[#This Row],[Age Calculation
]]&lt;26,"18-25",IF(HRDataset_v14[[#This Row],[Age Calculation
]]&lt;36,"26-35",IF(HRDataset_v14[[#This Row],[Age Calculation
]]&lt;46,"36-45",IF(HRDataset_v14[[#This Row],[Age Calculation
]]&lt;56,"46-55","55+"))))</f>
        <v>36-45</v>
      </c>
      <c r="AR215" t="str">
        <f>IF(HRDataset_v14[[#This Row],[Salary]]&lt;40000,"Entry (&lt;40K)",IF(HRDataset_v14[[#This Row],[Salary]]&lt;70000,"Mid (40-70K)",IF(HRDataset_v14[[#This Row],[Salary]]&lt;100000,"Senior (70-100K)","Executive (100K+)")))</f>
        <v>Senior (70-100K)</v>
      </c>
      <c r="AS215">
        <f>IF(HRDataset_v14[[#This Row],[EmploymentStatus]]="Active",1,0)</f>
        <v>0</v>
      </c>
      <c r="AT215">
        <f>YEAR(HRDataset_v14[[#This Row],[DateofHire]])</f>
        <v>2014</v>
      </c>
      <c r="AU215">
        <f>MONTH(HRDataset_v14[[#This Row],[DateofHire]])</f>
        <v>12</v>
      </c>
      <c r="AV215" t="str">
        <f>"Q"&amp;ROUNDUP(MONTH(HRDataset_v14[[#This Row],[DateofHire]])/3,0)</f>
        <v>Q4</v>
      </c>
      <c r="AW215" t="str">
        <f>TEXT(HRDataset_v14[[#This Row],[DateofHire]],"MMM")</f>
        <v>Dec</v>
      </c>
      <c r="AX215" t="str">
        <f>TEXT(HRDataset_v14[[#This Row],[DateofHire]],"YYYY-MM")</f>
        <v>2014-12</v>
      </c>
      <c r="AY215">
        <f>IF(ISBLANK(HRDataset_v14[[#This Row],[DateofTermination]]),"N/A",YEAR(HRDataset_v14[[#This Row],[DateofTermination]]))</f>
        <v>2016</v>
      </c>
      <c r="AZ215" t="str" cm="1">
        <f t="array" ref="AZ215">INDEX(_xlfn.UNIQUE(Z215:Z525),MATCH(MAX(COUNTIF(Z215:Z525,_xlfn.UNIQUE(Z215:Z525))),COUNTIF(Z215:Z525,_xlfn.UNIQUE(Z215:Z525)),0))</f>
        <v xml:space="preserve">Production       </v>
      </c>
      <c r="BA215">
        <f t="shared" si="32"/>
        <v>50</v>
      </c>
      <c r="BB215">
        <f t="shared" si="33"/>
        <v>1</v>
      </c>
      <c r="BC215" t="str">
        <f t="shared" si="28"/>
        <v>Medium</v>
      </c>
      <c r="BD215" t="str">
        <f t="shared" si="29"/>
        <v/>
      </c>
      <c r="BE215">
        <f t="shared" si="30"/>
        <v>4.7</v>
      </c>
      <c r="BT215" t="str">
        <f t="shared" si="31"/>
        <v/>
      </c>
    </row>
    <row r="216" spans="1:72" x14ac:dyDescent="0.3">
      <c r="A216" t="s">
        <v>480</v>
      </c>
      <c r="B216">
        <v>10286</v>
      </c>
      <c r="C216">
        <v>0</v>
      </c>
      <c r="D216">
        <v>0</v>
      </c>
      <c r="E216">
        <v>1</v>
      </c>
      <c r="F216">
        <v>5</v>
      </c>
      <c r="G216">
        <v>5</v>
      </c>
      <c r="H216">
        <v>2</v>
      </c>
      <c r="I216">
        <v>0</v>
      </c>
      <c r="J216">
        <v>53564</v>
      </c>
      <c r="K216">
        <v>1</v>
      </c>
      <c r="L216">
        <v>19</v>
      </c>
      <c r="M216" t="s">
        <v>37</v>
      </c>
      <c r="N216" t="s">
        <v>38</v>
      </c>
      <c r="O216">
        <v>2458</v>
      </c>
      <c r="P216">
        <v>32219</v>
      </c>
      <c r="Q216" t="s">
        <v>39</v>
      </c>
      <c r="R216" t="s">
        <v>40</v>
      </c>
      <c r="S216" t="s">
        <v>41</v>
      </c>
      <c r="T216" t="s">
        <v>42</v>
      </c>
      <c r="U216" t="s">
        <v>91</v>
      </c>
      <c r="V216">
        <v>40553</v>
      </c>
      <c r="W216">
        <v>43097</v>
      </c>
      <c r="X216" t="s">
        <v>55</v>
      </c>
      <c r="Y216" t="s">
        <v>56</v>
      </c>
      <c r="Z216" t="s">
        <v>46</v>
      </c>
      <c r="AA216" t="s">
        <v>74</v>
      </c>
      <c r="AB216">
        <v>39</v>
      </c>
      <c r="AC216" t="s">
        <v>75</v>
      </c>
      <c r="AD216" t="s">
        <v>141</v>
      </c>
      <c r="AE216">
        <v>3.54</v>
      </c>
      <c r="AF216">
        <v>5</v>
      </c>
      <c r="AG216">
        <v>0</v>
      </c>
      <c r="AH216" t="s">
        <v>116</v>
      </c>
      <c r="AI216">
        <v>4</v>
      </c>
      <c r="AJ216">
        <v>15</v>
      </c>
      <c r="AK216" t="str">
        <f t="shared" si="26"/>
        <v>Normal</v>
      </c>
      <c r="AL216" t="str">
        <f t="shared" si="27"/>
        <v>low Outlier</v>
      </c>
      <c r="AM216">
        <f ca="1">INT((TODAY()-HRDataset_v14[[#This Row],[DOB]])/365.25)</f>
        <v>38</v>
      </c>
      <c r="AN216">
        <f ca="1">DATEDIF(HRDataset_v14[[#This Row],[DateofHire]],TODAY(),"Y")</f>
        <v>15</v>
      </c>
      <c r="AO216">
        <f ca="1">IF(ISBLANK(HRDataset_v14[[#This Row],[DateofTermination]]),DATEDIF(HRDataset_v14[[#This Row],[DateofHire]],TODAY(),"Y"),DATEDIF(HRDataset_v14[[#This Row],[DateofHire]],HRDataset_v14[[#This Row],[DateofTermination]],"Y"))</f>
        <v>6</v>
      </c>
      <c r="AP216" t="str">
        <f ca="1">IF(HRDataset_v14[[#This Row],[Tenure in Years
]]&lt;1,"0-1 Year",IF(HRDataset_v14[[#This Row],[Tenure in Years
]]&lt;3,"1-3 Years",IF(HRDataset_v14[[#This Row],[Tenure in Years
]]&lt;5,"3-5 Years",IF(HRDataset_v14[[#This Row],[Tenure in Years
]]&lt;10,"5-10 Years","10+ Years"))))</f>
        <v>10+ Years</v>
      </c>
      <c r="AQ216" t="str">
        <f ca="1">IF(HRDataset_v14[[#This Row],[Age Calculation
]]&lt;26,"18-25",IF(HRDataset_v14[[#This Row],[Age Calculation
]]&lt;36,"26-35",IF(HRDataset_v14[[#This Row],[Age Calculation
]]&lt;46,"36-45",IF(HRDataset_v14[[#This Row],[Age Calculation
]]&lt;56,"46-55","55+"))))</f>
        <v>36-45</v>
      </c>
      <c r="AR216" t="str">
        <f>IF(HRDataset_v14[[#This Row],[Salary]]&lt;40000,"Entry (&lt;40K)",IF(HRDataset_v14[[#This Row],[Salary]]&lt;70000,"Mid (40-70K)",IF(HRDataset_v14[[#This Row],[Salary]]&lt;100000,"Senior (70-100K)","Executive (100K+)")))</f>
        <v>Mid (40-70K)</v>
      </c>
      <c r="AS216">
        <f>IF(HRDataset_v14[[#This Row],[EmploymentStatus]]="Active",1,0)</f>
        <v>0</v>
      </c>
      <c r="AT216">
        <f>YEAR(HRDataset_v14[[#This Row],[DateofHire]])</f>
        <v>2011</v>
      </c>
      <c r="AU216">
        <f>MONTH(HRDataset_v14[[#This Row],[DateofHire]])</f>
        <v>1</v>
      </c>
      <c r="AV216" t="str">
        <f>"Q"&amp;ROUNDUP(MONTH(HRDataset_v14[[#This Row],[DateofHire]])/3,0)</f>
        <v>Q1</v>
      </c>
      <c r="AW216" t="str">
        <f>TEXT(HRDataset_v14[[#This Row],[DateofHire]],"MMM")</f>
        <v>Jan</v>
      </c>
      <c r="AX216" t="str">
        <f>TEXT(HRDataset_v14[[#This Row],[DateofHire]],"YYYY-MM")</f>
        <v>2011-01</v>
      </c>
      <c r="AY216">
        <f>IF(ISBLANK(HRDataset_v14[[#This Row],[DateofTermination]]),"N/A",YEAR(HRDataset_v14[[#This Row],[DateofTermination]]))</f>
        <v>2017</v>
      </c>
      <c r="AZ216" t="str" cm="1">
        <f t="array" ref="AZ216">INDEX(_xlfn.UNIQUE(Z216:Z526),MATCH(MAX(COUNTIF(Z216:Z526,_xlfn.UNIQUE(Z216:Z526))),COUNTIF(Z216:Z526,_xlfn.UNIQUE(Z216:Z526)),0))</f>
        <v xml:space="preserve">Production       </v>
      </c>
      <c r="BA216">
        <f t="shared" si="32"/>
        <v>66.666666666666657</v>
      </c>
      <c r="BB216">
        <f t="shared" si="33"/>
        <v>4</v>
      </c>
      <c r="BC216" t="str">
        <f t="shared" si="28"/>
        <v>High</v>
      </c>
      <c r="BD216" t="str">
        <f t="shared" si="29"/>
        <v/>
      </c>
      <c r="BE216">
        <f t="shared" si="30"/>
        <v>3.54</v>
      </c>
      <c r="BT216" t="str">
        <f t="shared" si="31"/>
        <v/>
      </c>
    </row>
    <row r="217" spans="1:72" x14ac:dyDescent="0.3">
      <c r="A217" t="s">
        <v>481</v>
      </c>
      <c r="B217">
        <v>10297</v>
      </c>
      <c r="C217">
        <v>1</v>
      </c>
      <c r="D217">
        <v>1</v>
      </c>
      <c r="E217">
        <v>0</v>
      </c>
      <c r="F217">
        <v>5</v>
      </c>
      <c r="G217">
        <v>5</v>
      </c>
      <c r="H217">
        <v>2</v>
      </c>
      <c r="I217">
        <v>0</v>
      </c>
      <c r="J217">
        <v>60270</v>
      </c>
      <c r="K217">
        <v>1</v>
      </c>
      <c r="L217">
        <v>20</v>
      </c>
      <c r="M217" t="s">
        <v>63</v>
      </c>
      <c r="N217" t="s">
        <v>38</v>
      </c>
      <c r="O217">
        <v>2472</v>
      </c>
      <c r="P217">
        <v>32707</v>
      </c>
      <c r="Q217" t="s">
        <v>64</v>
      </c>
      <c r="R217" t="s">
        <v>53</v>
      </c>
      <c r="S217" t="s">
        <v>41</v>
      </c>
      <c r="T217" t="s">
        <v>42</v>
      </c>
      <c r="U217" t="s">
        <v>132</v>
      </c>
      <c r="V217">
        <v>40729</v>
      </c>
      <c r="W217">
        <v>42262</v>
      </c>
      <c r="X217" t="s">
        <v>105</v>
      </c>
      <c r="Y217" t="s">
        <v>56</v>
      </c>
      <c r="Z217" t="s">
        <v>46</v>
      </c>
      <c r="AA217" t="s">
        <v>78</v>
      </c>
      <c r="AB217">
        <v>11</v>
      </c>
      <c r="AC217" t="s">
        <v>140</v>
      </c>
      <c r="AD217" t="s">
        <v>141</v>
      </c>
      <c r="AE217">
        <v>2.4</v>
      </c>
      <c r="AF217">
        <v>5</v>
      </c>
      <c r="AG217">
        <v>0</v>
      </c>
      <c r="AH217" t="s">
        <v>482</v>
      </c>
      <c r="AI217">
        <v>5</v>
      </c>
      <c r="AJ217">
        <v>2</v>
      </c>
      <c r="AK217" t="str">
        <f t="shared" si="26"/>
        <v>Normal</v>
      </c>
      <c r="AL217" t="str">
        <f t="shared" si="27"/>
        <v>low Outlier</v>
      </c>
      <c r="AM217">
        <f ca="1">INT((TODAY()-HRDataset_v14[[#This Row],[DOB]])/365.25)</f>
        <v>36</v>
      </c>
      <c r="AN217">
        <f ca="1">DATEDIF(HRDataset_v14[[#This Row],[DateofHire]],TODAY(),"Y")</f>
        <v>14</v>
      </c>
      <c r="AO217">
        <f ca="1">IF(ISBLANK(HRDataset_v14[[#This Row],[DateofTermination]]),DATEDIF(HRDataset_v14[[#This Row],[DateofHire]],TODAY(),"Y"),DATEDIF(HRDataset_v14[[#This Row],[DateofHire]],HRDataset_v14[[#This Row],[DateofTermination]],"Y"))</f>
        <v>4</v>
      </c>
      <c r="AP217" t="str">
        <f ca="1">IF(HRDataset_v14[[#This Row],[Tenure in Years
]]&lt;1,"0-1 Year",IF(HRDataset_v14[[#This Row],[Tenure in Years
]]&lt;3,"1-3 Years",IF(HRDataset_v14[[#This Row],[Tenure in Years
]]&lt;5,"3-5 Years",IF(HRDataset_v14[[#This Row],[Tenure in Years
]]&lt;10,"5-10 Years","10+ Years"))))</f>
        <v>10+ Years</v>
      </c>
      <c r="AQ217" t="str">
        <f ca="1">IF(HRDataset_v14[[#This Row],[Age Calculation
]]&lt;26,"18-25",IF(HRDataset_v14[[#This Row],[Age Calculation
]]&lt;36,"26-35",IF(HRDataset_v14[[#This Row],[Age Calculation
]]&lt;46,"36-45",IF(HRDataset_v14[[#This Row],[Age Calculation
]]&lt;56,"46-55","55+"))))</f>
        <v>36-45</v>
      </c>
      <c r="AR217" t="str">
        <f>IF(HRDataset_v14[[#This Row],[Salary]]&lt;40000,"Entry (&lt;40K)",IF(HRDataset_v14[[#This Row],[Salary]]&lt;70000,"Mid (40-70K)",IF(HRDataset_v14[[#This Row],[Salary]]&lt;100000,"Senior (70-100K)","Executive (100K+)")))</f>
        <v>Mid (40-70K)</v>
      </c>
      <c r="AS217">
        <f>IF(HRDataset_v14[[#This Row],[EmploymentStatus]]="Active",1,0)</f>
        <v>0</v>
      </c>
      <c r="AT217">
        <f>YEAR(HRDataset_v14[[#This Row],[DateofHire]])</f>
        <v>2011</v>
      </c>
      <c r="AU217">
        <f>MONTH(HRDataset_v14[[#This Row],[DateofHire]])</f>
        <v>7</v>
      </c>
      <c r="AV217" t="str">
        <f>"Q"&amp;ROUNDUP(MONTH(HRDataset_v14[[#This Row],[DateofHire]])/3,0)</f>
        <v>Q3</v>
      </c>
      <c r="AW217" t="str">
        <f>TEXT(HRDataset_v14[[#This Row],[DateofHire]],"MMM")</f>
        <v>Jul</v>
      </c>
      <c r="AX217" t="str">
        <f>TEXT(HRDataset_v14[[#This Row],[DateofHire]],"YYYY-MM")</f>
        <v>2011-07</v>
      </c>
      <c r="AY217">
        <f>IF(ISBLANK(HRDataset_v14[[#This Row],[DateofTermination]]),"N/A",YEAR(HRDataset_v14[[#This Row],[DateofTermination]]))</f>
        <v>2015</v>
      </c>
      <c r="AZ217" t="str" cm="1">
        <f t="array" ref="AZ217">INDEX(_xlfn.UNIQUE(Z217:Z527),MATCH(MAX(COUNTIF(Z217:Z527,_xlfn.UNIQUE(Z217:Z527))),COUNTIF(Z217:Z527,_xlfn.UNIQUE(Z217:Z527)),0))</f>
        <v xml:space="preserve">Production       </v>
      </c>
      <c r="BA217">
        <f t="shared" si="32"/>
        <v>85.714285714285708</v>
      </c>
      <c r="BB217">
        <f t="shared" si="33"/>
        <v>5</v>
      </c>
      <c r="BC217" t="str">
        <f t="shared" si="28"/>
        <v>High</v>
      </c>
      <c r="BD217" t="str">
        <f t="shared" si="29"/>
        <v/>
      </c>
      <c r="BE217">
        <f t="shared" si="30"/>
        <v>2.4</v>
      </c>
      <c r="BT217" t="str">
        <f t="shared" si="31"/>
        <v/>
      </c>
    </row>
    <row r="218" spans="1:72" x14ac:dyDescent="0.3">
      <c r="A218" t="s">
        <v>483</v>
      </c>
      <c r="B218">
        <v>10171</v>
      </c>
      <c r="C218">
        <v>0</v>
      </c>
      <c r="D218">
        <v>0</v>
      </c>
      <c r="E218">
        <v>0</v>
      </c>
      <c r="F218">
        <v>5</v>
      </c>
      <c r="G218">
        <v>5</v>
      </c>
      <c r="H218">
        <v>3</v>
      </c>
      <c r="I218">
        <v>0</v>
      </c>
      <c r="J218">
        <v>45998</v>
      </c>
      <c r="K218">
        <v>1</v>
      </c>
      <c r="L218">
        <v>19</v>
      </c>
      <c r="M218" t="s">
        <v>37</v>
      </c>
      <c r="N218" t="s">
        <v>38</v>
      </c>
      <c r="O218">
        <v>2176</v>
      </c>
      <c r="P218">
        <v>31613</v>
      </c>
      <c r="Q218" t="s">
        <v>64</v>
      </c>
      <c r="R218" t="s">
        <v>40</v>
      </c>
      <c r="S218" t="s">
        <v>41</v>
      </c>
      <c r="T218" t="s">
        <v>42</v>
      </c>
      <c r="U218" t="s">
        <v>43</v>
      </c>
      <c r="V218">
        <v>40679</v>
      </c>
      <c r="W218">
        <v>42302</v>
      </c>
      <c r="X218" t="s">
        <v>484</v>
      </c>
      <c r="Y218" t="s">
        <v>56</v>
      </c>
      <c r="Z218" t="s">
        <v>46</v>
      </c>
      <c r="AA218" t="s">
        <v>78</v>
      </c>
      <c r="AB218">
        <v>11</v>
      </c>
      <c r="AC218" t="s">
        <v>48</v>
      </c>
      <c r="AD218" t="s">
        <v>60</v>
      </c>
      <c r="AE218">
        <v>3.45</v>
      </c>
      <c r="AF218">
        <v>4</v>
      </c>
      <c r="AG218">
        <v>0</v>
      </c>
      <c r="AH218" t="s">
        <v>485</v>
      </c>
      <c r="AI218">
        <v>0</v>
      </c>
      <c r="AJ218">
        <v>5</v>
      </c>
      <c r="AK218" t="str">
        <f t="shared" si="26"/>
        <v>Normal</v>
      </c>
      <c r="AL218" t="str">
        <f t="shared" si="27"/>
        <v>low Outlier</v>
      </c>
      <c r="AM218">
        <f ca="1">INT((TODAY()-HRDataset_v14[[#This Row],[DOB]])/365.25)</f>
        <v>39</v>
      </c>
      <c r="AN218">
        <f ca="1">DATEDIF(HRDataset_v14[[#This Row],[DateofHire]],TODAY(),"Y")</f>
        <v>14</v>
      </c>
      <c r="AO218">
        <f ca="1">IF(ISBLANK(HRDataset_v14[[#This Row],[DateofTermination]]),DATEDIF(HRDataset_v14[[#This Row],[DateofHire]],TODAY(),"Y"),DATEDIF(HRDataset_v14[[#This Row],[DateofHire]],HRDataset_v14[[#This Row],[DateofTermination]],"Y"))</f>
        <v>4</v>
      </c>
      <c r="AP218" t="str">
        <f ca="1">IF(HRDataset_v14[[#This Row],[Tenure in Years
]]&lt;1,"0-1 Year",IF(HRDataset_v14[[#This Row],[Tenure in Years
]]&lt;3,"1-3 Years",IF(HRDataset_v14[[#This Row],[Tenure in Years
]]&lt;5,"3-5 Years",IF(HRDataset_v14[[#This Row],[Tenure in Years
]]&lt;10,"5-10 Years","10+ Years"))))</f>
        <v>10+ Years</v>
      </c>
      <c r="AQ218" t="str">
        <f ca="1">IF(HRDataset_v14[[#This Row],[Age Calculation
]]&lt;26,"18-25",IF(HRDataset_v14[[#This Row],[Age Calculation
]]&lt;36,"26-35",IF(HRDataset_v14[[#This Row],[Age Calculation
]]&lt;46,"36-45",IF(HRDataset_v14[[#This Row],[Age Calculation
]]&lt;56,"46-55","55+"))))</f>
        <v>36-45</v>
      </c>
      <c r="AR218" t="str">
        <f>IF(HRDataset_v14[[#This Row],[Salary]]&lt;40000,"Entry (&lt;40K)",IF(HRDataset_v14[[#This Row],[Salary]]&lt;70000,"Mid (40-70K)",IF(HRDataset_v14[[#This Row],[Salary]]&lt;100000,"Senior (70-100K)","Executive (100K+)")))</f>
        <v>Mid (40-70K)</v>
      </c>
      <c r="AS218">
        <f>IF(HRDataset_v14[[#This Row],[EmploymentStatus]]="Active",1,0)</f>
        <v>0</v>
      </c>
      <c r="AT218">
        <f>YEAR(HRDataset_v14[[#This Row],[DateofHire]])</f>
        <v>2011</v>
      </c>
      <c r="AU218">
        <f>MONTH(HRDataset_v14[[#This Row],[DateofHire]])</f>
        <v>5</v>
      </c>
      <c r="AV218" t="str">
        <f>"Q"&amp;ROUNDUP(MONTH(HRDataset_v14[[#This Row],[DateofHire]])/3,0)</f>
        <v>Q2</v>
      </c>
      <c r="AW218" t="str">
        <f>TEXT(HRDataset_v14[[#This Row],[DateofHire]],"MMM")</f>
        <v>May</v>
      </c>
      <c r="AX218" t="str">
        <f>TEXT(HRDataset_v14[[#This Row],[DateofHire]],"YYYY-MM")</f>
        <v>2011-05</v>
      </c>
      <c r="AY218">
        <f>IF(ISBLANK(HRDataset_v14[[#This Row],[DateofTermination]]),"N/A",YEAR(HRDataset_v14[[#This Row],[DateofTermination]]))</f>
        <v>2015</v>
      </c>
      <c r="AZ218" t="str" cm="1">
        <f t="array" ref="AZ218">INDEX(_xlfn.UNIQUE(Z218:Z528),MATCH(MAX(COUNTIF(Z218:Z528,_xlfn.UNIQUE(Z218:Z528))),COUNTIF(Z218:Z528,_xlfn.UNIQUE(Z218:Z528)),0))</f>
        <v xml:space="preserve">Production       </v>
      </c>
      <c r="BA218">
        <f t="shared" si="32"/>
        <v>83.333333333333343</v>
      </c>
      <c r="BB218">
        <f t="shared" si="33"/>
        <v>3</v>
      </c>
      <c r="BC218" t="str">
        <f t="shared" si="28"/>
        <v>Medium</v>
      </c>
      <c r="BD218" t="str">
        <f t="shared" si="29"/>
        <v/>
      </c>
      <c r="BE218">
        <f t="shared" si="30"/>
        <v>3.45</v>
      </c>
      <c r="BT218" t="str">
        <f t="shared" si="31"/>
        <v/>
      </c>
    </row>
    <row r="219" spans="1:72" x14ac:dyDescent="0.3">
      <c r="A219" t="s">
        <v>486</v>
      </c>
      <c r="B219">
        <v>10032</v>
      </c>
      <c r="C219">
        <v>1</v>
      </c>
      <c r="D219">
        <v>1</v>
      </c>
      <c r="E219">
        <v>0</v>
      </c>
      <c r="F219">
        <v>5</v>
      </c>
      <c r="G219">
        <v>5</v>
      </c>
      <c r="H219">
        <v>4</v>
      </c>
      <c r="I219">
        <v>0</v>
      </c>
      <c r="J219">
        <v>57954</v>
      </c>
      <c r="K219">
        <v>1</v>
      </c>
      <c r="L219">
        <v>20</v>
      </c>
      <c r="M219" t="s">
        <v>63</v>
      </c>
      <c r="N219" t="s">
        <v>38</v>
      </c>
      <c r="O219">
        <v>1886</v>
      </c>
      <c r="P219">
        <v>31641</v>
      </c>
      <c r="Q219" t="s">
        <v>64</v>
      </c>
      <c r="R219" t="s">
        <v>53</v>
      </c>
      <c r="S219" t="s">
        <v>41</v>
      </c>
      <c r="T219" t="s">
        <v>42</v>
      </c>
      <c r="U219" t="s">
        <v>43</v>
      </c>
      <c r="V219">
        <v>40679</v>
      </c>
      <c r="W219">
        <v>41309</v>
      </c>
      <c r="X219" t="s">
        <v>243</v>
      </c>
      <c r="Y219" t="s">
        <v>56</v>
      </c>
      <c r="Z219" t="s">
        <v>46</v>
      </c>
      <c r="AA219" t="s">
        <v>87</v>
      </c>
      <c r="AB219">
        <v>19</v>
      </c>
      <c r="AC219" t="s">
        <v>59</v>
      </c>
      <c r="AD219" t="s">
        <v>49</v>
      </c>
      <c r="AE219">
        <v>4.2</v>
      </c>
      <c r="AF219">
        <v>5</v>
      </c>
      <c r="AG219">
        <v>0</v>
      </c>
      <c r="AH219" t="s">
        <v>487</v>
      </c>
      <c r="AI219">
        <v>0</v>
      </c>
      <c r="AJ219">
        <v>12</v>
      </c>
      <c r="AK219" t="str">
        <f t="shared" si="26"/>
        <v>Normal</v>
      </c>
      <c r="AL219" t="str">
        <f t="shared" si="27"/>
        <v>low Outlier</v>
      </c>
      <c r="AM219">
        <f ca="1">INT((TODAY()-HRDataset_v14[[#This Row],[DOB]])/365.25)</f>
        <v>39</v>
      </c>
      <c r="AN219">
        <f ca="1">DATEDIF(HRDataset_v14[[#This Row],[DateofHire]],TODAY(),"Y")</f>
        <v>14</v>
      </c>
      <c r="AO219">
        <f ca="1">IF(ISBLANK(HRDataset_v14[[#This Row],[DateofTermination]]),DATEDIF(HRDataset_v14[[#This Row],[DateofHire]],TODAY(),"Y"),DATEDIF(HRDataset_v14[[#This Row],[DateofHire]],HRDataset_v14[[#This Row],[DateofTermination]],"Y"))</f>
        <v>1</v>
      </c>
      <c r="AP219" t="str">
        <f ca="1">IF(HRDataset_v14[[#This Row],[Tenure in Years
]]&lt;1,"0-1 Year",IF(HRDataset_v14[[#This Row],[Tenure in Years
]]&lt;3,"1-3 Years",IF(HRDataset_v14[[#This Row],[Tenure in Years
]]&lt;5,"3-5 Years",IF(HRDataset_v14[[#This Row],[Tenure in Years
]]&lt;10,"5-10 Years","10+ Years"))))</f>
        <v>10+ Years</v>
      </c>
      <c r="AQ219" t="str">
        <f ca="1">IF(HRDataset_v14[[#This Row],[Age Calculation
]]&lt;26,"18-25",IF(HRDataset_v14[[#This Row],[Age Calculation
]]&lt;36,"26-35",IF(HRDataset_v14[[#This Row],[Age Calculation
]]&lt;46,"36-45",IF(HRDataset_v14[[#This Row],[Age Calculation
]]&lt;56,"46-55","55+"))))</f>
        <v>36-45</v>
      </c>
      <c r="AR219" t="str">
        <f>IF(HRDataset_v14[[#This Row],[Salary]]&lt;40000,"Entry (&lt;40K)",IF(HRDataset_v14[[#This Row],[Salary]]&lt;70000,"Mid (40-70K)",IF(HRDataset_v14[[#This Row],[Salary]]&lt;100000,"Senior (70-100K)","Executive (100K+)")))</f>
        <v>Mid (40-70K)</v>
      </c>
      <c r="AS219">
        <f>IF(HRDataset_v14[[#This Row],[EmploymentStatus]]="Active",1,0)</f>
        <v>0</v>
      </c>
      <c r="AT219">
        <f>YEAR(HRDataset_v14[[#This Row],[DateofHire]])</f>
        <v>2011</v>
      </c>
      <c r="AU219">
        <f>MONTH(HRDataset_v14[[#This Row],[DateofHire]])</f>
        <v>5</v>
      </c>
      <c r="AV219" t="str">
        <f>"Q"&amp;ROUNDUP(MONTH(HRDataset_v14[[#This Row],[DateofHire]])/3,0)</f>
        <v>Q2</v>
      </c>
      <c r="AW219" t="str">
        <f>TEXT(HRDataset_v14[[#This Row],[DateofHire]],"MMM")</f>
        <v>May</v>
      </c>
      <c r="AX219" t="str">
        <f>TEXT(HRDataset_v14[[#This Row],[DateofHire]],"YYYY-MM")</f>
        <v>2011-05</v>
      </c>
      <c r="AY219">
        <f>IF(ISBLANK(HRDataset_v14[[#This Row],[DateofTermination]]),"N/A",YEAR(HRDataset_v14[[#This Row],[DateofTermination]]))</f>
        <v>2013</v>
      </c>
      <c r="AZ219" t="str" cm="1">
        <f t="array" ref="AZ219">INDEX(_xlfn.UNIQUE(Z219:Z529),MATCH(MAX(COUNTIF(Z219:Z529,_xlfn.UNIQUE(Z219:Z529))),COUNTIF(Z219:Z529,_xlfn.UNIQUE(Z219:Z529)),0))</f>
        <v xml:space="preserve">Production       </v>
      </c>
      <c r="BA219">
        <f t="shared" si="32"/>
        <v>66.666666666666657</v>
      </c>
      <c r="BB219">
        <f t="shared" si="33"/>
        <v>3</v>
      </c>
      <c r="BC219" t="str">
        <f t="shared" si="28"/>
        <v>Low</v>
      </c>
      <c r="BD219" t="str">
        <f t="shared" si="29"/>
        <v/>
      </c>
      <c r="BE219">
        <f t="shared" si="30"/>
        <v>4.2</v>
      </c>
      <c r="BT219" t="str">
        <f t="shared" si="31"/>
        <v/>
      </c>
    </row>
    <row r="220" spans="1:72" x14ac:dyDescent="0.3">
      <c r="A220" t="s">
        <v>488</v>
      </c>
      <c r="B220">
        <v>10130</v>
      </c>
      <c r="C220">
        <v>1</v>
      </c>
      <c r="D220">
        <v>1</v>
      </c>
      <c r="E220">
        <v>0</v>
      </c>
      <c r="F220">
        <v>5</v>
      </c>
      <c r="G220">
        <v>5</v>
      </c>
      <c r="H220">
        <v>3</v>
      </c>
      <c r="I220">
        <v>0</v>
      </c>
      <c r="J220">
        <v>74669</v>
      </c>
      <c r="K220">
        <v>1</v>
      </c>
      <c r="L220">
        <v>18</v>
      </c>
      <c r="M220" t="s">
        <v>154</v>
      </c>
      <c r="N220" t="s">
        <v>38</v>
      </c>
      <c r="O220">
        <v>2030</v>
      </c>
      <c r="P220">
        <v>28254</v>
      </c>
      <c r="Q220" t="s">
        <v>64</v>
      </c>
      <c r="R220" t="s">
        <v>53</v>
      </c>
      <c r="S220" t="s">
        <v>41</v>
      </c>
      <c r="T220" t="s">
        <v>42</v>
      </c>
      <c r="U220" t="s">
        <v>43</v>
      </c>
      <c r="V220">
        <v>40476</v>
      </c>
      <c r="W220">
        <v>42508</v>
      </c>
      <c r="X220" t="s">
        <v>101</v>
      </c>
      <c r="Y220" t="s">
        <v>56</v>
      </c>
      <c r="Z220" t="s">
        <v>46</v>
      </c>
      <c r="AA220" t="s">
        <v>156</v>
      </c>
      <c r="AB220">
        <v>2</v>
      </c>
      <c r="AC220" t="s">
        <v>59</v>
      </c>
      <c r="AD220" t="s">
        <v>60</v>
      </c>
      <c r="AE220">
        <v>4.16</v>
      </c>
      <c r="AF220">
        <v>5</v>
      </c>
      <c r="AG220">
        <v>0</v>
      </c>
      <c r="AH220" t="s">
        <v>489</v>
      </c>
      <c r="AI220">
        <v>0</v>
      </c>
      <c r="AJ220">
        <v>6</v>
      </c>
      <c r="AK220" t="str">
        <f t="shared" si="26"/>
        <v>Normal</v>
      </c>
      <c r="AL220" t="str">
        <f t="shared" si="27"/>
        <v>low Outlier</v>
      </c>
      <c r="AM220">
        <f ca="1">INT((TODAY()-HRDataset_v14[[#This Row],[DOB]])/365.25)</f>
        <v>48</v>
      </c>
      <c r="AN220">
        <f ca="1">DATEDIF(HRDataset_v14[[#This Row],[DateofHire]],TODAY(),"Y")</f>
        <v>15</v>
      </c>
      <c r="AO220">
        <f ca="1">IF(ISBLANK(HRDataset_v14[[#This Row],[DateofTermination]]),DATEDIF(HRDataset_v14[[#This Row],[DateofHire]],TODAY(),"Y"),DATEDIF(HRDataset_v14[[#This Row],[DateofHire]],HRDataset_v14[[#This Row],[DateofTermination]],"Y"))</f>
        <v>5</v>
      </c>
      <c r="AP220" t="str">
        <f ca="1">IF(HRDataset_v14[[#This Row],[Tenure in Years
]]&lt;1,"0-1 Year",IF(HRDataset_v14[[#This Row],[Tenure in Years
]]&lt;3,"1-3 Years",IF(HRDataset_v14[[#This Row],[Tenure in Years
]]&lt;5,"3-5 Years",IF(HRDataset_v14[[#This Row],[Tenure in Years
]]&lt;10,"5-10 Years","10+ Years"))))</f>
        <v>10+ Years</v>
      </c>
      <c r="AQ220" t="str">
        <f ca="1">IF(HRDataset_v14[[#This Row],[Age Calculation
]]&lt;26,"18-25",IF(HRDataset_v14[[#This Row],[Age Calculation
]]&lt;36,"26-35",IF(HRDataset_v14[[#This Row],[Age Calculation
]]&lt;46,"36-45",IF(HRDataset_v14[[#This Row],[Age Calculation
]]&lt;56,"46-55","55+"))))</f>
        <v>46-55</v>
      </c>
      <c r="AR220" t="str">
        <f>IF(HRDataset_v14[[#This Row],[Salary]]&lt;40000,"Entry (&lt;40K)",IF(HRDataset_v14[[#This Row],[Salary]]&lt;70000,"Mid (40-70K)",IF(HRDataset_v14[[#This Row],[Salary]]&lt;100000,"Senior (70-100K)","Executive (100K+)")))</f>
        <v>Senior (70-100K)</v>
      </c>
      <c r="AS220">
        <f>IF(HRDataset_v14[[#This Row],[EmploymentStatus]]="Active",1,0)</f>
        <v>0</v>
      </c>
      <c r="AT220">
        <f>YEAR(HRDataset_v14[[#This Row],[DateofHire]])</f>
        <v>2010</v>
      </c>
      <c r="AU220">
        <f>MONTH(HRDataset_v14[[#This Row],[DateofHire]])</f>
        <v>10</v>
      </c>
      <c r="AV220" t="str">
        <f>"Q"&amp;ROUNDUP(MONTH(HRDataset_v14[[#This Row],[DateofHire]])/3,0)</f>
        <v>Q4</v>
      </c>
      <c r="AW220" t="str">
        <f>TEXT(HRDataset_v14[[#This Row],[DateofHire]],"MMM")</f>
        <v>Oct</v>
      </c>
      <c r="AX220" t="str">
        <f>TEXT(HRDataset_v14[[#This Row],[DateofHire]],"YYYY-MM")</f>
        <v>2010-10</v>
      </c>
      <c r="AY220">
        <f>IF(ISBLANK(HRDataset_v14[[#This Row],[DateofTermination]]),"N/A",YEAR(HRDataset_v14[[#This Row],[DateofTermination]]))</f>
        <v>2016</v>
      </c>
      <c r="AZ220" t="str" cm="1">
        <f t="array" ref="AZ220">INDEX(_xlfn.UNIQUE(Z220:Z530),MATCH(MAX(COUNTIF(Z220:Z530,_xlfn.UNIQUE(Z220:Z530))),COUNTIF(Z220:Z530,_xlfn.UNIQUE(Z220:Z530)),0))</f>
        <v xml:space="preserve">Production       </v>
      </c>
      <c r="BA220">
        <f t="shared" si="32"/>
        <v>42.857142857142854</v>
      </c>
      <c r="BB220">
        <f t="shared" si="33"/>
        <v>10</v>
      </c>
      <c r="BC220" t="str">
        <f t="shared" si="28"/>
        <v>Medium</v>
      </c>
      <c r="BD220" t="str">
        <f t="shared" si="29"/>
        <v/>
      </c>
      <c r="BE220">
        <f t="shared" si="30"/>
        <v>4.16</v>
      </c>
      <c r="BT220" t="str">
        <f t="shared" si="31"/>
        <v/>
      </c>
    </row>
    <row r="221" spans="1:72" x14ac:dyDescent="0.3">
      <c r="A221" t="s">
        <v>490</v>
      </c>
      <c r="B221">
        <v>10217</v>
      </c>
      <c r="C221">
        <v>1</v>
      </c>
      <c r="D221">
        <v>1</v>
      </c>
      <c r="E221">
        <v>0</v>
      </c>
      <c r="F221">
        <v>1</v>
      </c>
      <c r="G221">
        <v>5</v>
      </c>
      <c r="H221">
        <v>3</v>
      </c>
      <c r="I221">
        <v>0</v>
      </c>
      <c r="J221">
        <v>74226</v>
      </c>
      <c r="K221">
        <v>0</v>
      </c>
      <c r="L221">
        <v>20</v>
      </c>
      <c r="M221" t="s">
        <v>63</v>
      </c>
      <c r="N221" t="s">
        <v>38</v>
      </c>
      <c r="O221">
        <v>2050</v>
      </c>
      <c r="P221">
        <v>28924</v>
      </c>
      <c r="Q221" t="s">
        <v>64</v>
      </c>
      <c r="R221" t="s">
        <v>53</v>
      </c>
      <c r="S221" t="s">
        <v>126</v>
      </c>
      <c r="T221" t="s">
        <v>42</v>
      </c>
      <c r="U221" t="s">
        <v>132</v>
      </c>
      <c r="V221">
        <v>41001</v>
      </c>
      <c r="X221" t="s">
        <v>44</v>
      </c>
      <c r="Y221" t="s">
        <v>45</v>
      </c>
      <c r="Z221" t="s">
        <v>46</v>
      </c>
      <c r="AA221" t="s">
        <v>92</v>
      </c>
      <c r="AB221">
        <v>12</v>
      </c>
      <c r="AC221" t="s">
        <v>48</v>
      </c>
      <c r="AD221" t="s">
        <v>60</v>
      </c>
      <c r="AE221">
        <v>4.3</v>
      </c>
      <c r="AF221">
        <v>3</v>
      </c>
      <c r="AG221">
        <v>0</v>
      </c>
      <c r="AH221" t="s">
        <v>124</v>
      </c>
      <c r="AI221">
        <v>0</v>
      </c>
      <c r="AJ221">
        <v>14</v>
      </c>
      <c r="AK221" t="str">
        <f t="shared" si="26"/>
        <v>Normal</v>
      </c>
      <c r="AL221" t="str">
        <f t="shared" si="27"/>
        <v>low Outlier</v>
      </c>
      <c r="AM221">
        <f ca="1">INT((TODAY()-HRDataset_v14[[#This Row],[DOB]])/365.25)</f>
        <v>47</v>
      </c>
      <c r="AN221">
        <f ca="1">DATEDIF(HRDataset_v14[[#This Row],[DateofHire]],TODAY(),"Y")</f>
        <v>14</v>
      </c>
      <c r="AO221">
        <f ca="1">IF(ISBLANK(HRDataset_v14[[#This Row],[DateofTermination]]),DATEDIF(HRDataset_v14[[#This Row],[DateofHire]],TODAY(),"Y"),DATEDIF(HRDataset_v14[[#This Row],[DateofHire]],HRDataset_v14[[#This Row],[DateofTermination]],"Y"))</f>
        <v>14</v>
      </c>
      <c r="AP221" t="str">
        <f ca="1">IF(HRDataset_v14[[#This Row],[Tenure in Years
]]&lt;1,"0-1 Year",IF(HRDataset_v14[[#This Row],[Tenure in Years
]]&lt;3,"1-3 Years",IF(HRDataset_v14[[#This Row],[Tenure in Years
]]&lt;5,"3-5 Years",IF(HRDataset_v14[[#This Row],[Tenure in Years
]]&lt;10,"5-10 Years","10+ Years"))))</f>
        <v>10+ Years</v>
      </c>
      <c r="AQ221" t="str">
        <f ca="1">IF(HRDataset_v14[[#This Row],[Age Calculation
]]&lt;26,"18-25",IF(HRDataset_v14[[#This Row],[Age Calculation
]]&lt;36,"26-35",IF(HRDataset_v14[[#This Row],[Age Calculation
]]&lt;46,"36-45",IF(HRDataset_v14[[#This Row],[Age Calculation
]]&lt;56,"46-55","55+"))))</f>
        <v>46-55</v>
      </c>
      <c r="AR221" t="str">
        <f>IF(HRDataset_v14[[#This Row],[Salary]]&lt;40000,"Entry (&lt;40K)",IF(HRDataset_v14[[#This Row],[Salary]]&lt;70000,"Mid (40-70K)",IF(HRDataset_v14[[#This Row],[Salary]]&lt;100000,"Senior (70-100K)","Executive (100K+)")))</f>
        <v>Senior (70-100K)</v>
      </c>
      <c r="AS221">
        <f>IF(HRDataset_v14[[#This Row],[EmploymentStatus]]="Active",1,0)</f>
        <v>1</v>
      </c>
      <c r="AT221">
        <f>YEAR(HRDataset_v14[[#This Row],[DateofHire]])</f>
        <v>2012</v>
      </c>
      <c r="AU221">
        <f>MONTH(HRDataset_v14[[#This Row],[DateofHire]])</f>
        <v>4</v>
      </c>
      <c r="AV221" t="str">
        <f>"Q"&amp;ROUNDUP(MONTH(HRDataset_v14[[#This Row],[DateofHire]])/3,0)</f>
        <v>Q2</v>
      </c>
      <c r="AW221" t="str">
        <f>TEXT(HRDataset_v14[[#This Row],[DateofHire]],"MMM")</f>
        <v>Apr</v>
      </c>
      <c r="AX221" t="str">
        <f>TEXT(HRDataset_v14[[#This Row],[DateofHire]],"YYYY-MM")</f>
        <v>2012-04</v>
      </c>
      <c r="AY221" t="str">
        <f>IF(ISBLANK(HRDataset_v14[[#This Row],[DateofTermination]]),"N/A",YEAR(HRDataset_v14[[#This Row],[DateofTermination]]))</f>
        <v>N/A</v>
      </c>
      <c r="AZ221" t="str" cm="1">
        <f t="array" ref="AZ221">INDEX(_xlfn.UNIQUE(Z221:Z531),MATCH(MAX(COUNTIF(Z221:Z531,_xlfn.UNIQUE(Z221:Z531))),COUNTIF(Z221:Z531,_xlfn.UNIQUE(Z221:Z531)),0))</f>
        <v xml:space="preserve">Production       </v>
      </c>
      <c r="BA221">
        <f t="shared" si="32"/>
        <v>42.857142857142854</v>
      </c>
      <c r="BB221">
        <f t="shared" si="33"/>
        <v>0</v>
      </c>
      <c r="BC221" t="str">
        <f t="shared" si="28"/>
        <v>Medium</v>
      </c>
      <c r="BD221">
        <f t="shared" si="29"/>
        <v>4.3</v>
      </c>
      <c r="BE221" t="str">
        <f t="shared" si="30"/>
        <v/>
      </c>
      <c r="BT221">
        <f t="shared" si="31"/>
        <v>4.3</v>
      </c>
    </row>
    <row r="222" spans="1:72" x14ac:dyDescent="0.3">
      <c r="A222" t="s">
        <v>491</v>
      </c>
      <c r="B222">
        <v>10016</v>
      </c>
      <c r="C222">
        <v>1</v>
      </c>
      <c r="D222">
        <v>1</v>
      </c>
      <c r="E222">
        <v>0</v>
      </c>
      <c r="F222">
        <v>1</v>
      </c>
      <c r="G222">
        <v>3</v>
      </c>
      <c r="H222">
        <v>4</v>
      </c>
      <c r="I222">
        <v>0</v>
      </c>
      <c r="J222">
        <v>93554</v>
      </c>
      <c r="K222">
        <v>0</v>
      </c>
      <c r="L222">
        <v>9</v>
      </c>
      <c r="M222" t="s">
        <v>108</v>
      </c>
      <c r="N222" t="s">
        <v>38</v>
      </c>
      <c r="O222">
        <v>1886</v>
      </c>
      <c r="P222">
        <v>30941</v>
      </c>
      <c r="Q222" t="s">
        <v>64</v>
      </c>
      <c r="R222" t="s">
        <v>53</v>
      </c>
      <c r="S222" t="s">
        <v>41</v>
      </c>
      <c r="T222" t="s">
        <v>42</v>
      </c>
      <c r="U222" t="s">
        <v>91</v>
      </c>
      <c r="V222">
        <v>41953</v>
      </c>
      <c r="X222" t="s">
        <v>44</v>
      </c>
      <c r="Y222" t="s">
        <v>45</v>
      </c>
      <c r="Z222" t="s">
        <v>57</v>
      </c>
      <c r="AA222" t="s">
        <v>58</v>
      </c>
      <c r="AB222">
        <v>4</v>
      </c>
      <c r="AC222" t="s">
        <v>88</v>
      </c>
      <c r="AD222" t="s">
        <v>49</v>
      </c>
      <c r="AE222">
        <v>4.5999999999999996</v>
      </c>
      <c r="AF222">
        <v>5</v>
      </c>
      <c r="AG222">
        <v>7</v>
      </c>
      <c r="AH222" t="s">
        <v>263</v>
      </c>
      <c r="AI222">
        <v>0</v>
      </c>
      <c r="AJ222">
        <v>16</v>
      </c>
      <c r="AK222" t="str">
        <f t="shared" si="26"/>
        <v>Normal</v>
      </c>
      <c r="AL222" t="str">
        <f t="shared" si="27"/>
        <v>low Outlier</v>
      </c>
      <c r="AM222">
        <f ca="1">INT((TODAY()-HRDataset_v14[[#This Row],[DOB]])/365.25)</f>
        <v>41</v>
      </c>
      <c r="AN222">
        <f ca="1">DATEDIF(HRDataset_v14[[#This Row],[DateofHire]],TODAY(),"Y")</f>
        <v>11</v>
      </c>
      <c r="AO222">
        <f ca="1">IF(ISBLANK(HRDataset_v14[[#This Row],[DateofTermination]]),DATEDIF(HRDataset_v14[[#This Row],[DateofHire]],TODAY(),"Y"),DATEDIF(HRDataset_v14[[#This Row],[DateofHire]],HRDataset_v14[[#This Row],[DateofTermination]],"Y"))</f>
        <v>11</v>
      </c>
      <c r="AP222" t="str">
        <f ca="1">IF(HRDataset_v14[[#This Row],[Tenure in Years
]]&lt;1,"0-1 Year",IF(HRDataset_v14[[#This Row],[Tenure in Years
]]&lt;3,"1-3 Years",IF(HRDataset_v14[[#This Row],[Tenure in Years
]]&lt;5,"3-5 Years",IF(HRDataset_v14[[#This Row],[Tenure in Years
]]&lt;10,"5-10 Years","10+ Years"))))</f>
        <v>10+ Years</v>
      </c>
      <c r="AQ222" t="str">
        <f ca="1">IF(HRDataset_v14[[#This Row],[Age Calculation
]]&lt;26,"18-25",IF(HRDataset_v14[[#This Row],[Age Calculation
]]&lt;36,"26-35",IF(HRDataset_v14[[#This Row],[Age Calculation
]]&lt;46,"36-45",IF(HRDataset_v14[[#This Row],[Age Calculation
]]&lt;56,"46-55","55+"))))</f>
        <v>36-45</v>
      </c>
      <c r="AR222" t="str">
        <f>IF(HRDataset_v14[[#This Row],[Salary]]&lt;40000,"Entry (&lt;40K)",IF(HRDataset_v14[[#This Row],[Salary]]&lt;70000,"Mid (40-70K)",IF(HRDataset_v14[[#This Row],[Salary]]&lt;100000,"Senior (70-100K)","Executive (100K+)")))</f>
        <v>Senior (70-100K)</v>
      </c>
      <c r="AS222">
        <f>IF(HRDataset_v14[[#This Row],[EmploymentStatus]]="Active",1,0)</f>
        <v>1</v>
      </c>
      <c r="AT222">
        <f>YEAR(HRDataset_v14[[#This Row],[DateofHire]])</f>
        <v>2014</v>
      </c>
      <c r="AU222">
        <f>MONTH(HRDataset_v14[[#This Row],[DateofHire]])</f>
        <v>11</v>
      </c>
      <c r="AV222" t="str">
        <f>"Q"&amp;ROUNDUP(MONTH(HRDataset_v14[[#This Row],[DateofHire]])/3,0)</f>
        <v>Q4</v>
      </c>
      <c r="AW222" t="str">
        <f>TEXT(HRDataset_v14[[#This Row],[DateofHire]],"MMM")</f>
        <v>Nov</v>
      </c>
      <c r="AX222" t="str">
        <f>TEXT(HRDataset_v14[[#This Row],[DateofHire]],"YYYY-MM")</f>
        <v>2014-11</v>
      </c>
      <c r="AY222" t="str">
        <f>IF(ISBLANK(HRDataset_v14[[#This Row],[DateofTermination]]),"N/A",YEAR(HRDataset_v14[[#This Row],[DateofTermination]]))</f>
        <v>N/A</v>
      </c>
      <c r="AZ222" t="str" cm="1">
        <f t="array" ref="AZ222">INDEX(_xlfn.UNIQUE(Z222:Z532),MATCH(MAX(COUNTIF(Z222:Z532,_xlfn.UNIQUE(Z222:Z532))),COUNTIF(Z222:Z532,_xlfn.UNIQUE(Z222:Z532)),0))</f>
        <v xml:space="preserve">Production       </v>
      </c>
      <c r="BA222">
        <f t="shared" si="32"/>
        <v>42.857142857142854</v>
      </c>
      <c r="BB222">
        <f t="shared" si="33"/>
        <v>0</v>
      </c>
      <c r="BC222" t="str">
        <f t="shared" si="28"/>
        <v>Low</v>
      </c>
      <c r="BD222">
        <f t="shared" si="29"/>
        <v>4.5999999999999996</v>
      </c>
      <c r="BE222" t="str">
        <f t="shared" si="30"/>
        <v/>
      </c>
      <c r="BT222">
        <f t="shared" si="31"/>
        <v>4.5999999999999996</v>
      </c>
    </row>
    <row r="223" spans="1:72" x14ac:dyDescent="0.3">
      <c r="A223" t="s">
        <v>492</v>
      </c>
      <c r="B223">
        <v>10050</v>
      </c>
      <c r="C223">
        <v>1</v>
      </c>
      <c r="D223">
        <v>1</v>
      </c>
      <c r="E223">
        <v>1</v>
      </c>
      <c r="F223">
        <v>5</v>
      </c>
      <c r="G223">
        <v>5</v>
      </c>
      <c r="H223">
        <v>3</v>
      </c>
      <c r="I223">
        <v>0</v>
      </c>
      <c r="J223">
        <v>64724</v>
      </c>
      <c r="K223">
        <v>1</v>
      </c>
      <c r="L223">
        <v>19</v>
      </c>
      <c r="M223" t="s">
        <v>37</v>
      </c>
      <c r="N223" t="s">
        <v>38</v>
      </c>
      <c r="O223">
        <v>2451</v>
      </c>
      <c r="P223">
        <v>32208</v>
      </c>
      <c r="Q223" t="s">
        <v>39</v>
      </c>
      <c r="R223" t="s">
        <v>53</v>
      </c>
      <c r="S223" t="s">
        <v>41</v>
      </c>
      <c r="T223" t="s">
        <v>42</v>
      </c>
      <c r="U223" t="s">
        <v>132</v>
      </c>
      <c r="V223">
        <v>40729</v>
      </c>
      <c r="W223">
        <v>41243</v>
      </c>
      <c r="X223" t="s">
        <v>243</v>
      </c>
      <c r="Y223" t="s">
        <v>56</v>
      </c>
      <c r="Z223" t="s">
        <v>46</v>
      </c>
      <c r="AA223" t="s">
        <v>92</v>
      </c>
      <c r="AB223">
        <v>12</v>
      </c>
      <c r="AC223" t="s">
        <v>75</v>
      </c>
      <c r="AD223" t="s">
        <v>60</v>
      </c>
      <c r="AE223">
        <v>5</v>
      </c>
      <c r="AF223">
        <v>3</v>
      </c>
      <c r="AG223">
        <v>0</v>
      </c>
      <c r="AH223" t="s">
        <v>112</v>
      </c>
      <c r="AI223">
        <v>0</v>
      </c>
      <c r="AJ223">
        <v>13</v>
      </c>
      <c r="AK223" t="str">
        <f t="shared" si="26"/>
        <v>Normal</v>
      </c>
      <c r="AL223" t="str">
        <f t="shared" si="27"/>
        <v>low Outlier</v>
      </c>
      <c r="AM223">
        <f ca="1">INT((TODAY()-HRDataset_v14[[#This Row],[DOB]])/365.25)</f>
        <v>38</v>
      </c>
      <c r="AN223">
        <f ca="1">DATEDIF(HRDataset_v14[[#This Row],[DateofHire]],TODAY(),"Y")</f>
        <v>14</v>
      </c>
      <c r="AO223">
        <f ca="1">IF(ISBLANK(HRDataset_v14[[#This Row],[DateofTermination]]),DATEDIF(HRDataset_v14[[#This Row],[DateofHire]],TODAY(),"Y"),DATEDIF(HRDataset_v14[[#This Row],[DateofHire]],HRDataset_v14[[#This Row],[DateofTermination]],"Y"))</f>
        <v>1</v>
      </c>
      <c r="AP223" t="str">
        <f ca="1">IF(HRDataset_v14[[#This Row],[Tenure in Years
]]&lt;1,"0-1 Year",IF(HRDataset_v14[[#This Row],[Tenure in Years
]]&lt;3,"1-3 Years",IF(HRDataset_v14[[#This Row],[Tenure in Years
]]&lt;5,"3-5 Years",IF(HRDataset_v14[[#This Row],[Tenure in Years
]]&lt;10,"5-10 Years","10+ Years"))))</f>
        <v>10+ Years</v>
      </c>
      <c r="AQ223" t="str">
        <f ca="1">IF(HRDataset_v14[[#This Row],[Age Calculation
]]&lt;26,"18-25",IF(HRDataset_v14[[#This Row],[Age Calculation
]]&lt;36,"26-35",IF(HRDataset_v14[[#This Row],[Age Calculation
]]&lt;46,"36-45",IF(HRDataset_v14[[#This Row],[Age Calculation
]]&lt;56,"46-55","55+"))))</f>
        <v>36-45</v>
      </c>
      <c r="AR223" t="str">
        <f>IF(HRDataset_v14[[#This Row],[Salary]]&lt;40000,"Entry (&lt;40K)",IF(HRDataset_v14[[#This Row],[Salary]]&lt;70000,"Mid (40-70K)",IF(HRDataset_v14[[#This Row],[Salary]]&lt;100000,"Senior (70-100K)","Executive (100K+)")))</f>
        <v>Mid (40-70K)</v>
      </c>
      <c r="AS223">
        <f>IF(HRDataset_v14[[#This Row],[EmploymentStatus]]="Active",1,0)</f>
        <v>0</v>
      </c>
      <c r="AT223">
        <f>YEAR(HRDataset_v14[[#This Row],[DateofHire]])</f>
        <v>2011</v>
      </c>
      <c r="AU223">
        <f>MONTH(HRDataset_v14[[#This Row],[DateofHire]])</f>
        <v>7</v>
      </c>
      <c r="AV223" t="str">
        <f>"Q"&amp;ROUNDUP(MONTH(HRDataset_v14[[#This Row],[DateofHire]])/3,0)</f>
        <v>Q3</v>
      </c>
      <c r="AW223" t="str">
        <f>TEXT(HRDataset_v14[[#This Row],[DateofHire]],"MMM")</f>
        <v>Jul</v>
      </c>
      <c r="AX223" t="str">
        <f>TEXT(HRDataset_v14[[#This Row],[DateofHire]],"YYYY-MM")</f>
        <v>2011-07</v>
      </c>
      <c r="AY223">
        <f>IF(ISBLANK(HRDataset_v14[[#This Row],[DateofTermination]]),"N/A",YEAR(HRDataset_v14[[#This Row],[DateofTermination]]))</f>
        <v>2012</v>
      </c>
      <c r="AZ223" t="str" cm="1">
        <f t="array" ref="AZ223">INDEX(_xlfn.UNIQUE(Z223:Z533),MATCH(MAX(COUNTIF(Z223:Z533,_xlfn.UNIQUE(Z223:Z533))),COUNTIF(Z223:Z533,_xlfn.UNIQUE(Z223:Z533)),0))</f>
        <v xml:space="preserve">Production       </v>
      </c>
      <c r="BA223">
        <f t="shared" si="32"/>
        <v>50</v>
      </c>
      <c r="BB223">
        <f t="shared" si="33"/>
        <v>2</v>
      </c>
      <c r="BC223" t="str">
        <f t="shared" si="28"/>
        <v>Medium</v>
      </c>
      <c r="BD223" t="str">
        <f t="shared" si="29"/>
        <v/>
      </c>
      <c r="BE223">
        <f t="shared" si="30"/>
        <v>5</v>
      </c>
      <c r="BT223" t="str">
        <f t="shared" si="31"/>
        <v/>
      </c>
    </row>
    <row r="224" spans="1:72" x14ac:dyDescent="0.3">
      <c r="A224" t="s">
        <v>493</v>
      </c>
      <c r="B224">
        <v>10164</v>
      </c>
      <c r="C224">
        <v>0</v>
      </c>
      <c r="D224">
        <v>0</v>
      </c>
      <c r="E224">
        <v>1</v>
      </c>
      <c r="F224">
        <v>1</v>
      </c>
      <c r="G224">
        <v>5</v>
      </c>
      <c r="H224">
        <v>3</v>
      </c>
      <c r="I224">
        <v>0</v>
      </c>
      <c r="J224">
        <v>47001</v>
      </c>
      <c r="K224">
        <v>0</v>
      </c>
      <c r="L224">
        <v>19</v>
      </c>
      <c r="M224" t="s">
        <v>37</v>
      </c>
      <c r="N224" t="s">
        <v>38</v>
      </c>
      <c r="O224">
        <v>2451</v>
      </c>
      <c r="P224">
        <v>29913</v>
      </c>
      <c r="Q224" t="s">
        <v>39</v>
      </c>
      <c r="R224" t="s">
        <v>40</v>
      </c>
      <c r="S224" t="s">
        <v>41</v>
      </c>
      <c r="T224" t="s">
        <v>42</v>
      </c>
      <c r="U224" t="s">
        <v>43</v>
      </c>
      <c r="V224">
        <v>39391</v>
      </c>
      <c r="X224" t="s">
        <v>44</v>
      </c>
      <c r="Y224" t="s">
        <v>45</v>
      </c>
      <c r="Z224" t="s">
        <v>46</v>
      </c>
      <c r="AA224" t="s">
        <v>102</v>
      </c>
      <c r="AB224">
        <v>14</v>
      </c>
      <c r="AC224" t="s">
        <v>75</v>
      </c>
      <c r="AD224" t="s">
        <v>60</v>
      </c>
      <c r="AE224">
        <v>3.66</v>
      </c>
      <c r="AF224">
        <v>3</v>
      </c>
      <c r="AG224">
        <v>0</v>
      </c>
      <c r="AH224" t="s">
        <v>89</v>
      </c>
      <c r="AI224">
        <v>0</v>
      </c>
      <c r="AJ224">
        <v>15</v>
      </c>
      <c r="AK224" t="str">
        <f t="shared" si="26"/>
        <v>Normal</v>
      </c>
      <c r="AL224" t="str">
        <f t="shared" si="27"/>
        <v>low Outlier</v>
      </c>
      <c r="AM224">
        <f ca="1">INT((TODAY()-HRDataset_v14[[#This Row],[DOB]])/365.25)</f>
        <v>44</v>
      </c>
      <c r="AN224">
        <f ca="1">DATEDIF(HRDataset_v14[[#This Row],[DateofHire]],TODAY(),"Y")</f>
        <v>18</v>
      </c>
      <c r="AO224">
        <f ca="1">IF(ISBLANK(HRDataset_v14[[#This Row],[DateofTermination]]),DATEDIF(HRDataset_v14[[#This Row],[DateofHire]],TODAY(),"Y"),DATEDIF(HRDataset_v14[[#This Row],[DateofHire]],HRDataset_v14[[#This Row],[DateofTermination]],"Y"))</f>
        <v>18</v>
      </c>
      <c r="AP224" t="str">
        <f ca="1">IF(HRDataset_v14[[#This Row],[Tenure in Years
]]&lt;1,"0-1 Year",IF(HRDataset_v14[[#This Row],[Tenure in Years
]]&lt;3,"1-3 Years",IF(HRDataset_v14[[#This Row],[Tenure in Years
]]&lt;5,"3-5 Years",IF(HRDataset_v14[[#This Row],[Tenure in Years
]]&lt;10,"5-10 Years","10+ Years"))))</f>
        <v>10+ Years</v>
      </c>
      <c r="AQ224" t="str">
        <f ca="1">IF(HRDataset_v14[[#This Row],[Age Calculation
]]&lt;26,"18-25",IF(HRDataset_v14[[#This Row],[Age Calculation
]]&lt;36,"26-35",IF(HRDataset_v14[[#This Row],[Age Calculation
]]&lt;46,"36-45",IF(HRDataset_v14[[#This Row],[Age Calculation
]]&lt;56,"46-55","55+"))))</f>
        <v>36-45</v>
      </c>
      <c r="AR224" t="str">
        <f>IF(HRDataset_v14[[#This Row],[Salary]]&lt;40000,"Entry (&lt;40K)",IF(HRDataset_v14[[#This Row],[Salary]]&lt;70000,"Mid (40-70K)",IF(HRDataset_v14[[#This Row],[Salary]]&lt;100000,"Senior (70-100K)","Executive (100K+)")))</f>
        <v>Mid (40-70K)</v>
      </c>
      <c r="AS224">
        <f>IF(HRDataset_v14[[#This Row],[EmploymentStatus]]="Active",1,0)</f>
        <v>1</v>
      </c>
      <c r="AT224">
        <f>YEAR(HRDataset_v14[[#This Row],[DateofHire]])</f>
        <v>2007</v>
      </c>
      <c r="AU224">
        <f>MONTH(HRDataset_v14[[#This Row],[DateofHire]])</f>
        <v>11</v>
      </c>
      <c r="AV224" t="str">
        <f>"Q"&amp;ROUNDUP(MONTH(HRDataset_v14[[#This Row],[DateofHire]])/3,0)</f>
        <v>Q4</v>
      </c>
      <c r="AW224" t="str">
        <f>TEXT(HRDataset_v14[[#This Row],[DateofHire]],"MMM")</f>
        <v>Nov</v>
      </c>
      <c r="AX224" t="str">
        <f>TEXT(HRDataset_v14[[#This Row],[DateofHire]],"YYYY-MM")</f>
        <v>2007-11</v>
      </c>
      <c r="AY224" t="str">
        <f>IF(ISBLANK(HRDataset_v14[[#This Row],[DateofTermination]]),"N/A",YEAR(HRDataset_v14[[#This Row],[DateofTermination]]))</f>
        <v>N/A</v>
      </c>
      <c r="AZ224" t="str" cm="1">
        <f t="array" ref="AZ224">INDEX(_xlfn.UNIQUE(Z224:Z534),MATCH(MAX(COUNTIF(Z224:Z534,_xlfn.UNIQUE(Z224:Z534))),COUNTIF(Z224:Z534,_xlfn.UNIQUE(Z224:Z534)),0))</f>
        <v xml:space="preserve">Production       </v>
      </c>
      <c r="BA224">
        <f t="shared" si="32"/>
        <v>28.571428571428569</v>
      </c>
      <c r="BB224">
        <f t="shared" si="33"/>
        <v>0</v>
      </c>
      <c r="BC224" t="str">
        <f t="shared" si="28"/>
        <v>Medium</v>
      </c>
      <c r="BD224">
        <f t="shared" si="29"/>
        <v>3.66</v>
      </c>
      <c r="BE224" t="str">
        <f t="shared" si="30"/>
        <v/>
      </c>
      <c r="BT224">
        <f t="shared" si="31"/>
        <v>3.66</v>
      </c>
    </row>
    <row r="225" spans="1:72" x14ac:dyDescent="0.3">
      <c r="A225" t="s">
        <v>494</v>
      </c>
      <c r="B225">
        <v>10124</v>
      </c>
      <c r="C225">
        <v>1</v>
      </c>
      <c r="D225">
        <v>1</v>
      </c>
      <c r="E225">
        <v>0</v>
      </c>
      <c r="F225">
        <v>1</v>
      </c>
      <c r="G225">
        <v>6</v>
      </c>
      <c r="H225">
        <v>3</v>
      </c>
      <c r="I225">
        <v>0</v>
      </c>
      <c r="J225">
        <v>61844</v>
      </c>
      <c r="K225">
        <v>0</v>
      </c>
      <c r="L225">
        <v>3</v>
      </c>
      <c r="M225" t="s">
        <v>169</v>
      </c>
      <c r="N225" t="s">
        <v>495</v>
      </c>
      <c r="O225">
        <v>40220</v>
      </c>
      <c r="P225">
        <v>32384</v>
      </c>
      <c r="Q225" t="s">
        <v>64</v>
      </c>
      <c r="R225" t="s">
        <v>53</v>
      </c>
      <c r="S225" t="s">
        <v>41</v>
      </c>
      <c r="T225" t="s">
        <v>42</v>
      </c>
      <c r="U225" t="s">
        <v>91</v>
      </c>
      <c r="V225">
        <v>40917</v>
      </c>
      <c r="X225" t="s">
        <v>44</v>
      </c>
      <c r="Y225" t="s">
        <v>45</v>
      </c>
      <c r="Z225" t="s">
        <v>171</v>
      </c>
      <c r="AA225" t="s">
        <v>197</v>
      </c>
      <c r="AB225">
        <v>21</v>
      </c>
      <c r="AC225" t="s">
        <v>254</v>
      </c>
      <c r="AD225" t="s">
        <v>60</v>
      </c>
      <c r="AE225">
        <v>4.2</v>
      </c>
      <c r="AF225">
        <v>5</v>
      </c>
      <c r="AG225">
        <v>0</v>
      </c>
      <c r="AH225" t="s">
        <v>164</v>
      </c>
      <c r="AI225">
        <v>0</v>
      </c>
      <c r="AJ225">
        <v>9</v>
      </c>
      <c r="AK225" t="str">
        <f t="shared" si="26"/>
        <v>Normal</v>
      </c>
      <c r="AL225" t="str">
        <f t="shared" si="27"/>
        <v>low Outlier</v>
      </c>
      <c r="AM225">
        <f ca="1">INT((TODAY()-HRDataset_v14[[#This Row],[DOB]])/365.25)</f>
        <v>37</v>
      </c>
      <c r="AN225">
        <f ca="1">DATEDIF(HRDataset_v14[[#This Row],[DateofHire]],TODAY(),"Y")</f>
        <v>14</v>
      </c>
      <c r="AO225">
        <f ca="1">IF(ISBLANK(HRDataset_v14[[#This Row],[DateofTermination]]),DATEDIF(HRDataset_v14[[#This Row],[DateofHire]],TODAY(),"Y"),DATEDIF(HRDataset_v14[[#This Row],[DateofHire]],HRDataset_v14[[#This Row],[DateofTermination]],"Y"))</f>
        <v>14</v>
      </c>
      <c r="AP225" t="str">
        <f ca="1">IF(HRDataset_v14[[#This Row],[Tenure in Years
]]&lt;1,"0-1 Year",IF(HRDataset_v14[[#This Row],[Tenure in Years
]]&lt;3,"1-3 Years",IF(HRDataset_v14[[#This Row],[Tenure in Years
]]&lt;5,"3-5 Years",IF(HRDataset_v14[[#This Row],[Tenure in Years
]]&lt;10,"5-10 Years","10+ Years"))))</f>
        <v>10+ Years</v>
      </c>
      <c r="AQ225" t="str">
        <f ca="1">IF(HRDataset_v14[[#This Row],[Age Calculation
]]&lt;26,"18-25",IF(HRDataset_v14[[#This Row],[Age Calculation
]]&lt;36,"26-35",IF(HRDataset_v14[[#This Row],[Age Calculation
]]&lt;46,"36-45",IF(HRDataset_v14[[#This Row],[Age Calculation
]]&lt;56,"46-55","55+"))))</f>
        <v>36-45</v>
      </c>
      <c r="AR225" t="str">
        <f>IF(HRDataset_v14[[#This Row],[Salary]]&lt;40000,"Entry (&lt;40K)",IF(HRDataset_v14[[#This Row],[Salary]]&lt;70000,"Mid (40-70K)",IF(HRDataset_v14[[#This Row],[Salary]]&lt;100000,"Senior (70-100K)","Executive (100K+)")))</f>
        <v>Mid (40-70K)</v>
      </c>
      <c r="AS225">
        <f>IF(HRDataset_v14[[#This Row],[EmploymentStatus]]="Active",1,0)</f>
        <v>1</v>
      </c>
      <c r="AT225">
        <f>YEAR(HRDataset_v14[[#This Row],[DateofHire]])</f>
        <v>2012</v>
      </c>
      <c r="AU225">
        <f>MONTH(HRDataset_v14[[#This Row],[DateofHire]])</f>
        <v>1</v>
      </c>
      <c r="AV225" t="str">
        <f>"Q"&amp;ROUNDUP(MONTH(HRDataset_v14[[#This Row],[DateofHire]])/3,0)</f>
        <v>Q1</v>
      </c>
      <c r="AW225" t="str">
        <f>TEXT(HRDataset_v14[[#This Row],[DateofHire]],"MMM")</f>
        <v>Jan</v>
      </c>
      <c r="AX225" t="str">
        <f>TEXT(HRDataset_v14[[#This Row],[DateofHire]],"YYYY-MM")</f>
        <v>2012-01</v>
      </c>
      <c r="AY225" t="str">
        <f>IF(ISBLANK(HRDataset_v14[[#This Row],[DateofTermination]]),"N/A",YEAR(HRDataset_v14[[#This Row],[DateofTermination]]))</f>
        <v>N/A</v>
      </c>
      <c r="AZ225" t="str" cm="1">
        <f t="array" ref="AZ225">INDEX(_xlfn.UNIQUE(Z225:Z535),MATCH(MAX(COUNTIF(Z225:Z535,_xlfn.UNIQUE(Z225:Z535))),COUNTIF(Z225:Z535,_xlfn.UNIQUE(Z225:Z535)),0))</f>
        <v xml:space="preserve">Production       </v>
      </c>
      <c r="BA225">
        <f t="shared" si="32"/>
        <v>0</v>
      </c>
      <c r="BB225">
        <f t="shared" si="33"/>
        <v>0</v>
      </c>
      <c r="BC225" t="str">
        <f t="shared" si="28"/>
        <v>Medium</v>
      </c>
      <c r="BD225">
        <f t="shared" si="29"/>
        <v>4.2</v>
      </c>
      <c r="BE225" t="str">
        <f t="shared" si="30"/>
        <v/>
      </c>
      <c r="BT225">
        <f t="shared" si="31"/>
        <v>4.2</v>
      </c>
    </row>
    <row r="226" spans="1:72" x14ac:dyDescent="0.3">
      <c r="A226" t="s">
        <v>496</v>
      </c>
      <c r="B226">
        <v>10187</v>
      </c>
      <c r="C226">
        <v>0</v>
      </c>
      <c r="D226">
        <v>2</v>
      </c>
      <c r="E226">
        <v>0</v>
      </c>
      <c r="F226">
        <v>5</v>
      </c>
      <c r="G226">
        <v>5</v>
      </c>
      <c r="H226">
        <v>3</v>
      </c>
      <c r="I226">
        <v>0</v>
      </c>
      <c r="J226">
        <v>46799</v>
      </c>
      <c r="K226">
        <v>1</v>
      </c>
      <c r="L226">
        <v>19</v>
      </c>
      <c r="M226" t="s">
        <v>37</v>
      </c>
      <c r="N226" t="s">
        <v>38</v>
      </c>
      <c r="O226">
        <v>1742</v>
      </c>
      <c r="P226">
        <v>30970</v>
      </c>
      <c r="Q226" t="s">
        <v>64</v>
      </c>
      <c r="R226" t="s">
        <v>72</v>
      </c>
      <c r="S226" t="s">
        <v>126</v>
      </c>
      <c r="T226" t="s">
        <v>42</v>
      </c>
      <c r="U226" t="s">
        <v>132</v>
      </c>
      <c r="V226">
        <v>40679</v>
      </c>
      <c r="W226">
        <v>43255</v>
      </c>
      <c r="X226" t="s">
        <v>101</v>
      </c>
      <c r="Y226" t="s">
        <v>56</v>
      </c>
      <c r="Z226" t="s">
        <v>46</v>
      </c>
      <c r="AA226" t="s">
        <v>66</v>
      </c>
      <c r="AB226">
        <v>20</v>
      </c>
      <c r="AC226" t="s">
        <v>75</v>
      </c>
      <c r="AD226" t="s">
        <v>60</v>
      </c>
      <c r="AE226">
        <v>3.17</v>
      </c>
      <c r="AF226">
        <v>4</v>
      </c>
      <c r="AG226">
        <v>0</v>
      </c>
      <c r="AH226" t="s">
        <v>497</v>
      </c>
      <c r="AI226">
        <v>0</v>
      </c>
      <c r="AJ226">
        <v>14</v>
      </c>
      <c r="AK226" t="str">
        <f t="shared" si="26"/>
        <v>Normal</v>
      </c>
      <c r="AL226" t="str">
        <f t="shared" si="27"/>
        <v>low Outlier</v>
      </c>
      <c r="AM226">
        <f ca="1">INT((TODAY()-HRDataset_v14[[#This Row],[DOB]])/365.25)</f>
        <v>41</v>
      </c>
      <c r="AN226">
        <f ca="1">DATEDIF(HRDataset_v14[[#This Row],[DateofHire]],TODAY(),"Y")</f>
        <v>14</v>
      </c>
      <c r="AO226">
        <f ca="1">IF(ISBLANK(HRDataset_v14[[#This Row],[DateofTermination]]),DATEDIF(HRDataset_v14[[#This Row],[DateofHire]],TODAY(),"Y"),DATEDIF(HRDataset_v14[[#This Row],[DateofHire]],HRDataset_v14[[#This Row],[DateofTermination]],"Y"))</f>
        <v>7</v>
      </c>
      <c r="AP226" t="str">
        <f ca="1">IF(HRDataset_v14[[#This Row],[Tenure in Years
]]&lt;1,"0-1 Year",IF(HRDataset_v14[[#This Row],[Tenure in Years
]]&lt;3,"1-3 Years",IF(HRDataset_v14[[#This Row],[Tenure in Years
]]&lt;5,"3-5 Years",IF(HRDataset_v14[[#This Row],[Tenure in Years
]]&lt;10,"5-10 Years","10+ Years"))))</f>
        <v>10+ Years</v>
      </c>
      <c r="AQ226" t="str">
        <f ca="1">IF(HRDataset_v14[[#This Row],[Age Calculation
]]&lt;26,"18-25",IF(HRDataset_v14[[#This Row],[Age Calculation
]]&lt;36,"26-35",IF(HRDataset_v14[[#This Row],[Age Calculation
]]&lt;46,"36-45",IF(HRDataset_v14[[#This Row],[Age Calculation
]]&lt;56,"46-55","55+"))))</f>
        <v>36-45</v>
      </c>
      <c r="AR226" t="str">
        <f>IF(HRDataset_v14[[#This Row],[Salary]]&lt;40000,"Entry (&lt;40K)",IF(HRDataset_v14[[#This Row],[Salary]]&lt;70000,"Mid (40-70K)",IF(HRDataset_v14[[#This Row],[Salary]]&lt;100000,"Senior (70-100K)","Executive (100K+)")))</f>
        <v>Mid (40-70K)</v>
      </c>
      <c r="AS226">
        <f>IF(HRDataset_v14[[#This Row],[EmploymentStatus]]="Active",1,0)</f>
        <v>0</v>
      </c>
      <c r="AT226">
        <f>YEAR(HRDataset_v14[[#This Row],[DateofHire]])</f>
        <v>2011</v>
      </c>
      <c r="AU226">
        <f>MONTH(HRDataset_v14[[#This Row],[DateofHire]])</f>
        <v>5</v>
      </c>
      <c r="AV226" t="str">
        <f>"Q"&amp;ROUNDUP(MONTH(HRDataset_v14[[#This Row],[DateofHire]])/3,0)</f>
        <v>Q2</v>
      </c>
      <c r="AW226" t="str">
        <f>TEXT(HRDataset_v14[[#This Row],[DateofHire]],"MMM")</f>
        <v>May</v>
      </c>
      <c r="AX226" t="str">
        <f>TEXT(HRDataset_v14[[#This Row],[DateofHire]],"YYYY-MM")</f>
        <v>2011-05</v>
      </c>
      <c r="AY226">
        <f>IF(ISBLANK(HRDataset_v14[[#This Row],[DateofTermination]]),"N/A",YEAR(HRDataset_v14[[#This Row],[DateofTermination]]))</f>
        <v>2018</v>
      </c>
      <c r="AZ226" t="str" cm="1">
        <f t="array" ref="AZ226">INDEX(_xlfn.UNIQUE(Z226:Z536),MATCH(MAX(COUNTIF(Z226:Z536,_xlfn.UNIQUE(Z226:Z536))),COUNTIF(Z226:Z536,_xlfn.UNIQUE(Z226:Z536)),0))</f>
        <v xml:space="preserve">Production       </v>
      </c>
      <c r="BA226">
        <f t="shared" si="32"/>
        <v>71.428571428571431</v>
      </c>
      <c r="BB226">
        <f t="shared" si="33"/>
        <v>9</v>
      </c>
      <c r="BC226" t="str">
        <f t="shared" si="28"/>
        <v>Medium</v>
      </c>
      <c r="BD226" t="str">
        <f t="shared" si="29"/>
        <v/>
      </c>
      <c r="BE226">
        <f t="shared" si="30"/>
        <v>3.17</v>
      </c>
      <c r="BT226" t="str">
        <f t="shared" si="31"/>
        <v/>
      </c>
    </row>
    <row r="227" spans="1:72" x14ac:dyDescent="0.3">
      <c r="A227" t="s">
        <v>498</v>
      </c>
      <c r="B227">
        <v>10225</v>
      </c>
      <c r="C227">
        <v>0</v>
      </c>
      <c r="D227">
        <v>0</v>
      </c>
      <c r="E227">
        <v>1</v>
      </c>
      <c r="F227">
        <v>1</v>
      </c>
      <c r="G227">
        <v>5</v>
      </c>
      <c r="H227">
        <v>3</v>
      </c>
      <c r="I227">
        <v>0</v>
      </c>
      <c r="J227">
        <v>59472</v>
      </c>
      <c r="K227">
        <v>0</v>
      </c>
      <c r="L227">
        <v>19</v>
      </c>
      <c r="M227" t="s">
        <v>37</v>
      </c>
      <c r="N227" t="s">
        <v>38</v>
      </c>
      <c r="O227">
        <v>2109</v>
      </c>
      <c r="P227">
        <v>22451</v>
      </c>
      <c r="Q227" t="s">
        <v>39</v>
      </c>
      <c r="R227" t="s">
        <v>40</v>
      </c>
      <c r="S227" t="s">
        <v>41</v>
      </c>
      <c r="T227" t="s">
        <v>42</v>
      </c>
      <c r="U227" t="s">
        <v>43</v>
      </c>
      <c r="V227">
        <v>41645</v>
      </c>
      <c r="X227" t="s">
        <v>44</v>
      </c>
      <c r="Y227" t="s">
        <v>45</v>
      </c>
      <c r="Z227" t="s">
        <v>46</v>
      </c>
      <c r="AA227" t="s">
        <v>113</v>
      </c>
      <c r="AB227">
        <v>18</v>
      </c>
      <c r="AC227" t="s">
        <v>88</v>
      </c>
      <c r="AD227" t="s">
        <v>60</v>
      </c>
      <c r="AE227">
        <v>4.8</v>
      </c>
      <c r="AF227">
        <v>3</v>
      </c>
      <c r="AG227">
        <v>0</v>
      </c>
      <c r="AH227" t="s">
        <v>79</v>
      </c>
      <c r="AI227">
        <v>0</v>
      </c>
      <c r="AJ227">
        <v>14</v>
      </c>
      <c r="AK227" t="str">
        <f t="shared" si="26"/>
        <v>Normal</v>
      </c>
      <c r="AL227" t="str">
        <f t="shared" si="27"/>
        <v>low Outlier</v>
      </c>
      <c r="AM227">
        <f ca="1">INT((TODAY()-HRDataset_v14[[#This Row],[DOB]])/365.25)</f>
        <v>64</v>
      </c>
      <c r="AN227">
        <f ca="1">DATEDIF(HRDataset_v14[[#This Row],[DateofHire]],TODAY(),"Y")</f>
        <v>12</v>
      </c>
      <c r="AO227">
        <f ca="1">IF(ISBLANK(HRDataset_v14[[#This Row],[DateofTermination]]),DATEDIF(HRDataset_v14[[#This Row],[DateofHire]],TODAY(),"Y"),DATEDIF(HRDataset_v14[[#This Row],[DateofHire]],HRDataset_v14[[#This Row],[DateofTermination]],"Y"))</f>
        <v>12</v>
      </c>
      <c r="AP227" t="str">
        <f ca="1">IF(HRDataset_v14[[#This Row],[Tenure in Years
]]&lt;1,"0-1 Year",IF(HRDataset_v14[[#This Row],[Tenure in Years
]]&lt;3,"1-3 Years",IF(HRDataset_v14[[#This Row],[Tenure in Years
]]&lt;5,"3-5 Years",IF(HRDataset_v14[[#This Row],[Tenure in Years
]]&lt;10,"5-10 Years","10+ Years"))))</f>
        <v>10+ Years</v>
      </c>
      <c r="AQ227" t="str">
        <f ca="1">IF(HRDataset_v14[[#This Row],[Age Calculation
]]&lt;26,"18-25",IF(HRDataset_v14[[#This Row],[Age Calculation
]]&lt;36,"26-35",IF(HRDataset_v14[[#This Row],[Age Calculation
]]&lt;46,"36-45",IF(HRDataset_v14[[#This Row],[Age Calculation
]]&lt;56,"46-55","55+"))))</f>
        <v>55+</v>
      </c>
      <c r="AR227" t="str">
        <f>IF(HRDataset_v14[[#This Row],[Salary]]&lt;40000,"Entry (&lt;40K)",IF(HRDataset_v14[[#This Row],[Salary]]&lt;70000,"Mid (40-70K)",IF(HRDataset_v14[[#This Row],[Salary]]&lt;100000,"Senior (70-100K)","Executive (100K+)")))</f>
        <v>Mid (40-70K)</v>
      </c>
      <c r="AS227">
        <f>IF(HRDataset_v14[[#This Row],[EmploymentStatus]]="Active",1,0)</f>
        <v>1</v>
      </c>
      <c r="AT227">
        <f>YEAR(HRDataset_v14[[#This Row],[DateofHire]])</f>
        <v>2014</v>
      </c>
      <c r="AU227">
        <f>MONTH(HRDataset_v14[[#This Row],[DateofHire]])</f>
        <v>1</v>
      </c>
      <c r="AV227" t="str">
        <f>"Q"&amp;ROUNDUP(MONTH(HRDataset_v14[[#This Row],[DateofHire]])/3,0)</f>
        <v>Q1</v>
      </c>
      <c r="AW227" t="str">
        <f>TEXT(HRDataset_v14[[#This Row],[DateofHire]],"MMM")</f>
        <v>Jan</v>
      </c>
      <c r="AX227" t="str">
        <f>TEXT(HRDataset_v14[[#This Row],[DateofHire]],"YYYY-MM")</f>
        <v>2014-01</v>
      </c>
      <c r="AY227" t="str">
        <f>IF(ISBLANK(HRDataset_v14[[#This Row],[DateofTermination]]),"N/A",YEAR(HRDataset_v14[[#This Row],[DateofTermination]]))</f>
        <v>N/A</v>
      </c>
      <c r="AZ227" t="str" cm="1">
        <f t="array" ref="AZ227">INDEX(_xlfn.UNIQUE(Z227:Z537),MATCH(MAX(COUNTIF(Z227:Z537,_xlfn.UNIQUE(Z227:Z537))),COUNTIF(Z227:Z537,_xlfn.UNIQUE(Z227:Z537)),0))</f>
        <v xml:space="preserve">Production       </v>
      </c>
      <c r="BA227">
        <f t="shared" si="32"/>
        <v>20</v>
      </c>
      <c r="BB227">
        <f t="shared" si="33"/>
        <v>0</v>
      </c>
      <c r="BC227" t="str">
        <f t="shared" si="28"/>
        <v>Medium</v>
      </c>
      <c r="BD227">
        <f t="shared" si="29"/>
        <v>4.8</v>
      </c>
      <c r="BE227" t="str">
        <f t="shared" si="30"/>
        <v/>
      </c>
      <c r="BT227">
        <f t="shared" si="31"/>
        <v>4.8</v>
      </c>
    </row>
    <row r="228" spans="1:72" x14ac:dyDescent="0.3">
      <c r="A228" t="s">
        <v>499</v>
      </c>
      <c r="B228">
        <v>10262</v>
      </c>
      <c r="C228">
        <v>0</v>
      </c>
      <c r="D228">
        <v>2</v>
      </c>
      <c r="E228">
        <v>0</v>
      </c>
      <c r="F228">
        <v>5</v>
      </c>
      <c r="G228">
        <v>5</v>
      </c>
      <c r="H228">
        <v>3</v>
      </c>
      <c r="I228">
        <v>0</v>
      </c>
      <c r="J228">
        <v>46430</v>
      </c>
      <c r="K228">
        <v>1</v>
      </c>
      <c r="L228">
        <v>19</v>
      </c>
      <c r="M228" t="s">
        <v>37</v>
      </c>
      <c r="N228" t="s">
        <v>38</v>
      </c>
      <c r="O228">
        <v>2474</v>
      </c>
      <c r="P228">
        <v>25833</v>
      </c>
      <c r="Q228" t="s">
        <v>64</v>
      </c>
      <c r="R228" t="s">
        <v>72</v>
      </c>
      <c r="S228" t="s">
        <v>41</v>
      </c>
      <c r="T228" t="s">
        <v>42</v>
      </c>
      <c r="U228" t="s">
        <v>43</v>
      </c>
      <c r="V228">
        <v>41176</v>
      </c>
      <c r="W228">
        <v>41443</v>
      </c>
      <c r="X228" t="s">
        <v>105</v>
      </c>
      <c r="Y228" t="s">
        <v>56</v>
      </c>
      <c r="Z228" t="s">
        <v>46</v>
      </c>
      <c r="AA228" t="s">
        <v>66</v>
      </c>
      <c r="AB228">
        <v>20</v>
      </c>
      <c r="AC228" t="s">
        <v>59</v>
      </c>
      <c r="AD228" t="s">
        <v>60</v>
      </c>
      <c r="AE228">
        <v>4.5</v>
      </c>
      <c r="AF228">
        <v>5</v>
      </c>
      <c r="AG228">
        <v>0</v>
      </c>
      <c r="AH228" t="s">
        <v>500</v>
      </c>
      <c r="AI228">
        <v>0</v>
      </c>
      <c r="AJ228">
        <v>16</v>
      </c>
      <c r="AK228" t="str">
        <f t="shared" si="26"/>
        <v>Normal</v>
      </c>
      <c r="AL228" t="str">
        <f t="shared" si="27"/>
        <v>low Outlier</v>
      </c>
      <c r="AM228">
        <f ca="1">INT((TODAY()-HRDataset_v14[[#This Row],[DOB]])/365.25)</f>
        <v>55</v>
      </c>
      <c r="AN228">
        <f ca="1">DATEDIF(HRDataset_v14[[#This Row],[DateofHire]],TODAY(),"Y")</f>
        <v>13</v>
      </c>
      <c r="AO228">
        <f ca="1">IF(ISBLANK(HRDataset_v14[[#This Row],[DateofTermination]]),DATEDIF(HRDataset_v14[[#This Row],[DateofHire]],TODAY(),"Y"),DATEDIF(HRDataset_v14[[#This Row],[DateofHire]],HRDataset_v14[[#This Row],[DateofTermination]],"Y"))</f>
        <v>0</v>
      </c>
      <c r="AP228" t="str">
        <f ca="1">IF(HRDataset_v14[[#This Row],[Tenure in Years
]]&lt;1,"0-1 Year",IF(HRDataset_v14[[#This Row],[Tenure in Years
]]&lt;3,"1-3 Years",IF(HRDataset_v14[[#This Row],[Tenure in Years
]]&lt;5,"3-5 Years",IF(HRDataset_v14[[#This Row],[Tenure in Years
]]&lt;10,"5-10 Years","10+ Years"))))</f>
        <v>10+ Years</v>
      </c>
      <c r="AQ228" t="str">
        <f ca="1">IF(HRDataset_v14[[#This Row],[Age Calculation
]]&lt;26,"18-25",IF(HRDataset_v14[[#This Row],[Age Calculation
]]&lt;36,"26-35",IF(HRDataset_v14[[#This Row],[Age Calculation
]]&lt;46,"36-45",IF(HRDataset_v14[[#This Row],[Age Calculation
]]&lt;56,"46-55","55+"))))</f>
        <v>46-55</v>
      </c>
      <c r="AR228" t="str">
        <f>IF(HRDataset_v14[[#This Row],[Salary]]&lt;40000,"Entry (&lt;40K)",IF(HRDataset_v14[[#This Row],[Salary]]&lt;70000,"Mid (40-70K)",IF(HRDataset_v14[[#This Row],[Salary]]&lt;100000,"Senior (70-100K)","Executive (100K+)")))</f>
        <v>Mid (40-70K)</v>
      </c>
      <c r="AS228">
        <f>IF(HRDataset_v14[[#This Row],[EmploymentStatus]]="Active",1,0)</f>
        <v>0</v>
      </c>
      <c r="AT228">
        <f>YEAR(HRDataset_v14[[#This Row],[DateofHire]])</f>
        <v>2012</v>
      </c>
      <c r="AU228">
        <f>MONTH(HRDataset_v14[[#This Row],[DateofHire]])</f>
        <v>9</v>
      </c>
      <c r="AV228" t="str">
        <f>"Q"&amp;ROUNDUP(MONTH(HRDataset_v14[[#This Row],[DateofHire]])/3,0)</f>
        <v>Q3</v>
      </c>
      <c r="AW228" t="str">
        <f>TEXT(HRDataset_v14[[#This Row],[DateofHire]],"MMM")</f>
        <v>Sep</v>
      </c>
      <c r="AX228" t="str">
        <f>TEXT(HRDataset_v14[[#This Row],[DateofHire]],"YYYY-MM")</f>
        <v>2012-09</v>
      </c>
      <c r="AY228">
        <f>IF(ISBLANK(HRDataset_v14[[#This Row],[DateofTermination]]),"N/A",YEAR(HRDataset_v14[[#This Row],[DateofTermination]]))</f>
        <v>2013</v>
      </c>
      <c r="AZ228" t="str" cm="1">
        <f t="array" ref="AZ228">INDEX(_xlfn.UNIQUE(Z228:Z538),MATCH(MAX(COUNTIF(Z228:Z538,_xlfn.UNIQUE(Z228:Z538))),COUNTIF(Z228:Z538,_xlfn.UNIQUE(Z228:Z538)),0))</f>
        <v xml:space="preserve">Production       </v>
      </c>
      <c r="BA228">
        <f t="shared" si="32"/>
        <v>66.666666666666657</v>
      </c>
      <c r="BB228">
        <f t="shared" si="33"/>
        <v>4</v>
      </c>
      <c r="BC228" t="str">
        <f t="shared" si="28"/>
        <v>Medium</v>
      </c>
      <c r="BD228" t="str">
        <f t="shared" si="29"/>
        <v/>
      </c>
      <c r="BE228">
        <f t="shared" si="30"/>
        <v>4.5</v>
      </c>
      <c r="BT228" t="str">
        <f t="shared" si="31"/>
        <v/>
      </c>
    </row>
    <row r="229" spans="1:72" x14ac:dyDescent="0.3">
      <c r="A229" t="s">
        <v>501</v>
      </c>
      <c r="B229">
        <v>10131</v>
      </c>
      <c r="C229">
        <v>1</v>
      </c>
      <c r="D229">
        <v>1</v>
      </c>
      <c r="E229">
        <v>1</v>
      </c>
      <c r="F229">
        <v>5</v>
      </c>
      <c r="G229">
        <v>1</v>
      </c>
      <c r="H229">
        <v>3</v>
      </c>
      <c r="I229">
        <v>1</v>
      </c>
      <c r="J229">
        <v>83363</v>
      </c>
      <c r="K229">
        <v>1</v>
      </c>
      <c r="L229">
        <v>23</v>
      </c>
      <c r="M229" t="s">
        <v>81</v>
      </c>
      <c r="N229" t="s">
        <v>38</v>
      </c>
      <c r="O229">
        <v>2045</v>
      </c>
      <c r="P229">
        <v>30992</v>
      </c>
      <c r="Q229" t="s">
        <v>39</v>
      </c>
      <c r="R229" t="s">
        <v>53</v>
      </c>
      <c r="S229" t="s">
        <v>126</v>
      </c>
      <c r="T229" t="s">
        <v>42</v>
      </c>
      <c r="U229" t="s">
        <v>91</v>
      </c>
      <c r="V229">
        <v>40595</v>
      </c>
      <c r="W229">
        <v>42231</v>
      </c>
      <c r="X229" t="s">
        <v>55</v>
      </c>
      <c r="Y229" t="s">
        <v>56</v>
      </c>
      <c r="Z229" t="s">
        <v>82</v>
      </c>
      <c r="AA229" t="s">
        <v>156</v>
      </c>
      <c r="AB229">
        <v>2</v>
      </c>
      <c r="AC229" t="s">
        <v>93</v>
      </c>
      <c r="AD229" t="s">
        <v>60</v>
      </c>
      <c r="AE229">
        <v>4.1500000000000004</v>
      </c>
      <c r="AF229">
        <v>4</v>
      </c>
      <c r="AG229">
        <v>0</v>
      </c>
      <c r="AH229" t="s">
        <v>502</v>
      </c>
      <c r="AI229">
        <v>0</v>
      </c>
      <c r="AJ229">
        <v>4</v>
      </c>
      <c r="AK229" t="str">
        <f t="shared" si="26"/>
        <v>Normal</v>
      </c>
      <c r="AL229" t="str">
        <f t="shared" si="27"/>
        <v>low Outlier</v>
      </c>
      <c r="AM229">
        <f ca="1">INT((TODAY()-HRDataset_v14[[#This Row],[DOB]])/365.25)</f>
        <v>41</v>
      </c>
      <c r="AN229">
        <f ca="1">DATEDIF(HRDataset_v14[[#This Row],[DateofHire]],TODAY(),"Y")</f>
        <v>15</v>
      </c>
      <c r="AO229">
        <f ca="1">IF(ISBLANK(HRDataset_v14[[#This Row],[DateofTermination]]),DATEDIF(HRDataset_v14[[#This Row],[DateofHire]],TODAY(),"Y"),DATEDIF(HRDataset_v14[[#This Row],[DateofHire]],HRDataset_v14[[#This Row],[DateofTermination]],"Y"))</f>
        <v>4</v>
      </c>
      <c r="AP229" t="str">
        <f ca="1">IF(HRDataset_v14[[#This Row],[Tenure in Years
]]&lt;1,"0-1 Year",IF(HRDataset_v14[[#This Row],[Tenure in Years
]]&lt;3,"1-3 Years",IF(HRDataset_v14[[#This Row],[Tenure in Years
]]&lt;5,"3-5 Years",IF(HRDataset_v14[[#This Row],[Tenure in Years
]]&lt;10,"5-10 Years","10+ Years"))))</f>
        <v>10+ Years</v>
      </c>
      <c r="AQ229" t="str">
        <f ca="1">IF(HRDataset_v14[[#This Row],[Age Calculation
]]&lt;26,"18-25",IF(HRDataset_v14[[#This Row],[Age Calculation
]]&lt;36,"26-35",IF(HRDataset_v14[[#This Row],[Age Calculation
]]&lt;46,"36-45",IF(HRDataset_v14[[#This Row],[Age Calculation
]]&lt;56,"46-55","55+"))))</f>
        <v>36-45</v>
      </c>
      <c r="AR229" t="str">
        <f>IF(HRDataset_v14[[#This Row],[Salary]]&lt;40000,"Entry (&lt;40K)",IF(HRDataset_v14[[#This Row],[Salary]]&lt;70000,"Mid (40-70K)",IF(HRDataset_v14[[#This Row],[Salary]]&lt;100000,"Senior (70-100K)","Executive (100K+)")))</f>
        <v>Senior (70-100K)</v>
      </c>
      <c r="AS229">
        <f>IF(HRDataset_v14[[#This Row],[EmploymentStatus]]="Active",1,0)</f>
        <v>0</v>
      </c>
      <c r="AT229">
        <f>YEAR(HRDataset_v14[[#This Row],[DateofHire]])</f>
        <v>2011</v>
      </c>
      <c r="AU229">
        <f>MONTH(HRDataset_v14[[#This Row],[DateofHire]])</f>
        <v>2</v>
      </c>
      <c r="AV229" t="str">
        <f>"Q"&amp;ROUNDUP(MONTH(HRDataset_v14[[#This Row],[DateofHire]])/3,0)</f>
        <v>Q1</v>
      </c>
      <c r="AW229" t="str">
        <f>TEXT(HRDataset_v14[[#This Row],[DateofHire]],"MMM")</f>
        <v>Feb</v>
      </c>
      <c r="AX229" t="str">
        <f>TEXT(HRDataset_v14[[#This Row],[DateofHire]],"YYYY-MM")</f>
        <v>2011-02</v>
      </c>
      <c r="AY229">
        <f>IF(ISBLANK(HRDataset_v14[[#This Row],[DateofTermination]]),"N/A",YEAR(HRDataset_v14[[#This Row],[DateofTermination]]))</f>
        <v>2015</v>
      </c>
      <c r="AZ229" t="str" cm="1">
        <f t="array" ref="AZ229">INDEX(_xlfn.UNIQUE(Z229:Z539),MATCH(MAX(COUNTIF(Z229:Z539,_xlfn.UNIQUE(Z229:Z539))),COUNTIF(Z229:Z539,_xlfn.UNIQUE(Z229:Z539)),0))</f>
        <v xml:space="preserve">Production       </v>
      </c>
      <c r="BA229">
        <f t="shared" si="32"/>
        <v>33.333333333333329</v>
      </c>
      <c r="BB229">
        <f t="shared" si="33"/>
        <v>3</v>
      </c>
      <c r="BC229" t="str">
        <f t="shared" si="28"/>
        <v>Medium</v>
      </c>
      <c r="BD229" t="str">
        <f t="shared" si="29"/>
        <v/>
      </c>
      <c r="BE229">
        <f t="shared" si="30"/>
        <v>4.1500000000000004</v>
      </c>
      <c r="BT229" t="str">
        <f t="shared" si="31"/>
        <v/>
      </c>
    </row>
    <row r="230" spans="1:72" x14ac:dyDescent="0.3">
      <c r="A230" t="s">
        <v>503</v>
      </c>
      <c r="B230">
        <v>10239</v>
      </c>
      <c r="C230">
        <v>1</v>
      </c>
      <c r="D230">
        <v>1</v>
      </c>
      <c r="E230">
        <v>0</v>
      </c>
      <c r="F230">
        <v>1</v>
      </c>
      <c r="G230">
        <v>3</v>
      </c>
      <c r="H230">
        <v>3</v>
      </c>
      <c r="I230">
        <v>0</v>
      </c>
      <c r="J230">
        <v>95920</v>
      </c>
      <c r="K230">
        <v>0</v>
      </c>
      <c r="L230">
        <v>4</v>
      </c>
      <c r="M230" t="s">
        <v>247</v>
      </c>
      <c r="N230" t="s">
        <v>38</v>
      </c>
      <c r="O230">
        <v>2110</v>
      </c>
      <c r="P230">
        <v>29353</v>
      </c>
      <c r="Q230" t="s">
        <v>64</v>
      </c>
      <c r="R230" t="s">
        <v>53</v>
      </c>
      <c r="S230" t="s">
        <v>41</v>
      </c>
      <c r="T230" t="s">
        <v>42</v>
      </c>
      <c r="U230" t="s">
        <v>91</v>
      </c>
      <c r="V230">
        <v>42645</v>
      </c>
      <c r="X230" t="s">
        <v>44</v>
      </c>
      <c r="Y230" t="s">
        <v>45</v>
      </c>
      <c r="Z230" t="s">
        <v>57</v>
      </c>
      <c r="AA230" t="s">
        <v>249</v>
      </c>
      <c r="AB230">
        <v>13</v>
      </c>
      <c r="AC230" t="s">
        <v>59</v>
      </c>
      <c r="AD230" t="s">
        <v>60</v>
      </c>
      <c r="AE230">
        <v>4.4000000000000004</v>
      </c>
      <c r="AF230">
        <v>4</v>
      </c>
      <c r="AG230">
        <v>6</v>
      </c>
      <c r="AH230" t="s">
        <v>393</v>
      </c>
      <c r="AI230">
        <v>0</v>
      </c>
      <c r="AJ230">
        <v>10</v>
      </c>
      <c r="AK230" t="str">
        <f t="shared" si="26"/>
        <v>Normal</v>
      </c>
      <c r="AL230" t="str">
        <f t="shared" si="27"/>
        <v>low Outlier</v>
      </c>
      <c r="AM230">
        <f ca="1">INT((TODAY()-HRDataset_v14[[#This Row],[DOB]])/365.25)</f>
        <v>45</v>
      </c>
      <c r="AN230">
        <f ca="1">DATEDIF(HRDataset_v14[[#This Row],[DateofHire]],TODAY(),"Y")</f>
        <v>9</v>
      </c>
      <c r="AO230">
        <f ca="1">IF(ISBLANK(HRDataset_v14[[#This Row],[DateofTermination]]),DATEDIF(HRDataset_v14[[#This Row],[DateofHire]],TODAY(),"Y"),DATEDIF(HRDataset_v14[[#This Row],[DateofHire]],HRDataset_v14[[#This Row],[DateofTermination]],"Y"))</f>
        <v>9</v>
      </c>
      <c r="AP230" t="str">
        <f ca="1">IF(HRDataset_v14[[#This Row],[Tenure in Years
]]&lt;1,"0-1 Year",IF(HRDataset_v14[[#This Row],[Tenure in Years
]]&lt;3,"1-3 Years",IF(HRDataset_v14[[#This Row],[Tenure in Years
]]&lt;5,"3-5 Years",IF(HRDataset_v14[[#This Row],[Tenure in Years
]]&lt;10,"5-10 Years","10+ Years"))))</f>
        <v>5-10 Years</v>
      </c>
      <c r="AQ230" t="str">
        <f ca="1">IF(HRDataset_v14[[#This Row],[Age Calculation
]]&lt;26,"18-25",IF(HRDataset_v14[[#This Row],[Age Calculation
]]&lt;36,"26-35",IF(HRDataset_v14[[#This Row],[Age Calculation
]]&lt;46,"36-45",IF(HRDataset_v14[[#This Row],[Age Calculation
]]&lt;56,"46-55","55+"))))</f>
        <v>36-45</v>
      </c>
      <c r="AR230" t="str">
        <f>IF(HRDataset_v14[[#This Row],[Salary]]&lt;40000,"Entry (&lt;40K)",IF(HRDataset_v14[[#This Row],[Salary]]&lt;70000,"Mid (40-70K)",IF(HRDataset_v14[[#This Row],[Salary]]&lt;100000,"Senior (70-100K)","Executive (100K+)")))</f>
        <v>Senior (70-100K)</v>
      </c>
      <c r="AS230">
        <f>IF(HRDataset_v14[[#This Row],[EmploymentStatus]]="Active",1,0)</f>
        <v>1</v>
      </c>
      <c r="AT230">
        <f>YEAR(HRDataset_v14[[#This Row],[DateofHire]])</f>
        <v>2016</v>
      </c>
      <c r="AU230">
        <f>MONTH(HRDataset_v14[[#This Row],[DateofHire]])</f>
        <v>10</v>
      </c>
      <c r="AV230" t="str">
        <f>"Q"&amp;ROUNDUP(MONTH(HRDataset_v14[[#This Row],[DateofHire]])/3,0)</f>
        <v>Q4</v>
      </c>
      <c r="AW230" t="str">
        <f>TEXT(HRDataset_v14[[#This Row],[DateofHire]],"MMM")</f>
        <v>Oct</v>
      </c>
      <c r="AX230" t="str">
        <f>TEXT(HRDataset_v14[[#This Row],[DateofHire]],"YYYY-MM")</f>
        <v>2016-10</v>
      </c>
      <c r="AY230" t="str">
        <f>IF(ISBLANK(HRDataset_v14[[#This Row],[DateofTermination]]),"N/A",YEAR(HRDataset_v14[[#This Row],[DateofTermination]]))</f>
        <v>N/A</v>
      </c>
      <c r="AZ230" t="str" cm="1">
        <f t="array" ref="AZ230">INDEX(_xlfn.UNIQUE(Z230:Z540),MATCH(MAX(COUNTIF(Z230:Z540,_xlfn.UNIQUE(Z230:Z540))),COUNTIF(Z230:Z540,_xlfn.UNIQUE(Z230:Z540)),0))</f>
        <v xml:space="preserve">Production       </v>
      </c>
      <c r="BA230">
        <f t="shared" si="32"/>
        <v>0</v>
      </c>
      <c r="BB230">
        <f t="shared" si="33"/>
        <v>0</v>
      </c>
      <c r="BC230" t="str">
        <f t="shared" si="28"/>
        <v>Medium</v>
      </c>
      <c r="BD230">
        <f t="shared" si="29"/>
        <v>4.4000000000000004</v>
      </c>
      <c r="BE230" t="str">
        <f t="shared" si="30"/>
        <v/>
      </c>
      <c r="BT230">
        <f t="shared" si="31"/>
        <v>4.4000000000000004</v>
      </c>
    </row>
    <row r="231" spans="1:72" x14ac:dyDescent="0.3">
      <c r="A231" t="s">
        <v>504</v>
      </c>
      <c r="B231">
        <v>10152</v>
      </c>
      <c r="C231">
        <v>0</v>
      </c>
      <c r="D231">
        <v>2</v>
      </c>
      <c r="E231">
        <v>1</v>
      </c>
      <c r="F231">
        <v>5</v>
      </c>
      <c r="G231">
        <v>5</v>
      </c>
      <c r="H231">
        <v>3</v>
      </c>
      <c r="I231">
        <v>0</v>
      </c>
      <c r="J231">
        <v>61729</v>
      </c>
      <c r="K231">
        <v>1</v>
      </c>
      <c r="L231">
        <v>19</v>
      </c>
      <c r="M231" t="s">
        <v>37</v>
      </c>
      <c r="N231" t="s">
        <v>38</v>
      </c>
      <c r="O231">
        <v>2478</v>
      </c>
      <c r="P231">
        <v>31047</v>
      </c>
      <c r="Q231" t="s">
        <v>39</v>
      </c>
      <c r="R231" t="s">
        <v>72</v>
      </c>
      <c r="S231" t="s">
        <v>41</v>
      </c>
      <c r="T231" t="s">
        <v>42</v>
      </c>
      <c r="U231" t="s">
        <v>43</v>
      </c>
      <c r="V231">
        <v>40812</v>
      </c>
      <c r="W231">
        <v>43197</v>
      </c>
      <c r="X231" t="s">
        <v>243</v>
      </c>
      <c r="Y231" t="s">
        <v>56</v>
      </c>
      <c r="Z231" t="s">
        <v>46</v>
      </c>
      <c r="AA231" t="s">
        <v>47</v>
      </c>
      <c r="AB231">
        <v>22</v>
      </c>
      <c r="AC231" t="s">
        <v>59</v>
      </c>
      <c r="AD231" t="s">
        <v>60</v>
      </c>
      <c r="AE231">
        <v>3.8</v>
      </c>
      <c r="AF231">
        <v>5</v>
      </c>
      <c r="AG231">
        <v>0</v>
      </c>
      <c r="AH231" t="s">
        <v>505</v>
      </c>
      <c r="AI231">
        <v>0</v>
      </c>
      <c r="AJ231">
        <v>19</v>
      </c>
      <c r="AK231" t="str">
        <f t="shared" si="26"/>
        <v>Normal</v>
      </c>
      <c r="AL231" t="str">
        <f t="shared" si="27"/>
        <v>low Outlier</v>
      </c>
      <c r="AM231">
        <f ca="1">INT((TODAY()-HRDataset_v14[[#This Row],[DOB]])/365.25)</f>
        <v>41</v>
      </c>
      <c r="AN231">
        <f ca="1">DATEDIF(HRDataset_v14[[#This Row],[DateofHire]],TODAY(),"Y")</f>
        <v>14</v>
      </c>
      <c r="AO231">
        <f ca="1">IF(ISBLANK(HRDataset_v14[[#This Row],[DateofTermination]]),DATEDIF(HRDataset_v14[[#This Row],[DateofHire]],TODAY(),"Y"),DATEDIF(HRDataset_v14[[#This Row],[DateofHire]],HRDataset_v14[[#This Row],[DateofTermination]],"Y"))</f>
        <v>6</v>
      </c>
      <c r="AP231" t="str">
        <f ca="1">IF(HRDataset_v14[[#This Row],[Tenure in Years
]]&lt;1,"0-1 Year",IF(HRDataset_v14[[#This Row],[Tenure in Years
]]&lt;3,"1-3 Years",IF(HRDataset_v14[[#This Row],[Tenure in Years
]]&lt;5,"3-5 Years",IF(HRDataset_v14[[#This Row],[Tenure in Years
]]&lt;10,"5-10 Years","10+ Years"))))</f>
        <v>10+ Years</v>
      </c>
      <c r="AQ231" t="str">
        <f ca="1">IF(HRDataset_v14[[#This Row],[Age Calculation
]]&lt;26,"18-25",IF(HRDataset_v14[[#This Row],[Age Calculation
]]&lt;36,"26-35",IF(HRDataset_v14[[#This Row],[Age Calculation
]]&lt;46,"36-45",IF(HRDataset_v14[[#This Row],[Age Calculation
]]&lt;56,"46-55","55+"))))</f>
        <v>36-45</v>
      </c>
      <c r="AR231" t="str">
        <f>IF(HRDataset_v14[[#This Row],[Salary]]&lt;40000,"Entry (&lt;40K)",IF(HRDataset_v14[[#This Row],[Salary]]&lt;70000,"Mid (40-70K)",IF(HRDataset_v14[[#This Row],[Salary]]&lt;100000,"Senior (70-100K)","Executive (100K+)")))</f>
        <v>Mid (40-70K)</v>
      </c>
      <c r="AS231">
        <f>IF(HRDataset_v14[[#This Row],[EmploymentStatus]]="Active",1,0)</f>
        <v>0</v>
      </c>
      <c r="AT231">
        <f>YEAR(HRDataset_v14[[#This Row],[DateofHire]])</f>
        <v>2011</v>
      </c>
      <c r="AU231">
        <f>MONTH(HRDataset_v14[[#This Row],[DateofHire]])</f>
        <v>9</v>
      </c>
      <c r="AV231" t="str">
        <f>"Q"&amp;ROUNDUP(MONTH(HRDataset_v14[[#This Row],[DateofHire]])/3,0)</f>
        <v>Q3</v>
      </c>
      <c r="AW231" t="str">
        <f>TEXT(HRDataset_v14[[#This Row],[DateofHire]],"MMM")</f>
        <v>Sep</v>
      </c>
      <c r="AX231" t="str">
        <f>TEXT(HRDataset_v14[[#This Row],[DateofHire]],"YYYY-MM")</f>
        <v>2011-09</v>
      </c>
      <c r="AY231">
        <f>IF(ISBLANK(HRDataset_v14[[#This Row],[DateofTermination]]),"N/A",YEAR(HRDataset_v14[[#This Row],[DateofTermination]]))</f>
        <v>2018</v>
      </c>
      <c r="AZ231" t="str" cm="1">
        <f t="array" ref="AZ231">INDEX(_xlfn.UNIQUE(Z231:Z541),MATCH(MAX(COUNTIF(Z231:Z541,_xlfn.UNIQUE(Z231:Z541))),COUNTIF(Z231:Z541,_xlfn.UNIQUE(Z231:Z541)),0))</f>
        <v xml:space="preserve">Production       </v>
      </c>
      <c r="BA231">
        <f t="shared" si="32"/>
        <v>60</v>
      </c>
      <c r="BB231">
        <f t="shared" si="33"/>
        <v>1</v>
      </c>
      <c r="BC231" t="str">
        <f t="shared" si="28"/>
        <v>Medium</v>
      </c>
      <c r="BD231" t="str">
        <f t="shared" si="29"/>
        <v/>
      </c>
      <c r="BE231">
        <f t="shared" si="30"/>
        <v>3.8</v>
      </c>
      <c r="BT231" t="str">
        <f t="shared" si="31"/>
        <v/>
      </c>
    </row>
    <row r="232" spans="1:72" x14ac:dyDescent="0.3">
      <c r="A232" t="s">
        <v>506</v>
      </c>
      <c r="B232">
        <v>10140</v>
      </c>
      <c r="C232">
        <v>1</v>
      </c>
      <c r="D232">
        <v>1</v>
      </c>
      <c r="E232">
        <v>1</v>
      </c>
      <c r="F232">
        <v>1</v>
      </c>
      <c r="G232">
        <v>6</v>
      </c>
      <c r="H232">
        <v>3</v>
      </c>
      <c r="I232">
        <v>0</v>
      </c>
      <c r="J232">
        <v>61809</v>
      </c>
      <c r="K232">
        <v>0</v>
      </c>
      <c r="L232">
        <v>3</v>
      </c>
      <c r="M232" t="s">
        <v>169</v>
      </c>
      <c r="N232" t="s">
        <v>507</v>
      </c>
      <c r="O232">
        <v>83706</v>
      </c>
      <c r="P232">
        <v>20009</v>
      </c>
      <c r="Q232" t="s">
        <v>39</v>
      </c>
      <c r="R232" t="s">
        <v>53</v>
      </c>
      <c r="S232" t="s">
        <v>41</v>
      </c>
      <c r="T232" t="s">
        <v>42</v>
      </c>
      <c r="U232" t="s">
        <v>43</v>
      </c>
      <c r="V232">
        <v>41771</v>
      </c>
      <c r="X232" t="s">
        <v>44</v>
      </c>
      <c r="Y232" t="s">
        <v>45</v>
      </c>
      <c r="Z232" t="s">
        <v>171</v>
      </c>
      <c r="AA232" t="s">
        <v>172</v>
      </c>
      <c r="AB232">
        <v>17</v>
      </c>
      <c r="AC232" t="s">
        <v>140</v>
      </c>
      <c r="AD232" t="s">
        <v>60</v>
      </c>
      <c r="AE232">
        <v>3.98</v>
      </c>
      <c r="AF232">
        <v>3</v>
      </c>
      <c r="AG232">
        <v>0</v>
      </c>
      <c r="AH232" t="s">
        <v>223</v>
      </c>
      <c r="AI232">
        <v>0</v>
      </c>
      <c r="AJ232">
        <v>4</v>
      </c>
      <c r="AK232" t="str">
        <f t="shared" si="26"/>
        <v>Normal</v>
      </c>
      <c r="AL232" t="str">
        <f t="shared" si="27"/>
        <v>low Outlier</v>
      </c>
      <c r="AM232">
        <f ca="1">INT((TODAY()-HRDataset_v14[[#This Row],[DOB]])/365.25)</f>
        <v>71</v>
      </c>
      <c r="AN232">
        <f ca="1">DATEDIF(HRDataset_v14[[#This Row],[DateofHire]],TODAY(),"Y")</f>
        <v>11</v>
      </c>
      <c r="AO232">
        <f ca="1">IF(ISBLANK(HRDataset_v14[[#This Row],[DateofTermination]]),DATEDIF(HRDataset_v14[[#This Row],[DateofHire]],TODAY(),"Y"),DATEDIF(HRDataset_v14[[#This Row],[DateofHire]],HRDataset_v14[[#This Row],[DateofTermination]],"Y"))</f>
        <v>11</v>
      </c>
      <c r="AP232" t="str">
        <f ca="1">IF(HRDataset_v14[[#This Row],[Tenure in Years
]]&lt;1,"0-1 Year",IF(HRDataset_v14[[#This Row],[Tenure in Years
]]&lt;3,"1-3 Years",IF(HRDataset_v14[[#This Row],[Tenure in Years
]]&lt;5,"3-5 Years",IF(HRDataset_v14[[#This Row],[Tenure in Years
]]&lt;10,"5-10 Years","10+ Years"))))</f>
        <v>10+ Years</v>
      </c>
      <c r="AQ232" t="str">
        <f ca="1">IF(HRDataset_v14[[#This Row],[Age Calculation
]]&lt;26,"18-25",IF(HRDataset_v14[[#This Row],[Age Calculation
]]&lt;36,"26-35",IF(HRDataset_v14[[#This Row],[Age Calculation
]]&lt;46,"36-45",IF(HRDataset_v14[[#This Row],[Age Calculation
]]&lt;56,"46-55","55+"))))</f>
        <v>55+</v>
      </c>
      <c r="AR232" t="str">
        <f>IF(HRDataset_v14[[#This Row],[Salary]]&lt;40000,"Entry (&lt;40K)",IF(HRDataset_v14[[#This Row],[Salary]]&lt;70000,"Mid (40-70K)",IF(HRDataset_v14[[#This Row],[Salary]]&lt;100000,"Senior (70-100K)","Executive (100K+)")))</f>
        <v>Mid (40-70K)</v>
      </c>
      <c r="AS232">
        <f>IF(HRDataset_v14[[#This Row],[EmploymentStatus]]="Active",1,0)</f>
        <v>1</v>
      </c>
      <c r="AT232">
        <f>YEAR(HRDataset_v14[[#This Row],[DateofHire]])</f>
        <v>2014</v>
      </c>
      <c r="AU232">
        <f>MONTH(HRDataset_v14[[#This Row],[DateofHire]])</f>
        <v>5</v>
      </c>
      <c r="AV232" t="str">
        <f>"Q"&amp;ROUNDUP(MONTH(HRDataset_v14[[#This Row],[DateofHire]])/3,0)</f>
        <v>Q2</v>
      </c>
      <c r="AW232" t="str">
        <f>TEXT(HRDataset_v14[[#This Row],[DateofHire]],"MMM")</f>
        <v>May</v>
      </c>
      <c r="AX232" t="str">
        <f>TEXT(HRDataset_v14[[#This Row],[DateofHire]],"YYYY-MM")</f>
        <v>2014-05</v>
      </c>
      <c r="AY232" t="str">
        <f>IF(ISBLANK(HRDataset_v14[[#This Row],[DateofTermination]]),"N/A",YEAR(HRDataset_v14[[#This Row],[DateofTermination]]))</f>
        <v>N/A</v>
      </c>
      <c r="AZ232" t="str" cm="1">
        <f t="array" ref="AZ232">INDEX(_xlfn.UNIQUE(Z232:Z542),MATCH(MAX(COUNTIF(Z232:Z542,_xlfn.UNIQUE(Z232:Z542))),COUNTIF(Z232:Z542,_xlfn.UNIQUE(Z232:Z542)),0))</f>
        <v xml:space="preserve">Production       </v>
      </c>
      <c r="BA232">
        <f t="shared" si="32"/>
        <v>0</v>
      </c>
      <c r="BB232">
        <f t="shared" si="33"/>
        <v>0</v>
      </c>
      <c r="BC232" t="str">
        <f t="shared" si="28"/>
        <v>Medium</v>
      </c>
      <c r="BD232">
        <f t="shared" si="29"/>
        <v>3.98</v>
      </c>
      <c r="BE232" t="str">
        <f t="shared" si="30"/>
        <v/>
      </c>
      <c r="BT232">
        <f t="shared" si="31"/>
        <v>3.98</v>
      </c>
    </row>
    <row r="233" spans="1:72" x14ac:dyDescent="0.3">
      <c r="A233" t="s">
        <v>508</v>
      </c>
      <c r="B233">
        <v>10058</v>
      </c>
      <c r="C233">
        <v>0</v>
      </c>
      <c r="D233">
        <v>2</v>
      </c>
      <c r="E233">
        <v>1</v>
      </c>
      <c r="F233">
        <v>5</v>
      </c>
      <c r="G233">
        <v>5</v>
      </c>
      <c r="H233">
        <v>3</v>
      </c>
      <c r="I233">
        <v>0</v>
      </c>
      <c r="J233">
        <v>45115</v>
      </c>
      <c r="K233">
        <v>1</v>
      </c>
      <c r="L233">
        <v>19</v>
      </c>
      <c r="M233" t="s">
        <v>37</v>
      </c>
      <c r="N233" t="s">
        <v>38</v>
      </c>
      <c r="O233">
        <v>2176</v>
      </c>
      <c r="P233">
        <v>30154</v>
      </c>
      <c r="Q233" t="s">
        <v>39</v>
      </c>
      <c r="R233" t="s">
        <v>72</v>
      </c>
      <c r="S233" t="s">
        <v>41</v>
      </c>
      <c r="T233" t="s">
        <v>100</v>
      </c>
      <c r="U233" t="s">
        <v>43</v>
      </c>
      <c r="V233">
        <v>40679</v>
      </c>
      <c r="W233">
        <v>42384</v>
      </c>
      <c r="X233" t="s">
        <v>155</v>
      </c>
      <c r="Y233" t="s">
        <v>56</v>
      </c>
      <c r="Z233" t="s">
        <v>46</v>
      </c>
      <c r="AA233" t="s">
        <v>69</v>
      </c>
      <c r="AB233">
        <v>16</v>
      </c>
      <c r="AC233" t="s">
        <v>48</v>
      </c>
      <c r="AD233" t="s">
        <v>60</v>
      </c>
      <c r="AE233">
        <v>5</v>
      </c>
      <c r="AF233">
        <v>4</v>
      </c>
      <c r="AG233">
        <v>0</v>
      </c>
      <c r="AH233" t="s">
        <v>54</v>
      </c>
      <c r="AI233">
        <v>0</v>
      </c>
      <c r="AJ233">
        <v>11</v>
      </c>
      <c r="AK233" t="str">
        <f t="shared" si="26"/>
        <v>Normal</v>
      </c>
      <c r="AL233" t="str">
        <f t="shared" si="27"/>
        <v>low Outlier</v>
      </c>
      <c r="AM233">
        <f ca="1">INT((TODAY()-HRDataset_v14[[#This Row],[DOB]])/365.25)</f>
        <v>43</v>
      </c>
      <c r="AN233">
        <f ca="1">DATEDIF(HRDataset_v14[[#This Row],[DateofHire]],TODAY(),"Y")</f>
        <v>14</v>
      </c>
      <c r="AO233">
        <f ca="1">IF(ISBLANK(HRDataset_v14[[#This Row],[DateofTermination]]),DATEDIF(HRDataset_v14[[#This Row],[DateofHire]],TODAY(),"Y"),DATEDIF(HRDataset_v14[[#This Row],[DateofHire]],HRDataset_v14[[#This Row],[DateofTermination]],"Y"))</f>
        <v>4</v>
      </c>
      <c r="AP233" t="str">
        <f ca="1">IF(HRDataset_v14[[#This Row],[Tenure in Years
]]&lt;1,"0-1 Year",IF(HRDataset_v14[[#This Row],[Tenure in Years
]]&lt;3,"1-3 Years",IF(HRDataset_v14[[#This Row],[Tenure in Years
]]&lt;5,"3-5 Years",IF(HRDataset_v14[[#This Row],[Tenure in Years
]]&lt;10,"5-10 Years","10+ Years"))))</f>
        <v>10+ Years</v>
      </c>
      <c r="AQ233" t="str">
        <f ca="1">IF(HRDataset_v14[[#This Row],[Age Calculation
]]&lt;26,"18-25",IF(HRDataset_v14[[#This Row],[Age Calculation
]]&lt;36,"26-35",IF(HRDataset_v14[[#This Row],[Age Calculation
]]&lt;46,"36-45",IF(HRDataset_v14[[#This Row],[Age Calculation
]]&lt;56,"46-55","55+"))))</f>
        <v>36-45</v>
      </c>
      <c r="AR233" t="str">
        <f>IF(HRDataset_v14[[#This Row],[Salary]]&lt;40000,"Entry (&lt;40K)",IF(HRDataset_v14[[#This Row],[Salary]]&lt;70000,"Mid (40-70K)",IF(HRDataset_v14[[#This Row],[Salary]]&lt;100000,"Senior (70-100K)","Executive (100K+)")))</f>
        <v>Mid (40-70K)</v>
      </c>
      <c r="AS233">
        <f>IF(HRDataset_v14[[#This Row],[EmploymentStatus]]="Active",1,0)</f>
        <v>0</v>
      </c>
      <c r="AT233">
        <f>YEAR(HRDataset_v14[[#This Row],[DateofHire]])</f>
        <v>2011</v>
      </c>
      <c r="AU233">
        <f>MONTH(HRDataset_v14[[#This Row],[DateofHire]])</f>
        <v>5</v>
      </c>
      <c r="AV233" t="str">
        <f>"Q"&amp;ROUNDUP(MONTH(HRDataset_v14[[#This Row],[DateofHire]])/3,0)</f>
        <v>Q2</v>
      </c>
      <c r="AW233" t="str">
        <f>TEXT(HRDataset_v14[[#This Row],[DateofHire]],"MMM")</f>
        <v>May</v>
      </c>
      <c r="AX233" t="str">
        <f>TEXT(HRDataset_v14[[#This Row],[DateofHire]],"YYYY-MM")</f>
        <v>2011-05</v>
      </c>
      <c r="AY233">
        <f>IF(ISBLANK(HRDataset_v14[[#This Row],[DateofTermination]]),"N/A",YEAR(HRDataset_v14[[#This Row],[DateofTermination]]))</f>
        <v>2016</v>
      </c>
      <c r="AZ233" t="str" cm="1">
        <f t="array" ref="AZ233">INDEX(_xlfn.UNIQUE(Z233:Z543),MATCH(MAX(COUNTIF(Z233:Z543,_xlfn.UNIQUE(Z233:Z543))),COUNTIF(Z233:Z543,_xlfn.UNIQUE(Z233:Z543)),0))</f>
        <v xml:space="preserve">Production       </v>
      </c>
      <c r="BA233">
        <f t="shared" si="32"/>
        <v>50</v>
      </c>
      <c r="BB233">
        <f t="shared" si="33"/>
        <v>2</v>
      </c>
      <c r="BC233" t="str">
        <f t="shared" si="28"/>
        <v>Medium</v>
      </c>
      <c r="BD233" t="str">
        <f t="shared" si="29"/>
        <v/>
      </c>
      <c r="BE233">
        <f t="shared" si="30"/>
        <v>5</v>
      </c>
      <c r="BT233" t="str">
        <f t="shared" si="31"/>
        <v/>
      </c>
    </row>
    <row r="234" spans="1:72" x14ac:dyDescent="0.3">
      <c r="A234" t="s">
        <v>509</v>
      </c>
      <c r="B234">
        <v>10011</v>
      </c>
      <c r="C234">
        <v>1</v>
      </c>
      <c r="D234">
        <v>1</v>
      </c>
      <c r="E234">
        <v>0</v>
      </c>
      <c r="F234">
        <v>1</v>
      </c>
      <c r="G234">
        <v>5</v>
      </c>
      <c r="H234">
        <v>4</v>
      </c>
      <c r="I234">
        <v>0</v>
      </c>
      <c r="J234">
        <v>46738</v>
      </c>
      <c r="K234">
        <v>0</v>
      </c>
      <c r="L234">
        <v>19</v>
      </c>
      <c r="M234" t="s">
        <v>37</v>
      </c>
      <c r="N234" t="s">
        <v>38</v>
      </c>
      <c r="O234">
        <v>2171</v>
      </c>
      <c r="P234">
        <v>26676</v>
      </c>
      <c r="Q234" t="s">
        <v>64</v>
      </c>
      <c r="R234" t="s">
        <v>53</v>
      </c>
      <c r="S234" t="s">
        <v>41</v>
      </c>
      <c r="T234" t="s">
        <v>42</v>
      </c>
      <c r="U234" t="s">
        <v>132</v>
      </c>
      <c r="V234">
        <v>40875</v>
      </c>
      <c r="X234" t="s">
        <v>44</v>
      </c>
      <c r="Y234" t="s">
        <v>45</v>
      </c>
      <c r="Z234" t="s">
        <v>46</v>
      </c>
      <c r="AA234" t="s">
        <v>74</v>
      </c>
      <c r="AC234" t="s">
        <v>75</v>
      </c>
      <c r="AD234" t="s">
        <v>49</v>
      </c>
      <c r="AE234">
        <v>4.3600000000000003</v>
      </c>
      <c r="AF234">
        <v>5</v>
      </c>
      <c r="AG234">
        <v>0</v>
      </c>
      <c r="AH234" t="s">
        <v>349</v>
      </c>
      <c r="AI234">
        <v>0</v>
      </c>
      <c r="AJ234">
        <v>16</v>
      </c>
      <c r="AK234" t="str">
        <f t="shared" si="26"/>
        <v>Normal</v>
      </c>
      <c r="AL234" t="str">
        <f t="shared" si="27"/>
        <v>low Outlier</v>
      </c>
      <c r="AM234">
        <f ca="1">INT((TODAY()-HRDataset_v14[[#This Row],[DOB]])/365.25)</f>
        <v>53</v>
      </c>
      <c r="AN234">
        <f ca="1">DATEDIF(HRDataset_v14[[#This Row],[DateofHire]],TODAY(),"Y")</f>
        <v>14</v>
      </c>
      <c r="AO234">
        <f ca="1">IF(ISBLANK(HRDataset_v14[[#This Row],[DateofTermination]]),DATEDIF(HRDataset_v14[[#This Row],[DateofHire]],TODAY(),"Y"),DATEDIF(HRDataset_v14[[#This Row],[DateofHire]],HRDataset_v14[[#This Row],[DateofTermination]],"Y"))</f>
        <v>14</v>
      </c>
      <c r="AP234" t="str">
        <f ca="1">IF(HRDataset_v14[[#This Row],[Tenure in Years
]]&lt;1,"0-1 Year",IF(HRDataset_v14[[#This Row],[Tenure in Years
]]&lt;3,"1-3 Years",IF(HRDataset_v14[[#This Row],[Tenure in Years
]]&lt;5,"3-5 Years",IF(HRDataset_v14[[#This Row],[Tenure in Years
]]&lt;10,"5-10 Years","10+ Years"))))</f>
        <v>10+ Years</v>
      </c>
      <c r="AQ234" t="str">
        <f ca="1">IF(HRDataset_v14[[#This Row],[Age Calculation
]]&lt;26,"18-25",IF(HRDataset_v14[[#This Row],[Age Calculation
]]&lt;36,"26-35",IF(HRDataset_v14[[#This Row],[Age Calculation
]]&lt;46,"36-45",IF(HRDataset_v14[[#This Row],[Age Calculation
]]&lt;56,"46-55","55+"))))</f>
        <v>46-55</v>
      </c>
      <c r="AR234" t="str">
        <f>IF(HRDataset_v14[[#This Row],[Salary]]&lt;40000,"Entry (&lt;40K)",IF(HRDataset_v14[[#This Row],[Salary]]&lt;70000,"Mid (40-70K)",IF(HRDataset_v14[[#This Row],[Salary]]&lt;100000,"Senior (70-100K)","Executive (100K+)")))</f>
        <v>Mid (40-70K)</v>
      </c>
      <c r="AS234">
        <f>IF(HRDataset_v14[[#This Row],[EmploymentStatus]]="Active",1,0)</f>
        <v>1</v>
      </c>
      <c r="AT234">
        <f>YEAR(HRDataset_v14[[#This Row],[DateofHire]])</f>
        <v>2011</v>
      </c>
      <c r="AU234">
        <f>MONTH(HRDataset_v14[[#This Row],[DateofHire]])</f>
        <v>11</v>
      </c>
      <c r="AV234" t="str">
        <f>"Q"&amp;ROUNDUP(MONTH(HRDataset_v14[[#This Row],[DateofHire]])/3,0)</f>
        <v>Q4</v>
      </c>
      <c r="AW234" t="str">
        <f>TEXT(HRDataset_v14[[#This Row],[DateofHire]],"MMM")</f>
        <v>Nov</v>
      </c>
      <c r="AX234" t="str">
        <f>TEXT(HRDataset_v14[[#This Row],[DateofHire]],"YYYY-MM")</f>
        <v>2011-11</v>
      </c>
      <c r="AY234" t="str">
        <f>IF(ISBLANK(HRDataset_v14[[#This Row],[DateofTermination]]),"N/A",YEAR(HRDataset_v14[[#This Row],[DateofTermination]]))</f>
        <v>N/A</v>
      </c>
      <c r="AZ234" t="str" cm="1">
        <f t="array" ref="AZ234">INDEX(_xlfn.UNIQUE(Z234:Z544),MATCH(MAX(COUNTIF(Z234:Z544,_xlfn.UNIQUE(Z234:Z544))),COUNTIF(Z234:Z544,_xlfn.UNIQUE(Z234:Z544)),0))</f>
        <v xml:space="preserve">Production       </v>
      </c>
      <c r="BA234">
        <f t="shared" si="32"/>
        <v>60</v>
      </c>
      <c r="BB234">
        <f t="shared" si="33"/>
        <v>0</v>
      </c>
      <c r="BC234" t="str">
        <f t="shared" si="28"/>
        <v>Low</v>
      </c>
      <c r="BD234">
        <f t="shared" si="29"/>
        <v>4.3600000000000003</v>
      </c>
      <c r="BE234" t="str">
        <f t="shared" si="30"/>
        <v/>
      </c>
      <c r="BT234">
        <f t="shared" si="31"/>
        <v>4.3600000000000003</v>
      </c>
    </row>
    <row r="235" spans="1:72" x14ac:dyDescent="0.3">
      <c r="A235" t="s">
        <v>510</v>
      </c>
      <c r="B235">
        <v>10230</v>
      </c>
      <c r="C235">
        <v>0</v>
      </c>
      <c r="D235">
        <v>2</v>
      </c>
      <c r="E235">
        <v>0</v>
      </c>
      <c r="F235">
        <v>5</v>
      </c>
      <c r="G235">
        <v>5</v>
      </c>
      <c r="H235">
        <v>3</v>
      </c>
      <c r="I235">
        <v>0</v>
      </c>
      <c r="J235">
        <v>64971</v>
      </c>
      <c r="K235">
        <v>1</v>
      </c>
      <c r="L235">
        <v>20</v>
      </c>
      <c r="M235" t="s">
        <v>63</v>
      </c>
      <c r="N235" t="s">
        <v>38</v>
      </c>
      <c r="O235">
        <v>1902</v>
      </c>
      <c r="P235">
        <v>29834</v>
      </c>
      <c r="Q235" t="s">
        <v>64</v>
      </c>
      <c r="R235" t="s">
        <v>72</v>
      </c>
      <c r="S235" t="s">
        <v>126</v>
      </c>
      <c r="T235" t="s">
        <v>42</v>
      </c>
      <c r="U235" t="s">
        <v>91</v>
      </c>
      <c r="V235">
        <v>40812</v>
      </c>
      <c r="W235">
        <v>40838</v>
      </c>
      <c r="X235" t="s">
        <v>73</v>
      </c>
      <c r="Y235" t="s">
        <v>56</v>
      </c>
      <c r="Z235" t="s">
        <v>46</v>
      </c>
      <c r="AA235" t="s">
        <v>102</v>
      </c>
      <c r="AB235">
        <v>14</v>
      </c>
      <c r="AC235" t="s">
        <v>75</v>
      </c>
      <c r="AD235" t="s">
        <v>60</v>
      </c>
      <c r="AE235">
        <v>4.5</v>
      </c>
      <c r="AF235">
        <v>4</v>
      </c>
      <c r="AG235">
        <v>0</v>
      </c>
      <c r="AH235" t="s">
        <v>511</v>
      </c>
      <c r="AI235">
        <v>0</v>
      </c>
      <c r="AJ235">
        <v>10</v>
      </c>
      <c r="AK235" t="str">
        <f t="shared" si="26"/>
        <v>Normal</v>
      </c>
      <c r="AL235" t="str">
        <f t="shared" si="27"/>
        <v>low Outlier</v>
      </c>
      <c r="AM235">
        <f ca="1">INT((TODAY()-HRDataset_v14[[#This Row],[DOB]])/365.25)</f>
        <v>44</v>
      </c>
      <c r="AN235">
        <f ca="1">DATEDIF(HRDataset_v14[[#This Row],[DateofHire]],TODAY(),"Y")</f>
        <v>14</v>
      </c>
      <c r="AO235">
        <f ca="1">IF(ISBLANK(HRDataset_v14[[#This Row],[DateofTermination]]),DATEDIF(HRDataset_v14[[#This Row],[DateofHire]],TODAY(),"Y"),DATEDIF(HRDataset_v14[[#This Row],[DateofHire]],HRDataset_v14[[#This Row],[DateofTermination]],"Y"))</f>
        <v>0</v>
      </c>
      <c r="AP235" t="str">
        <f ca="1">IF(HRDataset_v14[[#This Row],[Tenure in Years
]]&lt;1,"0-1 Year",IF(HRDataset_v14[[#This Row],[Tenure in Years
]]&lt;3,"1-3 Years",IF(HRDataset_v14[[#This Row],[Tenure in Years
]]&lt;5,"3-5 Years",IF(HRDataset_v14[[#This Row],[Tenure in Years
]]&lt;10,"5-10 Years","10+ Years"))))</f>
        <v>10+ Years</v>
      </c>
      <c r="AQ235" t="str">
        <f ca="1">IF(HRDataset_v14[[#This Row],[Age Calculation
]]&lt;26,"18-25",IF(HRDataset_v14[[#This Row],[Age Calculation
]]&lt;36,"26-35",IF(HRDataset_v14[[#This Row],[Age Calculation
]]&lt;46,"36-45",IF(HRDataset_v14[[#This Row],[Age Calculation
]]&lt;56,"46-55","55+"))))</f>
        <v>36-45</v>
      </c>
      <c r="AR235" t="str">
        <f>IF(HRDataset_v14[[#This Row],[Salary]]&lt;40000,"Entry (&lt;40K)",IF(HRDataset_v14[[#This Row],[Salary]]&lt;70000,"Mid (40-70K)",IF(HRDataset_v14[[#This Row],[Salary]]&lt;100000,"Senior (70-100K)","Executive (100K+)")))</f>
        <v>Mid (40-70K)</v>
      </c>
      <c r="AS235">
        <f>IF(HRDataset_v14[[#This Row],[EmploymentStatus]]="Active",1,0)</f>
        <v>0</v>
      </c>
      <c r="AT235">
        <f>YEAR(HRDataset_v14[[#This Row],[DateofHire]])</f>
        <v>2011</v>
      </c>
      <c r="AU235">
        <f>MONTH(HRDataset_v14[[#This Row],[DateofHire]])</f>
        <v>9</v>
      </c>
      <c r="AV235" t="str">
        <f>"Q"&amp;ROUNDUP(MONTH(HRDataset_v14[[#This Row],[DateofHire]])/3,0)</f>
        <v>Q3</v>
      </c>
      <c r="AW235" t="str">
        <f>TEXT(HRDataset_v14[[#This Row],[DateofHire]],"MMM")</f>
        <v>Sep</v>
      </c>
      <c r="AX235" t="str">
        <f>TEXT(HRDataset_v14[[#This Row],[DateofHire]],"YYYY-MM")</f>
        <v>2011-09</v>
      </c>
      <c r="AY235">
        <f>IF(ISBLANK(HRDataset_v14[[#This Row],[DateofTermination]]),"N/A",YEAR(HRDataset_v14[[#This Row],[DateofTermination]]))</f>
        <v>2011</v>
      </c>
      <c r="AZ235" t="str" cm="1">
        <f t="array" ref="AZ235">INDEX(_xlfn.UNIQUE(Z235:Z545),MATCH(MAX(COUNTIF(Z235:Z545,_xlfn.UNIQUE(Z235:Z545))),COUNTIF(Z235:Z545,_xlfn.UNIQUE(Z235:Z545)),0))</f>
        <v xml:space="preserve">Production       </v>
      </c>
      <c r="BA235">
        <f t="shared" si="32"/>
        <v>33.333333333333329</v>
      </c>
      <c r="BB235">
        <f t="shared" si="33"/>
        <v>2</v>
      </c>
      <c r="BC235" t="str">
        <f t="shared" si="28"/>
        <v>Medium</v>
      </c>
      <c r="BD235" t="str">
        <f t="shared" si="29"/>
        <v/>
      </c>
      <c r="BE235">
        <f t="shared" si="30"/>
        <v>4.5</v>
      </c>
      <c r="BT235" t="str">
        <f t="shared" si="31"/>
        <v/>
      </c>
    </row>
    <row r="236" spans="1:72" x14ac:dyDescent="0.3">
      <c r="A236" t="s">
        <v>512</v>
      </c>
      <c r="B236">
        <v>10224</v>
      </c>
      <c r="C236">
        <v>1</v>
      </c>
      <c r="D236">
        <v>1</v>
      </c>
      <c r="E236">
        <v>1</v>
      </c>
      <c r="F236">
        <v>5</v>
      </c>
      <c r="G236">
        <v>5</v>
      </c>
      <c r="H236">
        <v>3</v>
      </c>
      <c r="I236">
        <v>0</v>
      </c>
      <c r="J236">
        <v>55578</v>
      </c>
      <c r="K236">
        <v>1</v>
      </c>
      <c r="L236">
        <v>20</v>
      </c>
      <c r="M236" t="s">
        <v>63</v>
      </c>
      <c r="N236" t="s">
        <v>38</v>
      </c>
      <c r="O236">
        <v>2138</v>
      </c>
      <c r="P236">
        <v>26483</v>
      </c>
      <c r="Q236" t="s">
        <v>39</v>
      </c>
      <c r="R236" t="s">
        <v>53</v>
      </c>
      <c r="S236" t="s">
        <v>41</v>
      </c>
      <c r="T236" t="s">
        <v>42</v>
      </c>
      <c r="U236" t="s">
        <v>43</v>
      </c>
      <c r="V236">
        <v>40729</v>
      </c>
      <c r="W236">
        <v>40947</v>
      </c>
      <c r="X236" t="s">
        <v>101</v>
      </c>
      <c r="Y236" t="s">
        <v>56</v>
      </c>
      <c r="Z236" t="s">
        <v>46</v>
      </c>
      <c r="AA236" t="s">
        <v>66</v>
      </c>
      <c r="AB236">
        <v>20</v>
      </c>
      <c r="AC236" t="s">
        <v>59</v>
      </c>
      <c r="AD236" t="s">
        <v>60</v>
      </c>
      <c r="AE236">
        <v>4.2</v>
      </c>
      <c r="AF236">
        <v>5</v>
      </c>
      <c r="AG236">
        <v>0</v>
      </c>
      <c r="AH236" t="s">
        <v>513</v>
      </c>
      <c r="AI236">
        <v>0</v>
      </c>
      <c r="AJ236">
        <v>13</v>
      </c>
      <c r="AK236" t="str">
        <f t="shared" si="26"/>
        <v>Normal</v>
      </c>
      <c r="AL236" t="str">
        <f t="shared" si="27"/>
        <v>low Outlier</v>
      </c>
      <c r="AM236">
        <f ca="1">INT((TODAY()-HRDataset_v14[[#This Row],[DOB]])/365.25)</f>
        <v>53</v>
      </c>
      <c r="AN236">
        <f ca="1">DATEDIF(HRDataset_v14[[#This Row],[DateofHire]],TODAY(),"Y")</f>
        <v>14</v>
      </c>
      <c r="AO236">
        <f ca="1">IF(ISBLANK(HRDataset_v14[[#This Row],[DateofTermination]]),DATEDIF(HRDataset_v14[[#This Row],[DateofHire]],TODAY(),"Y"),DATEDIF(HRDataset_v14[[#This Row],[DateofHire]],HRDataset_v14[[#This Row],[DateofTermination]],"Y"))</f>
        <v>0</v>
      </c>
      <c r="AP236" t="str">
        <f ca="1">IF(HRDataset_v14[[#This Row],[Tenure in Years
]]&lt;1,"0-1 Year",IF(HRDataset_v14[[#This Row],[Tenure in Years
]]&lt;3,"1-3 Years",IF(HRDataset_v14[[#This Row],[Tenure in Years
]]&lt;5,"3-5 Years",IF(HRDataset_v14[[#This Row],[Tenure in Years
]]&lt;10,"5-10 Years","10+ Years"))))</f>
        <v>10+ Years</v>
      </c>
      <c r="AQ236" t="str">
        <f ca="1">IF(HRDataset_v14[[#This Row],[Age Calculation
]]&lt;26,"18-25",IF(HRDataset_v14[[#This Row],[Age Calculation
]]&lt;36,"26-35",IF(HRDataset_v14[[#This Row],[Age Calculation
]]&lt;46,"36-45",IF(HRDataset_v14[[#This Row],[Age Calculation
]]&lt;56,"46-55","55+"))))</f>
        <v>46-55</v>
      </c>
      <c r="AR236" t="str">
        <f>IF(HRDataset_v14[[#This Row],[Salary]]&lt;40000,"Entry (&lt;40K)",IF(HRDataset_v14[[#This Row],[Salary]]&lt;70000,"Mid (40-70K)",IF(HRDataset_v14[[#This Row],[Salary]]&lt;100000,"Senior (70-100K)","Executive (100K+)")))</f>
        <v>Mid (40-70K)</v>
      </c>
      <c r="AS236">
        <f>IF(HRDataset_v14[[#This Row],[EmploymentStatus]]="Active",1,0)</f>
        <v>0</v>
      </c>
      <c r="AT236">
        <f>YEAR(HRDataset_v14[[#This Row],[DateofHire]])</f>
        <v>2011</v>
      </c>
      <c r="AU236">
        <f>MONTH(HRDataset_v14[[#This Row],[DateofHire]])</f>
        <v>7</v>
      </c>
      <c r="AV236" t="str">
        <f>"Q"&amp;ROUNDUP(MONTH(HRDataset_v14[[#This Row],[DateofHire]])/3,0)</f>
        <v>Q3</v>
      </c>
      <c r="AW236" t="str">
        <f>TEXT(HRDataset_v14[[#This Row],[DateofHire]],"MMM")</f>
        <v>Jul</v>
      </c>
      <c r="AX236" t="str">
        <f>TEXT(HRDataset_v14[[#This Row],[DateofHire]],"YYYY-MM")</f>
        <v>2011-07</v>
      </c>
      <c r="AY236">
        <f>IF(ISBLANK(HRDataset_v14[[#This Row],[DateofTermination]]),"N/A",YEAR(HRDataset_v14[[#This Row],[DateofTermination]]))</f>
        <v>2012</v>
      </c>
      <c r="AZ236" t="str" cm="1">
        <f t="array" ref="AZ236">INDEX(_xlfn.UNIQUE(Z236:Z546),MATCH(MAX(COUNTIF(Z236:Z546,_xlfn.UNIQUE(Z236:Z546))),COUNTIF(Z236:Z546,_xlfn.UNIQUE(Z236:Z546)),0))</f>
        <v xml:space="preserve">Production       </v>
      </c>
      <c r="BA236">
        <f t="shared" si="32"/>
        <v>60</v>
      </c>
      <c r="BB236">
        <f t="shared" si="33"/>
        <v>8</v>
      </c>
      <c r="BC236" t="str">
        <f t="shared" si="28"/>
        <v>Medium</v>
      </c>
      <c r="BD236" t="str">
        <f t="shared" si="29"/>
        <v/>
      </c>
      <c r="BE236">
        <f t="shared" si="30"/>
        <v>4.2</v>
      </c>
      <c r="BT236" t="str">
        <f t="shared" si="31"/>
        <v/>
      </c>
    </row>
    <row r="237" spans="1:72" x14ac:dyDescent="0.3">
      <c r="A237" t="s">
        <v>514</v>
      </c>
      <c r="B237">
        <v>10047</v>
      </c>
      <c r="C237">
        <v>1</v>
      </c>
      <c r="D237">
        <v>1</v>
      </c>
      <c r="E237">
        <v>1</v>
      </c>
      <c r="F237">
        <v>5</v>
      </c>
      <c r="G237">
        <v>5</v>
      </c>
      <c r="H237">
        <v>3</v>
      </c>
      <c r="I237">
        <v>0</v>
      </c>
      <c r="J237">
        <v>50428</v>
      </c>
      <c r="K237">
        <v>1</v>
      </c>
      <c r="L237">
        <v>19</v>
      </c>
      <c r="M237" t="s">
        <v>37</v>
      </c>
      <c r="N237" t="s">
        <v>38</v>
      </c>
      <c r="O237">
        <v>1420</v>
      </c>
      <c r="P237">
        <v>27036</v>
      </c>
      <c r="Q237" t="s">
        <v>39</v>
      </c>
      <c r="R237" t="s">
        <v>53</v>
      </c>
      <c r="S237" t="s">
        <v>41</v>
      </c>
      <c r="T237" t="s">
        <v>42</v>
      </c>
      <c r="U237" t="s">
        <v>91</v>
      </c>
      <c r="V237">
        <v>40553</v>
      </c>
      <c r="W237">
        <v>42395</v>
      </c>
      <c r="X237" t="s">
        <v>120</v>
      </c>
      <c r="Y237" t="s">
        <v>56</v>
      </c>
      <c r="Z237" t="s">
        <v>46</v>
      </c>
      <c r="AA237" t="s">
        <v>78</v>
      </c>
      <c r="AB237">
        <v>11</v>
      </c>
      <c r="AC237" t="s">
        <v>59</v>
      </c>
      <c r="AD237" t="s">
        <v>60</v>
      </c>
      <c r="AE237">
        <v>5</v>
      </c>
      <c r="AF237">
        <v>3</v>
      </c>
      <c r="AG237">
        <v>0</v>
      </c>
      <c r="AH237" t="s">
        <v>515</v>
      </c>
      <c r="AI237">
        <v>0</v>
      </c>
      <c r="AJ237">
        <v>11</v>
      </c>
      <c r="AK237" t="str">
        <f t="shared" si="26"/>
        <v>Normal</v>
      </c>
      <c r="AL237" t="str">
        <f t="shared" si="27"/>
        <v>low Outlier</v>
      </c>
      <c r="AM237">
        <f ca="1">INT((TODAY()-HRDataset_v14[[#This Row],[DOB]])/365.25)</f>
        <v>52</v>
      </c>
      <c r="AN237">
        <f ca="1">DATEDIF(HRDataset_v14[[#This Row],[DateofHire]],TODAY(),"Y")</f>
        <v>15</v>
      </c>
      <c r="AO237">
        <f ca="1">IF(ISBLANK(HRDataset_v14[[#This Row],[DateofTermination]]),DATEDIF(HRDataset_v14[[#This Row],[DateofHire]],TODAY(),"Y"),DATEDIF(HRDataset_v14[[#This Row],[DateofHire]],HRDataset_v14[[#This Row],[DateofTermination]],"Y"))</f>
        <v>5</v>
      </c>
      <c r="AP237" t="str">
        <f ca="1">IF(HRDataset_v14[[#This Row],[Tenure in Years
]]&lt;1,"0-1 Year",IF(HRDataset_v14[[#This Row],[Tenure in Years
]]&lt;3,"1-3 Years",IF(HRDataset_v14[[#This Row],[Tenure in Years
]]&lt;5,"3-5 Years",IF(HRDataset_v14[[#This Row],[Tenure in Years
]]&lt;10,"5-10 Years","10+ Years"))))</f>
        <v>10+ Years</v>
      </c>
      <c r="AQ237" t="str">
        <f ca="1">IF(HRDataset_v14[[#This Row],[Age Calculation
]]&lt;26,"18-25",IF(HRDataset_v14[[#This Row],[Age Calculation
]]&lt;36,"26-35",IF(HRDataset_v14[[#This Row],[Age Calculation
]]&lt;46,"36-45",IF(HRDataset_v14[[#This Row],[Age Calculation
]]&lt;56,"46-55","55+"))))</f>
        <v>46-55</v>
      </c>
      <c r="AR237" t="str">
        <f>IF(HRDataset_v14[[#This Row],[Salary]]&lt;40000,"Entry (&lt;40K)",IF(HRDataset_v14[[#This Row],[Salary]]&lt;70000,"Mid (40-70K)",IF(HRDataset_v14[[#This Row],[Salary]]&lt;100000,"Senior (70-100K)","Executive (100K+)")))</f>
        <v>Mid (40-70K)</v>
      </c>
      <c r="AS237">
        <f>IF(HRDataset_v14[[#This Row],[EmploymentStatus]]="Active",1,0)</f>
        <v>0</v>
      </c>
      <c r="AT237">
        <f>YEAR(HRDataset_v14[[#This Row],[DateofHire]])</f>
        <v>2011</v>
      </c>
      <c r="AU237">
        <f>MONTH(HRDataset_v14[[#This Row],[DateofHire]])</f>
        <v>1</v>
      </c>
      <c r="AV237" t="str">
        <f>"Q"&amp;ROUNDUP(MONTH(HRDataset_v14[[#This Row],[DateofHire]])/3,0)</f>
        <v>Q1</v>
      </c>
      <c r="AW237" t="str">
        <f>TEXT(HRDataset_v14[[#This Row],[DateofHire]],"MMM")</f>
        <v>Jan</v>
      </c>
      <c r="AX237" t="str">
        <f>TEXT(HRDataset_v14[[#This Row],[DateofHire]],"YYYY-MM")</f>
        <v>2011-01</v>
      </c>
      <c r="AY237">
        <f>IF(ISBLANK(HRDataset_v14[[#This Row],[DateofTermination]]),"N/A",YEAR(HRDataset_v14[[#This Row],[DateofTermination]]))</f>
        <v>2016</v>
      </c>
      <c r="AZ237" t="str" cm="1">
        <f t="array" ref="AZ237">INDEX(_xlfn.UNIQUE(Z237:Z547),MATCH(MAX(COUNTIF(Z237:Z547,_xlfn.UNIQUE(Z237:Z547))),COUNTIF(Z237:Z547,_xlfn.UNIQUE(Z237:Z547)),0))</f>
        <v xml:space="preserve">Production       </v>
      </c>
      <c r="BA237">
        <f t="shared" si="32"/>
        <v>80</v>
      </c>
      <c r="BB237">
        <f t="shared" si="33"/>
        <v>2</v>
      </c>
      <c r="BC237" t="str">
        <f t="shared" si="28"/>
        <v>Medium</v>
      </c>
      <c r="BD237" t="str">
        <f t="shared" si="29"/>
        <v/>
      </c>
      <c r="BE237">
        <f t="shared" si="30"/>
        <v>5</v>
      </c>
      <c r="BT237" t="str">
        <f t="shared" si="31"/>
        <v/>
      </c>
    </row>
    <row r="238" spans="1:72" x14ac:dyDescent="0.3">
      <c r="A238" t="s">
        <v>516</v>
      </c>
      <c r="B238">
        <v>10285</v>
      </c>
      <c r="C238">
        <v>1</v>
      </c>
      <c r="D238">
        <v>1</v>
      </c>
      <c r="E238">
        <v>0</v>
      </c>
      <c r="F238">
        <v>4</v>
      </c>
      <c r="G238">
        <v>5</v>
      </c>
      <c r="H238">
        <v>2</v>
      </c>
      <c r="I238">
        <v>0</v>
      </c>
      <c r="J238">
        <v>61422</v>
      </c>
      <c r="K238">
        <v>1</v>
      </c>
      <c r="L238">
        <v>19</v>
      </c>
      <c r="M238" t="s">
        <v>37</v>
      </c>
      <c r="N238" t="s">
        <v>38</v>
      </c>
      <c r="O238">
        <v>1460</v>
      </c>
      <c r="P238">
        <v>31054</v>
      </c>
      <c r="Q238" t="s">
        <v>64</v>
      </c>
      <c r="R238" t="s">
        <v>53</v>
      </c>
      <c r="S238" t="s">
        <v>41</v>
      </c>
      <c r="T238" t="s">
        <v>42</v>
      </c>
      <c r="U238" t="s">
        <v>43</v>
      </c>
      <c r="V238">
        <v>40553</v>
      </c>
      <c r="W238">
        <v>42507</v>
      </c>
      <c r="X238" t="s">
        <v>120</v>
      </c>
      <c r="Y238" t="s">
        <v>121</v>
      </c>
      <c r="Z238" t="s">
        <v>46</v>
      </c>
      <c r="AA238" t="s">
        <v>87</v>
      </c>
      <c r="AB238">
        <v>19</v>
      </c>
      <c r="AC238" t="s">
        <v>59</v>
      </c>
      <c r="AD238" t="s">
        <v>141</v>
      </c>
      <c r="AE238">
        <v>3.6</v>
      </c>
      <c r="AF238">
        <v>3</v>
      </c>
      <c r="AG238">
        <v>0</v>
      </c>
      <c r="AH238" t="s">
        <v>517</v>
      </c>
      <c r="AI238">
        <v>4</v>
      </c>
      <c r="AJ238">
        <v>16</v>
      </c>
      <c r="AK238" t="str">
        <f t="shared" si="26"/>
        <v>Normal</v>
      </c>
      <c r="AL238" t="str">
        <f t="shared" si="27"/>
        <v>low Outlier</v>
      </c>
      <c r="AM238">
        <f ca="1">INT((TODAY()-HRDataset_v14[[#This Row],[DOB]])/365.25)</f>
        <v>41</v>
      </c>
      <c r="AN238">
        <f ca="1">DATEDIF(HRDataset_v14[[#This Row],[DateofHire]],TODAY(),"Y")</f>
        <v>15</v>
      </c>
      <c r="AO238">
        <f ca="1">IF(ISBLANK(HRDataset_v14[[#This Row],[DateofTermination]]),DATEDIF(HRDataset_v14[[#This Row],[DateofHire]],TODAY(),"Y"),DATEDIF(HRDataset_v14[[#This Row],[DateofHire]],HRDataset_v14[[#This Row],[DateofTermination]],"Y"))</f>
        <v>5</v>
      </c>
      <c r="AP238" t="str">
        <f ca="1">IF(HRDataset_v14[[#This Row],[Tenure in Years
]]&lt;1,"0-1 Year",IF(HRDataset_v14[[#This Row],[Tenure in Years
]]&lt;3,"1-3 Years",IF(HRDataset_v14[[#This Row],[Tenure in Years
]]&lt;5,"3-5 Years",IF(HRDataset_v14[[#This Row],[Tenure in Years
]]&lt;10,"5-10 Years","10+ Years"))))</f>
        <v>10+ Years</v>
      </c>
      <c r="AQ238" t="str">
        <f ca="1">IF(HRDataset_v14[[#This Row],[Age Calculation
]]&lt;26,"18-25",IF(HRDataset_v14[[#This Row],[Age Calculation
]]&lt;36,"26-35",IF(HRDataset_v14[[#This Row],[Age Calculation
]]&lt;46,"36-45",IF(HRDataset_v14[[#This Row],[Age Calculation
]]&lt;56,"46-55","55+"))))</f>
        <v>36-45</v>
      </c>
      <c r="AR238" t="str">
        <f>IF(HRDataset_v14[[#This Row],[Salary]]&lt;40000,"Entry (&lt;40K)",IF(HRDataset_v14[[#This Row],[Salary]]&lt;70000,"Mid (40-70K)",IF(HRDataset_v14[[#This Row],[Salary]]&lt;100000,"Senior (70-100K)","Executive (100K+)")))</f>
        <v>Mid (40-70K)</v>
      </c>
      <c r="AS238">
        <f>IF(HRDataset_v14[[#This Row],[EmploymentStatus]]="Active",1,0)</f>
        <v>0</v>
      </c>
      <c r="AT238">
        <f>YEAR(HRDataset_v14[[#This Row],[DateofHire]])</f>
        <v>2011</v>
      </c>
      <c r="AU238">
        <f>MONTH(HRDataset_v14[[#This Row],[DateofHire]])</f>
        <v>1</v>
      </c>
      <c r="AV238" t="str">
        <f>"Q"&amp;ROUNDUP(MONTH(HRDataset_v14[[#This Row],[DateofHire]])/3,0)</f>
        <v>Q1</v>
      </c>
      <c r="AW238" t="str">
        <f>TEXT(HRDataset_v14[[#This Row],[DateofHire]],"MMM")</f>
        <v>Jan</v>
      </c>
      <c r="AX238" t="str">
        <f>TEXT(HRDataset_v14[[#This Row],[DateofHire]],"YYYY-MM")</f>
        <v>2011-01</v>
      </c>
      <c r="AY238">
        <f>IF(ISBLANK(HRDataset_v14[[#This Row],[DateofTermination]]),"N/A",YEAR(HRDataset_v14[[#This Row],[DateofTermination]]))</f>
        <v>2016</v>
      </c>
      <c r="AZ238" t="str" cm="1">
        <f t="array" ref="AZ238">INDEX(_xlfn.UNIQUE(Z238:Z548),MATCH(MAX(COUNTIF(Z238:Z548,_xlfn.UNIQUE(Z238:Z548))),COUNTIF(Z238:Z548,_xlfn.UNIQUE(Z238:Z548)),0))</f>
        <v xml:space="preserve">Production       </v>
      </c>
      <c r="BA238">
        <f t="shared" si="32"/>
        <v>60</v>
      </c>
      <c r="BB238">
        <f t="shared" si="33"/>
        <v>1</v>
      </c>
      <c r="BC238" t="str">
        <f t="shared" si="28"/>
        <v>High</v>
      </c>
      <c r="BD238" t="str">
        <f t="shared" si="29"/>
        <v/>
      </c>
      <c r="BE238">
        <f t="shared" si="30"/>
        <v>3.6</v>
      </c>
      <c r="BT238" t="str">
        <f t="shared" si="31"/>
        <v/>
      </c>
    </row>
    <row r="239" spans="1:72" x14ac:dyDescent="0.3">
      <c r="A239" t="s">
        <v>518</v>
      </c>
      <c r="B239">
        <v>10020</v>
      </c>
      <c r="C239">
        <v>0</v>
      </c>
      <c r="D239">
        <v>4</v>
      </c>
      <c r="E239">
        <v>1</v>
      </c>
      <c r="F239">
        <v>1</v>
      </c>
      <c r="G239">
        <v>5</v>
      </c>
      <c r="H239">
        <v>4</v>
      </c>
      <c r="I239">
        <v>0</v>
      </c>
      <c r="J239">
        <v>63353</v>
      </c>
      <c r="K239">
        <v>0</v>
      </c>
      <c r="L239">
        <v>19</v>
      </c>
      <c r="M239" t="s">
        <v>37</v>
      </c>
      <c r="N239" t="s">
        <v>38</v>
      </c>
      <c r="O239">
        <v>1730</v>
      </c>
      <c r="P239">
        <v>31075</v>
      </c>
      <c r="Q239" t="s">
        <v>39</v>
      </c>
      <c r="R239" t="s">
        <v>86</v>
      </c>
      <c r="S239" t="s">
        <v>41</v>
      </c>
      <c r="T239" t="s">
        <v>42</v>
      </c>
      <c r="U239" t="s">
        <v>43</v>
      </c>
      <c r="V239">
        <v>41463</v>
      </c>
      <c r="X239" t="s">
        <v>44</v>
      </c>
      <c r="Y239" t="s">
        <v>45</v>
      </c>
      <c r="Z239" t="s">
        <v>46</v>
      </c>
      <c r="AA239" t="s">
        <v>92</v>
      </c>
      <c r="AB239">
        <v>12</v>
      </c>
      <c r="AC239" t="s">
        <v>88</v>
      </c>
      <c r="AD239" t="s">
        <v>49</v>
      </c>
      <c r="AE239">
        <v>3.6</v>
      </c>
      <c r="AF239">
        <v>5</v>
      </c>
      <c r="AG239">
        <v>0</v>
      </c>
      <c r="AH239" t="s">
        <v>349</v>
      </c>
      <c r="AI239">
        <v>0</v>
      </c>
      <c r="AJ239">
        <v>4</v>
      </c>
      <c r="AK239" t="str">
        <f t="shared" si="26"/>
        <v>Normal</v>
      </c>
      <c r="AL239" t="str">
        <f t="shared" si="27"/>
        <v>low Outlier</v>
      </c>
      <c r="AM239">
        <f ca="1">INT((TODAY()-HRDataset_v14[[#This Row],[DOB]])/365.25)</f>
        <v>41</v>
      </c>
      <c r="AN239">
        <f ca="1">DATEDIF(HRDataset_v14[[#This Row],[DateofHire]],TODAY(),"Y")</f>
        <v>12</v>
      </c>
      <c r="AO239">
        <f ca="1">IF(ISBLANK(HRDataset_v14[[#This Row],[DateofTermination]]),DATEDIF(HRDataset_v14[[#This Row],[DateofHire]],TODAY(),"Y"),DATEDIF(HRDataset_v14[[#This Row],[DateofHire]],HRDataset_v14[[#This Row],[DateofTermination]],"Y"))</f>
        <v>12</v>
      </c>
      <c r="AP239" t="str">
        <f ca="1">IF(HRDataset_v14[[#This Row],[Tenure in Years
]]&lt;1,"0-1 Year",IF(HRDataset_v14[[#This Row],[Tenure in Years
]]&lt;3,"1-3 Years",IF(HRDataset_v14[[#This Row],[Tenure in Years
]]&lt;5,"3-5 Years",IF(HRDataset_v14[[#This Row],[Tenure in Years
]]&lt;10,"5-10 Years","10+ Years"))))</f>
        <v>10+ Years</v>
      </c>
      <c r="AQ239" t="str">
        <f ca="1">IF(HRDataset_v14[[#This Row],[Age Calculation
]]&lt;26,"18-25",IF(HRDataset_v14[[#This Row],[Age Calculation
]]&lt;36,"26-35",IF(HRDataset_v14[[#This Row],[Age Calculation
]]&lt;46,"36-45",IF(HRDataset_v14[[#This Row],[Age Calculation
]]&lt;56,"46-55","55+"))))</f>
        <v>36-45</v>
      </c>
      <c r="AR239" t="str">
        <f>IF(HRDataset_v14[[#This Row],[Salary]]&lt;40000,"Entry (&lt;40K)",IF(HRDataset_v14[[#This Row],[Salary]]&lt;70000,"Mid (40-70K)",IF(HRDataset_v14[[#This Row],[Salary]]&lt;100000,"Senior (70-100K)","Executive (100K+)")))</f>
        <v>Mid (40-70K)</v>
      </c>
      <c r="AS239">
        <f>IF(HRDataset_v14[[#This Row],[EmploymentStatus]]="Active",1,0)</f>
        <v>1</v>
      </c>
      <c r="AT239">
        <f>YEAR(HRDataset_v14[[#This Row],[DateofHire]])</f>
        <v>2013</v>
      </c>
      <c r="AU239">
        <f>MONTH(HRDataset_v14[[#This Row],[DateofHire]])</f>
        <v>7</v>
      </c>
      <c r="AV239" t="str">
        <f>"Q"&amp;ROUNDUP(MONTH(HRDataset_v14[[#This Row],[DateofHire]])/3,0)</f>
        <v>Q3</v>
      </c>
      <c r="AW239" t="str">
        <f>TEXT(HRDataset_v14[[#This Row],[DateofHire]],"MMM")</f>
        <v>Jul</v>
      </c>
      <c r="AX239" t="str">
        <f>TEXT(HRDataset_v14[[#This Row],[DateofHire]],"YYYY-MM")</f>
        <v>2013-07</v>
      </c>
      <c r="AY239" t="str">
        <f>IF(ISBLANK(HRDataset_v14[[#This Row],[DateofTermination]]),"N/A",YEAR(HRDataset_v14[[#This Row],[DateofTermination]]))</f>
        <v>N/A</v>
      </c>
      <c r="AZ239" t="str" cm="1">
        <f t="array" ref="AZ239">INDEX(_xlfn.UNIQUE(Z239:Z549),MATCH(MAX(COUNTIF(Z239:Z549,_xlfn.UNIQUE(Z239:Z549))),COUNTIF(Z239:Z549,_xlfn.UNIQUE(Z239:Z549)),0))</f>
        <v xml:space="preserve">Production       </v>
      </c>
      <c r="BA239">
        <f t="shared" si="32"/>
        <v>40</v>
      </c>
      <c r="BB239">
        <f t="shared" si="33"/>
        <v>0</v>
      </c>
      <c r="BC239" t="str">
        <f t="shared" si="28"/>
        <v>Medium</v>
      </c>
      <c r="BD239">
        <f t="shared" si="29"/>
        <v>3.6</v>
      </c>
      <c r="BE239" t="str">
        <f t="shared" si="30"/>
        <v/>
      </c>
      <c r="BT239">
        <f t="shared" si="31"/>
        <v>3.6</v>
      </c>
    </row>
    <row r="240" spans="1:72" x14ac:dyDescent="0.3">
      <c r="A240" t="s">
        <v>519</v>
      </c>
      <c r="B240">
        <v>10162</v>
      </c>
      <c r="C240">
        <v>1</v>
      </c>
      <c r="D240">
        <v>1</v>
      </c>
      <c r="E240">
        <v>0</v>
      </c>
      <c r="F240">
        <v>1</v>
      </c>
      <c r="G240">
        <v>3</v>
      </c>
      <c r="H240">
        <v>3</v>
      </c>
      <c r="I240">
        <v>0</v>
      </c>
      <c r="J240">
        <v>89883</v>
      </c>
      <c r="K240">
        <v>0</v>
      </c>
      <c r="L240">
        <v>9</v>
      </c>
      <c r="M240" t="s">
        <v>108</v>
      </c>
      <c r="N240" t="s">
        <v>38</v>
      </c>
      <c r="O240">
        <v>1886</v>
      </c>
      <c r="P240">
        <v>29870</v>
      </c>
      <c r="Q240" t="s">
        <v>64</v>
      </c>
      <c r="R240" t="s">
        <v>53</v>
      </c>
      <c r="S240" t="s">
        <v>41</v>
      </c>
      <c r="T240" t="s">
        <v>42</v>
      </c>
      <c r="U240" t="s">
        <v>43</v>
      </c>
      <c r="V240">
        <v>42051</v>
      </c>
      <c r="X240" t="s">
        <v>44</v>
      </c>
      <c r="Y240" t="s">
        <v>45</v>
      </c>
      <c r="Z240" t="s">
        <v>57</v>
      </c>
      <c r="AA240" t="s">
        <v>58</v>
      </c>
      <c r="AB240">
        <v>4</v>
      </c>
      <c r="AC240" t="s">
        <v>88</v>
      </c>
      <c r="AD240" t="s">
        <v>60</v>
      </c>
      <c r="AE240">
        <v>3.69</v>
      </c>
      <c r="AF240">
        <v>5</v>
      </c>
      <c r="AG240">
        <v>6</v>
      </c>
      <c r="AH240" t="s">
        <v>114</v>
      </c>
      <c r="AI240">
        <v>0</v>
      </c>
      <c r="AJ240">
        <v>15</v>
      </c>
      <c r="AK240" t="str">
        <f t="shared" si="26"/>
        <v>Normal</v>
      </c>
      <c r="AL240" t="str">
        <f t="shared" si="27"/>
        <v>low Outlier</v>
      </c>
      <c r="AM240">
        <f ca="1">INT((TODAY()-HRDataset_v14[[#This Row],[DOB]])/365.25)</f>
        <v>44</v>
      </c>
      <c r="AN240">
        <f ca="1">DATEDIF(HRDataset_v14[[#This Row],[DateofHire]],TODAY(),"Y")</f>
        <v>11</v>
      </c>
      <c r="AO240">
        <f ca="1">IF(ISBLANK(HRDataset_v14[[#This Row],[DateofTermination]]),DATEDIF(HRDataset_v14[[#This Row],[DateofHire]],TODAY(),"Y"),DATEDIF(HRDataset_v14[[#This Row],[DateofHire]],HRDataset_v14[[#This Row],[DateofTermination]],"Y"))</f>
        <v>11</v>
      </c>
      <c r="AP240" t="str">
        <f ca="1">IF(HRDataset_v14[[#This Row],[Tenure in Years
]]&lt;1,"0-1 Year",IF(HRDataset_v14[[#This Row],[Tenure in Years
]]&lt;3,"1-3 Years",IF(HRDataset_v14[[#This Row],[Tenure in Years
]]&lt;5,"3-5 Years",IF(HRDataset_v14[[#This Row],[Tenure in Years
]]&lt;10,"5-10 Years","10+ Years"))))</f>
        <v>10+ Years</v>
      </c>
      <c r="AQ240" t="str">
        <f ca="1">IF(HRDataset_v14[[#This Row],[Age Calculation
]]&lt;26,"18-25",IF(HRDataset_v14[[#This Row],[Age Calculation
]]&lt;36,"26-35",IF(HRDataset_v14[[#This Row],[Age Calculation
]]&lt;46,"36-45",IF(HRDataset_v14[[#This Row],[Age Calculation
]]&lt;56,"46-55","55+"))))</f>
        <v>36-45</v>
      </c>
      <c r="AR240" t="str">
        <f>IF(HRDataset_v14[[#This Row],[Salary]]&lt;40000,"Entry (&lt;40K)",IF(HRDataset_v14[[#This Row],[Salary]]&lt;70000,"Mid (40-70K)",IF(HRDataset_v14[[#This Row],[Salary]]&lt;100000,"Senior (70-100K)","Executive (100K+)")))</f>
        <v>Senior (70-100K)</v>
      </c>
      <c r="AS240">
        <f>IF(HRDataset_v14[[#This Row],[EmploymentStatus]]="Active",1,0)</f>
        <v>1</v>
      </c>
      <c r="AT240">
        <f>YEAR(HRDataset_v14[[#This Row],[DateofHire]])</f>
        <v>2015</v>
      </c>
      <c r="AU240">
        <f>MONTH(HRDataset_v14[[#This Row],[DateofHire]])</f>
        <v>2</v>
      </c>
      <c r="AV240" t="str">
        <f>"Q"&amp;ROUNDUP(MONTH(HRDataset_v14[[#This Row],[DateofHire]])/3,0)</f>
        <v>Q1</v>
      </c>
      <c r="AW240" t="str">
        <f>TEXT(HRDataset_v14[[#This Row],[DateofHire]],"MMM")</f>
        <v>Feb</v>
      </c>
      <c r="AX240" t="str">
        <f>TEXT(HRDataset_v14[[#This Row],[DateofHire]],"YYYY-MM")</f>
        <v>2015-02</v>
      </c>
      <c r="AY240" t="str">
        <f>IF(ISBLANK(HRDataset_v14[[#This Row],[DateofTermination]]),"N/A",YEAR(HRDataset_v14[[#This Row],[DateofTermination]]))</f>
        <v>N/A</v>
      </c>
      <c r="AZ240" t="str" cm="1">
        <f t="array" ref="AZ240">INDEX(_xlfn.UNIQUE(Z240:Z550),MATCH(MAX(COUNTIF(Z240:Z550,_xlfn.UNIQUE(Z240:Z550))),COUNTIF(Z240:Z550,_xlfn.UNIQUE(Z240:Z550)),0))</f>
        <v xml:space="preserve">Production       </v>
      </c>
      <c r="BA240">
        <f t="shared" si="32"/>
        <v>50</v>
      </c>
      <c r="BB240">
        <f t="shared" si="33"/>
        <v>0</v>
      </c>
      <c r="BC240" t="str">
        <f t="shared" si="28"/>
        <v>Medium</v>
      </c>
      <c r="BD240">
        <f t="shared" si="29"/>
        <v>3.69</v>
      </c>
      <c r="BE240" t="str">
        <f t="shared" si="30"/>
        <v/>
      </c>
      <c r="BT240">
        <f t="shared" si="31"/>
        <v>3.69</v>
      </c>
    </row>
    <row r="241" spans="1:72" x14ac:dyDescent="0.3">
      <c r="A241" t="s">
        <v>520</v>
      </c>
      <c r="B241">
        <v>10149</v>
      </c>
      <c r="C241">
        <v>0</v>
      </c>
      <c r="D241">
        <v>0</v>
      </c>
      <c r="E241">
        <v>0</v>
      </c>
      <c r="F241">
        <v>5</v>
      </c>
      <c r="G241">
        <v>3</v>
      </c>
      <c r="H241">
        <v>3</v>
      </c>
      <c r="I241">
        <v>0</v>
      </c>
      <c r="J241">
        <v>120000</v>
      </c>
      <c r="K241">
        <v>1</v>
      </c>
      <c r="L241">
        <v>29</v>
      </c>
      <c r="M241" t="s">
        <v>521</v>
      </c>
      <c r="N241" t="s">
        <v>38</v>
      </c>
      <c r="O241">
        <v>2703</v>
      </c>
      <c r="P241">
        <v>26811</v>
      </c>
      <c r="Q241" t="s">
        <v>64</v>
      </c>
      <c r="R241" t="s">
        <v>40</v>
      </c>
      <c r="S241" t="s">
        <v>41</v>
      </c>
      <c r="T241" t="s">
        <v>100</v>
      </c>
      <c r="U241" t="s">
        <v>43</v>
      </c>
      <c r="V241">
        <v>42009</v>
      </c>
      <c r="W241">
        <v>43414</v>
      </c>
      <c r="X241" t="s">
        <v>101</v>
      </c>
      <c r="Y241" t="s">
        <v>56</v>
      </c>
      <c r="Z241" t="s">
        <v>57</v>
      </c>
      <c r="AA241" t="s">
        <v>58</v>
      </c>
      <c r="AB241">
        <v>4</v>
      </c>
      <c r="AC241" t="s">
        <v>48</v>
      </c>
      <c r="AD241" t="s">
        <v>60</v>
      </c>
      <c r="AE241">
        <v>3.88</v>
      </c>
      <c r="AF241">
        <v>3</v>
      </c>
      <c r="AG241">
        <v>7</v>
      </c>
      <c r="AH241" t="s">
        <v>522</v>
      </c>
      <c r="AI241">
        <v>0</v>
      </c>
      <c r="AJ241">
        <v>12</v>
      </c>
      <c r="AK241" t="str">
        <f t="shared" si="26"/>
        <v>Normal</v>
      </c>
      <c r="AL241" t="str">
        <f t="shared" si="27"/>
        <v>low Outlier</v>
      </c>
      <c r="AM241">
        <f ca="1">INT((TODAY()-HRDataset_v14[[#This Row],[DOB]])/365.25)</f>
        <v>52</v>
      </c>
      <c r="AN241">
        <f ca="1">DATEDIF(HRDataset_v14[[#This Row],[DateofHire]],TODAY(),"Y")</f>
        <v>11</v>
      </c>
      <c r="AO241">
        <f ca="1">IF(ISBLANK(HRDataset_v14[[#This Row],[DateofTermination]]),DATEDIF(HRDataset_v14[[#This Row],[DateofHire]],TODAY(),"Y"),DATEDIF(HRDataset_v14[[#This Row],[DateofHire]],HRDataset_v14[[#This Row],[DateofTermination]],"Y"))</f>
        <v>3</v>
      </c>
      <c r="AP241" t="str">
        <f ca="1">IF(HRDataset_v14[[#This Row],[Tenure in Years
]]&lt;1,"0-1 Year",IF(HRDataset_v14[[#This Row],[Tenure in Years
]]&lt;3,"1-3 Years",IF(HRDataset_v14[[#This Row],[Tenure in Years
]]&lt;5,"3-5 Years",IF(HRDataset_v14[[#This Row],[Tenure in Years
]]&lt;10,"5-10 Years","10+ Years"))))</f>
        <v>10+ Years</v>
      </c>
      <c r="AQ241" t="str">
        <f ca="1">IF(HRDataset_v14[[#This Row],[Age Calculation
]]&lt;26,"18-25",IF(HRDataset_v14[[#This Row],[Age Calculation
]]&lt;36,"26-35",IF(HRDataset_v14[[#This Row],[Age Calculation
]]&lt;46,"36-45",IF(HRDataset_v14[[#This Row],[Age Calculation
]]&lt;56,"46-55","55+"))))</f>
        <v>46-55</v>
      </c>
      <c r="AR241" t="str">
        <f>IF(HRDataset_v14[[#This Row],[Salary]]&lt;40000,"Entry (&lt;40K)",IF(HRDataset_v14[[#This Row],[Salary]]&lt;70000,"Mid (40-70K)",IF(HRDataset_v14[[#This Row],[Salary]]&lt;100000,"Senior (70-100K)","Executive (100K+)")))</f>
        <v>Executive (100K+)</v>
      </c>
      <c r="AS241">
        <f>IF(HRDataset_v14[[#This Row],[EmploymentStatus]]="Active",1,0)</f>
        <v>0</v>
      </c>
      <c r="AT241">
        <f>YEAR(HRDataset_v14[[#This Row],[DateofHire]])</f>
        <v>2015</v>
      </c>
      <c r="AU241">
        <f>MONTH(HRDataset_v14[[#This Row],[DateofHire]])</f>
        <v>1</v>
      </c>
      <c r="AV241" t="str">
        <f>"Q"&amp;ROUNDUP(MONTH(HRDataset_v14[[#This Row],[DateofHire]])/3,0)</f>
        <v>Q1</v>
      </c>
      <c r="AW241" t="str">
        <f>TEXT(HRDataset_v14[[#This Row],[DateofHire]],"MMM")</f>
        <v>Jan</v>
      </c>
      <c r="AX241" t="str">
        <f>TEXT(HRDataset_v14[[#This Row],[DateofHire]],"YYYY-MM")</f>
        <v>2015-01</v>
      </c>
      <c r="AY241">
        <f>IF(ISBLANK(HRDataset_v14[[#This Row],[DateofTermination]]),"N/A",YEAR(HRDataset_v14[[#This Row],[DateofTermination]]))</f>
        <v>2018</v>
      </c>
      <c r="AZ241" t="str" cm="1">
        <f t="array" ref="AZ241">INDEX(_xlfn.UNIQUE(Z241:Z551),MATCH(MAX(COUNTIF(Z241:Z551,_xlfn.UNIQUE(Z241:Z551))),COUNTIF(Z241:Z551,_xlfn.UNIQUE(Z241:Z551)),0))</f>
        <v xml:space="preserve">Production       </v>
      </c>
      <c r="BA241">
        <f t="shared" si="32"/>
        <v>60</v>
      </c>
      <c r="BB241">
        <f t="shared" si="33"/>
        <v>7</v>
      </c>
      <c r="BC241" t="str">
        <f t="shared" si="28"/>
        <v>Medium</v>
      </c>
      <c r="BD241" t="str">
        <f t="shared" si="29"/>
        <v/>
      </c>
      <c r="BE241">
        <f t="shared" si="30"/>
        <v>3.88</v>
      </c>
      <c r="BT241" t="str">
        <f t="shared" si="31"/>
        <v/>
      </c>
    </row>
    <row r="242" spans="1:72" x14ac:dyDescent="0.3">
      <c r="A242" t="s">
        <v>523</v>
      </c>
      <c r="B242">
        <v>10086</v>
      </c>
      <c r="C242">
        <v>0</v>
      </c>
      <c r="D242">
        <v>0</v>
      </c>
      <c r="E242">
        <v>0</v>
      </c>
      <c r="F242">
        <v>1</v>
      </c>
      <c r="G242">
        <v>3</v>
      </c>
      <c r="H242">
        <v>3</v>
      </c>
      <c r="I242">
        <v>0</v>
      </c>
      <c r="J242">
        <v>150290</v>
      </c>
      <c r="K242">
        <v>0</v>
      </c>
      <c r="L242">
        <v>7</v>
      </c>
      <c r="M242" t="s">
        <v>524</v>
      </c>
      <c r="N242" t="s">
        <v>38</v>
      </c>
      <c r="O242">
        <v>2056</v>
      </c>
      <c r="P242">
        <v>26624</v>
      </c>
      <c r="Q242" t="s">
        <v>64</v>
      </c>
      <c r="R242" t="s">
        <v>40</v>
      </c>
      <c r="S242" t="s">
        <v>41</v>
      </c>
      <c r="T242" t="s">
        <v>42</v>
      </c>
      <c r="U242" t="s">
        <v>91</v>
      </c>
      <c r="V242">
        <v>42742</v>
      </c>
      <c r="X242" t="s">
        <v>44</v>
      </c>
      <c r="Y242" t="s">
        <v>45</v>
      </c>
      <c r="Z242" t="s">
        <v>57</v>
      </c>
      <c r="AA242" t="s">
        <v>249</v>
      </c>
      <c r="AB242">
        <v>13</v>
      </c>
      <c r="AC242" t="s">
        <v>59</v>
      </c>
      <c r="AD242" t="s">
        <v>60</v>
      </c>
      <c r="AE242">
        <v>4.9400000000000004</v>
      </c>
      <c r="AF242">
        <v>3</v>
      </c>
      <c r="AG242">
        <v>5</v>
      </c>
      <c r="AH242" t="s">
        <v>393</v>
      </c>
      <c r="AI242">
        <v>0</v>
      </c>
      <c r="AJ242">
        <v>17</v>
      </c>
      <c r="AK242" t="str">
        <f t="shared" si="26"/>
        <v xml:space="preserve"> high Outlier</v>
      </c>
      <c r="AL242" t="str">
        <f t="shared" si="27"/>
        <v>low Outlier</v>
      </c>
      <c r="AM242">
        <f ca="1">INT((TODAY()-HRDataset_v14[[#This Row],[DOB]])/365.25)</f>
        <v>53</v>
      </c>
      <c r="AN242">
        <f ca="1">DATEDIF(HRDataset_v14[[#This Row],[DateofHire]],TODAY(),"Y")</f>
        <v>9</v>
      </c>
      <c r="AO242">
        <f ca="1">IF(ISBLANK(HRDataset_v14[[#This Row],[DateofTermination]]),DATEDIF(HRDataset_v14[[#This Row],[DateofHire]],TODAY(),"Y"),DATEDIF(HRDataset_v14[[#This Row],[DateofHire]],HRDataset_v14[[#This Row],[DateofTermination]],"Y"))</f>
        <v>9</v>
      </c>
      <c r="AP242" t="str">
        <f ca="1">IF(HRDataset_v14[[#This Row],[Tenure in Years
]]&lt;1,"0-1 Year",IF(HRDataset_v14[[#This Row],[Tenure in Years
]]&lt;3,"1-3 Years",IF(HRDataset_v14[[#This Row],[Tenure in Years
]]&lt;5,"3-5 Years",IF(HRDataset_v14[[#This Row],[Tenure in Years
]]&lt;10,"5-10 Years","10+ Years"))))</f>
        <v>5-10 Years</v>
      </c>
      <c r="AQ242" t="str">
        <f ca="1">IF(HRDataset_v14[[#This Row],[Age Calculation
]]&lt;26,"18-25",IF(HRDataset_v14[[#This Row],[Age Calculation
]]&lt;36,"26-35",IF(HRDataset_v14[[#This Row],[Age Calculation
]]&lt;46,"36-45",IF(HRDataset_v14[[#This Row],[Age Calculation
]]&lt;56,"46-55","55+"))))</f>
        <v>46-55</v>
      </c>
      <c r="AR242" t="str">
        <f>IF(HRDataset_v14[[#This Row],[Salary]]&lt;40000,"Entry (&lt;40K)",IF(HRDataset_v14[[#This Row],[Salary]]&lt;70000,"Mid (40-70K)",IF(HRDataset_v14[[#This Row],[Salary]]&lt;100000,"Senior (70-100K)","Executive (100K+)")))</f>
        <v>Executive (100K+)</v>
      </c>
      <c r="AS242">
        <f>IF(HRDataset_v14[[#This Row],[EmploymentStatus]]="Active",1,0)</f>
        <v>1</v>
      </c>
      <c r="AT242">
        <f>YEAR(HRDataset_v14[[#This Row],[DateofHire]])</f>
        <v>2017</v>
      </c>
      <c r="AU242">
        <f>MONTH(HRDataset_v14[[#This Row],[DateofHire]])</f>
        <v>1</v>
      </c>
      <c r="AV242" t="str">
        <f>"Q"&amp;ROUNDUP(MONTH(HRDataset_v14[[#This Row],[DateofHire]])/3,0)</f>
        <v>Q1</v>
      </c>
      <c r="AW242" t="str">
        <f>TEXT(HRDataset_v14[[#This Row],[DateofHire]],"MMM")</f>
        <v>Jan</v>
      </c>
      <c r="AX242" t="str">
        <f>TEXT(HRDataset_v14[[#This Row],[DateofHire]],"YYYY-MM")</f>
        <v>2017-01</v>
      </c>
      <c r="AY242" t="str">
        <f>IF(ISBLANK(HRDataset_v14[[#This Row],[DateofTermination]]),"N/A",YEAR(HRDataset_v14[[#This Row],[DateofTermination]]))</f>
        <v>N/A</v>
      </c>
      <c r="AZ242" t="str" cm="1">
        <f t="array" ref="AZ242">INDEX(_xlfn.UNIQUE(Z242:Z552),MATCH(MAX(COUNTIF(Z242:Z552,_xlfn.UNIQUE(Z242:Z552))),COUNTIF(Z242:Z552,_xlfn.UNIQUE(Z242:Z552)),0))</f>
        <v xml:space="preserve">Production       </v>
      </c>
      <c r="BA242">
        <f t="shared" si="32"/>
        <v>0</v>
      </c>
      <c r="BB242">
        <f t="shared" si="33"/>
        <v>0</v>
      </c>
      <c r="BC242" t="str">
        <f t="shared" si="28"/>
        <v>Medium</v>
      </c>
      <c r="BD242">
        <f t="shared" si="29"/>
        <v>4.9400000000000004</v>
      </c>
      <c r="BE242" t="str">
        <f t="shared" si="30"/>
        <v/>
      </c>
      <c r="BT242">
        <f t="shared" si="31"/>
        <v>4.9400000000000004</v>
      </c>
    </row>
    <row r="243" spans="1:72" x14ac:dyDescent="0.3">
      <c r="A243" t="s">
        <v>525</v>
      </c>
      <c r="B243">
        <v>10054</v>
      </c>
      <c r="C243">
        <v>0</v>
      </c>
      <c r="D243">
        <v>3</v>
      </c>
      <c r="E243">
        <v>0</v>
      </c>
      <c r="F243">
        <v>1</v>
      </c>
      <c r="G243">
        <v>5</v>
      </c>
      <c r="H243">
        <v>3</v>
      </c>
      <c r="I243">
        <v>0</v>
      </c>
      <c r="J243">
        <v>60627</v>
      </c>
      <c r="K243">
        <v>0</v>
      </c>
      <c r="L243">
        <v>19</v>
      </c>
      <c r="M243" t="s">
        <v>37</v>
      </c>
      <c r="N243" t="s">
        <v>38</v>
      </c>
      <c r="O243">
        <v>1886</v>
      </c>
      <c r="P243">
        <v>27368</v>
      </c>
      <c r="Q243" t="s">
        <v>64</v>
      </c>
      <c r="R243" t="s">
        <v>166</v>
      </c>
      <c r="S243" t="s">
        <v>41</v>
      </c>
      <c r="T243" t="s">
        <v>42</v>
      </c>
      <c r="U243" t="s">
        <v>43</v>
      </c>
      <c r="V243">
        <v>41645</v>
      </c>
      <c r="X243" t="s">
        <v>44</v>
      </c>
      <c r="Y243" t="s">
        <v>45</v>
      </c>
      <c r="Z243" t="s">
        <v>46</v>
      </c>
      <c r="AA243" t="s">
        <v>102</v>
      </c>
      <c r="AB243">
        <v>14</v>
      </c>
      <c r="AC243" t="s">
        <v>254</v>
      </c>
      <c r="AD243" t="s">
        <v>60</v>
      </c>
      <c r="AE243">
        <v>5</v>
      </c>
      <c r="AF243">
        <v>4</v>
      </c>
      <c r="AG243">
        <v>0</v>
      </c>
      <c r="AH243" t="s">
        <v>235</v>
      </c>
      <c r="AI243">
        <v>0</v>
      </c>
      <c r="AJ243">
        <v>8</v>
      </c>
      <c r="AK243" t="str">
        <f t="shared" si="26"/>
        <v>Normal</v>
      </c>
      <c r="AL243" t="str">
        <f t="shared" si="27"/>
        <v>low Outlier</v>
      </c>
      <c r="AM243">
        <f ca="1">INT((TODAY()-HRDataset_v14[[#This Row],[DOB]])/365.25)</f>
        <v>51</v>
      </c>
      <c r="AN243">
        <f ca="1">DATEDIF(HRDataset_v14[[#This Row],[DateofHire]],TODAY(),"Y")</f>
        <v>12</v>
      </c>
      <c r="AO243">
        <f ca="1">IF(ISBLANK(HRDataset_v14[[#This Row],[DateofTermination]]),DATEDIF(HRDataset_v14[[#This Row],[DateofHire]],TODAY(),"Y"),DATEDIF(HRDataset_v14[[#This Row],[DateofHire]],HRDataset_v14[[#This Row],[DateofTermination]],"Y"))</f>
        <v>12</v>
      </c>
      <c r="AP243" t="str">
        <f ca="1">IF(HRDataset_v14[[#This Row],[Tenure in Years
]]&lt;1,"0-1 Year",IF(HRDataset_v14[[#This Row],[Tenure in Years
]]&lt;3,"1-3 Years",IF(HRDataset_v14[[#This Row],[Tenure in Years
]]&lt;5,"3-5 Years",IF(HRDataset_v14[[#This Row],[Tenure in Years
]]&lt;10,"5-10 Years","10+ Years"))))</f>
        <v>10+ Years</v>
      </c>
      <c r="AQ243" t="str">
        <f ca="1">IF(HRDataset_v14[[#This Row],[Age Calculation
]]&lt;26,"18-25",IF(HRDataset_v14[[#This Row],[Age Calculation
]]&lt;36,"26-35",IF(HRDataset_v14[[#This Row],[Age Calculation
]]&lt;46,"36-45",IF(HRDataset_v14[[#This Row],[Age Calculation
]]&lt;56,"46-55","55+"))))</f>
        <v>46-55</v>
      </c>
      <c r="AR243" t="str">
        <f>IF(HRDataset_v14[[#This Row],[Salary]]&lt;40000,"Entry (&lt;40K)",IF(HRDataset_v14[[#This Row],[Salary]]&lt;70000,"Mid (40-70K)",IF(HRDataset_v14[[#This Row],[Salary]]&lt;100000,"Senior (70-100K)","Executive (100K+)")))</f>
        <v>Mid (40-70K)</v>
      </c>
      <c r="AS243">
        <f>IF(HRDataset_v14[[#This Row],[EmploymentStatus]]="Active",1,0)</f>
        <v>1</v>
      </c>
      <c r="AT243">
        <f>YEAR(HRDataset_v14[[#This Row],[DateofHire]])</f>
        <v>2014</v>
      </c>
      <c r="AU243">
        <f>MONTH(HRDataset_v14[[#This Row],[DateofHire]])</f>
        <v>1</v>
      </c>
      <c r="AV243" t="str">
        <f>"Q"&amp;ROUNDUP(MONTH(HRDataset_v14[[#This Row],[DateofHire]])/3,0)</f>
        <v>Q1</v>
      </c>
      <c r="AW243" t="str">
        <f>TEXT(HRDataset_v14[[#This Row],[DateofHire]],"MMM")</f>
        <v>Jan</v>
      </c>
      <c r="AX243" t="str">
        <f>TEXT(HRDataset_v14[[#This Row],[DateofHire]],"YYYY-MM")</f>
        <v>2014-01</v>
      </c>
      <c r="AY243" t="str">
        <f>IF(ISBLANK(HRDataset_v14[[#This Row],[DateofTermination]]),"N/A",YEAR(HRDataset_v14[[#This Row],[DateofTermination]]))</f>
        <v>N/A</v>
      </c>
      <c r="AZ243" t="str" cm="1">
        <f t="array" ref="AZ243">INDEX(_xlfn.UNIQUE(Z243:Z553),MATCH(MAX(COUNTIF(Z243:Z553,_xlfn.UNIQUE(Z243:Z553))),COUNTIF(Z243:Z553,_xlfn.UNIQUE(Z243:Z553)),0))</f>
        <v xml:space="preserve">Production       </v>
      </c>
      <c r="BA243">
        <f t="shared" si="32"/>
        <v>20</v>
      </c>
      <c r="BB243">
        <f t="shared" si="33"/>
        <v>0</v>
      </c>
      <c r="BC243" t="str">
        <f t="shared" si="28"/>
        <v>Medium</v>
      </c>
      <c r="BD243">
        <f t="shared" si="29"/>
        <v>5</v>
      </c>
      <c r="BE243" t="str">
        <f t="shared" si="30"/>
        <v/>
      </c>
      <c r="BT243">
        <f t="shared" si="31"/>
        <v>5</v>
      </c>
    </row>
    <row r="244" spans="1:72" x14ac:dyDescent="0.3">
      <c r="A244" t="s">
        <v>526</v>
      </c>
      <c r="B244">
        <v>10065</v>
      </c>
      <c r="C244">
        <v>0</v>
      </c>
      <c r="D244">
        <v>0</v>
      </c>
      <c r="E244">
        <v>1</v>
      </c>
      <c r="F244">
        <v>5</v>
      </c>
      <c r="G244">
        <v>5</v>
      </c>
      <c r="H244">
        <v>3</v>
      </c>
      <c r="I244">
        <v>0</v>
      </c>
      <c r="J244">
        <v>53180</v>
      </c>
      <c r="K244">
        <v>1</v>
      </c>
      <c r="L244">
        <v>19</v>
      </c>
      <c r="M244" t="s">
        <v>37</v>
      </c>
      <c r="N244" t="s">
        <v>38</v>
      </c>
      <c r="O244">
        <v>2155</v>
      </c>
      <c r="P244">
        <v>31854</v>
      </c>
      <c r="Q244" t="s">
        <v>39</v>
      </c>
      <c r="R244" t="s">
        <v>40</v>
      </c>
      <c r="S244" t="s">
        <v>41</v>
      </c>
      <c r="T244" t="s">
        <v>42</v>
      </c>
      <c r="U244" t="s">
        <v>43</v>
      </c>
      <c r="V244">
        <v>40637</v>
      </c>
      <c r="W244">
        <v>43325</v>
      </c>
      <c r="X244" t="s">
        <v>101</v>
      </c>
      <c r="Y244" t="s">
        <v>56</v>
      </c>
      <c r="Z244" t="s">
        <v>46</v>
      </c>
      <c r="AA244" t="s">
        <v>66</v>
      </c>
      <c r="AB244">
        <v>20</v>
      </c>
      <c r="AC244" t="s">
        <v>75</v>
      </c>
      <c r="AD244" t="s">
        <v>60</v>
      </c>
      <c r="AE244">
        <v>5</v>
      </c>
      <c r="AF244">
        <v>5</v>
      </c>
      <c r="AG244">
        <v>0</v>
      </c>
      <c r="AH244" t="s">
        <v>527</v>
      </c>
      <c r="AI244">
        <v>0</v>
      </c>
      <c r="AJ244">
        <v>4</v>
      </c>
      <c r="AK244" t="str">
        <f t="shared" si="26"/>
        <v>Normal</v>
      </c>
      <c r="AL244" t="str">
        <f t="shared" si="27"/>
        <v>low Outlier</v>
      </c>
      <c r="AM244">
        <f ca="1">INT((TODAY()-HRDataset_v14[[#This Row],[DOB]])/365.25)</f>
        <v>39</v>
      </c>
      <c r="AN244">
        <f ca="1">DATEDIF(HRDataset_v14[[#This Row],[DateofHire]],TODAY(),"Y")</f>
        <v>14</v>
      </c>
      <c r="AO244">
        <f ca="1">IF(ISBLANK(HRDataset_v14[[#This Row],[DateofTermination]]),DATEDIF(HRDataset_v14[[#This Row],[DateofHire]],TODAY(),"Y"),DATEDIF(HRDataset_v14[[#This Row],[DateofHire]],HRDataset_v14[[#This Row],[DateofTermination]],"Y"))</f>
        <v>7</v>
      </c>
      <c r="AP244" t="str">
        <f ca="1">IF(HRDataset_v14[[#This Row],[Tenure in Years
]]&lt;1,"0-1 Year",IF(HRDataset_v14[[#This Row],[Tenure in Years
]]&lt;3,"1-3 Years",IF(HRDataset_v14[[#This Row],[Tenure in Years
]]&lt;5,"3-5 Years",IF(HRDataset_v14[[#This Row],[Tenure in Years
]]&lt;10,"5-10 Years","10+ Years"))))</f>
        <v>10+ Years</v>
      </c>
      <c r="AQ244" t="str">
        <f ca="1">IF(HRDataset_v14[[#This Row],[Age Calculation
]]&lt;26,"18-25",IF(HRDataset_v14[[#This Row],[Age Calculation
]]&lt;36,"26-35",IF(HRDataset_v14[[#This Row],[Age Calculation
]]&lt;46,"36-45",IF(HRDataset_v14[[#This Row],[Age Calculation
]]&lt;56,"46-55","55+"))))</f>
        <v>36-45</v>
      </c>
      <c r="AR244" t="str">
        <f>IF(HRDataset_v14[[#This Row],[Salary]]&lt;40000,"Entry (&lt;40K)",IF(HRDataset_v14[[#This Row],[Salary]]&lt;70000,"Mid (40-70K)",IF(HRDataset_v14[[#This Row],[Salary]]&lt;100000,"Senior (70-100K)","Executive (100K+)")))</f>
        <v>Mid (40-70K)</v>
      </c>
      <c r="AS244">
        <f>IF(HRDataset_v14[[#This Row],[EmploymentStatus]]="Active",1,0)</f>
        <v>0</v>
      </c>
      <c r="AT244">
        <f>YEAR(HRDataset_v14[[#This Row],[DateofHire]])</f>
        <v>2011</v>
      </c>
      <c r="AU244">
        <f>MONTH(HRDataset_v14[[#This Row],[DateofHire]])</f>
        <v>4</v>
      </c>
      <c r="AV244" t="str">
        <f>"Q"&amp;ROUNDUP(MONTH(HRDataset_v14[[#This Row],[DateofHire]])/3,0)</f>
        <v>Q2</v>
      </c>
      <c r="AW244" t="str">
        <f>TEXT(HRDataset_v14[[#This Row],[DateofHire]],"MMM")</f>
        <v>Apr</v>
      </c>
      <c r="AX244" t="str">
        <f>TEXT(HRDataset_v14[[#This Row],[DateofHire]],"YYYY-MM")</f>
        <v>2011-04</v>
      </c>
      <c r="AY244">
        <f>IF(ISBLANK(HRDataset_v14[[#This Row],[DateofTermination]]),"N/A",YEAR(HRDataset_v14[[#This Row],[DateofTermination]]))</f>
        <v>2018</v>
      </c>
      <c r="AZ244" t="str" cm="1">
        <f t="array" ref="AZ244">INDEX(_xlfn.UNIQUE(Z244:Z554),MATCH(MAX(COUNTIF(Z244:Z554,_xlfn.UNIQUE(Z244:Z554))),COUNTIF(Z244:Z554,_xlfn.UNIQUE(Z244:Z554)),0))</f>
        <v xml:space="preserve">Production       </v>
      </c>
      <c r="BA244">
        <f t="shared" si="32"/>
        <v>50</v>
      </c>
      <c r="BB244">
        <f t="shared" si="33"/>
        <v>6</v>
      </c>
      <c r="BC244" t="str">
        <f t="shared" si="28"/>
        <v>Medium</v>
      </c>
      <c r="BD244" t="str">
        <f t="shared" si="29"/>
        <v/>
      </c>
      <c r="BE244">
        <f t="shared" si="30"/>
        <v>5</v>
      </c>
      <c r="BT244" t="str">
        <f t="shared" si="31"/>
        <v/>
      </c>
    </row>
    <row r="245" spans="1:72" x14ac:dyDescent="0.3">
      <c r="A245" t="s">
        <v>528</v>
      </c>
      <c r="B245">
        <v>10198</v>
      </c>
      <c r="C245">
        <v>0</v>
      </c>
      <c r="D245">
        <v>0</v>
      </c>
      <c r="E245">
        <v>1</v>
      </c>
      <c r="F245">
        <v>1</v>
      </c>
      <c r="G245">
        <v>3</v>
      </c>
      <c r="H245">
        <v>3</v>
      </c>
      <c r="I245">
        <v>0</v>
      </c>
      <c r="J245">
        <v>140920</v>
      </c>
      <c r="K245">
        <v>0</v>
      </c>
      <c r="L245">
        <v>13</v>
      </c>
      <c r="M245" t="s">
        <v>529</v>
      </c>
      <c r="N245" t="s">
        <v>38</v>
      </c>
      <c r="O245">
        <v>2481</v>
      </c>
      <c r="P245">
        <v>26759</v>
      </c>
      <c r="Q245" t="s">
        <v>39</v>
      </c>
      <c r="R245" t="s">
        <v>40</v>
      </c>
      <c r="S245" t="s">
        <v>41</v>
      </c>
      <c r="T245" t="s">
        <v>42</v>
      </c>
      <c r="U245" t="s">
        <v>43</v>
      </c>
      <c r="V245">
        <v>41294</v>
      </c>
      <c r="X245" t="s">
        <v>44</v>
      </c>
      <c r="Y245" t="s">
        <v>45</v>
      </c>
      <c r="Z245" t="s">
        <v>57</v>
      </c>
      <c r="AA245" t="s">
        <v>180</v>
      </c>
      <c r="AB245">
        <v>5</v>
      </c>
      <c r="AC245" t="s">
        <v>59</v>
      </c>
      <c r="AD245" t="s">
        <v>60</v>
      </c>
      <c r="AE245">
        <v>3.6</v>
      </c>
      <c r="AF245">
        <v>5</v>
      </c>
      <c r="AG245">
        <v>7</v>
      </c>
      <c r="AH245" t="s">
        <v>98</v>
      </c>
      <c r="AI245">
        <v>0</v>
      </c>
      <c r="AJ245">
        <v>13</v>
      </c>
      <c r="AK245" t="str">
        <f t="shared" si="26"/>
        <v xml:space="preserve"> high Outlier</v>
      </c>
      <c r="AL245" t="str">
        <f t="shared" si="27"/>
        <v>low Outlier</v>
      </c>
      <c r="AM245">
        <f ca="1">INT((TODAY()-HRDataset_v14[[#This Row],[DOB]])/365.25)</f>
        <v>52</v>
      </c>
      <c r="AN245">
        <f ca="1">DATEDIF(HRDataset_v14[[#This Row],[DateofHire]],TODAY(),"Y")</f>
        <v>13</v>
      </c>
      <c r="AO245">
        <f ca="1">IF(ISBLANK(HRDataset_v14[[#This Row],[DateofTermination]]),DATEDIF(HRDataset_v14[[#This Row],[DateofHire]],TODAY(),"Y"),DATEDIF(HRDataset_v14[[#This Row],[DateofHire]],HRDataset_v14[[#This Row],[DateofTermination]],"Y"))</f>
        <v>13</v>
      </c>
      <c r="AP245" t="str">
        <f ca="1">IF(HRDataset_v14[[#This Row],[Tenure in Years
]]&lt;1,"0-1 Year",IF(HRDataset_v14[[#This Row],[Tenure in Years
]]&lt;3,"1-3 Years",IF(HRDataset_v14[[#This Row],[Tenure in Years
]]&lt;5,"3-5 Years",IF(HRDataset_v14[[#This Row],[Tenure in Years
]]&lt;10,"5-10 Years","10+ Years"))))</f>
        <v>10+ Years</v>
      </c>
      <c r="AQ245" t="str">
        <f ca="1">IF(HRDataset_v14[[#This Row],[Age Calculation
]]&lt;26,"18-25",IF(HRDataset_v14[[#This Row],[Age Calculation
]]&lt;36,"26-35",IF(HRDataset_v14[[#This Row],[Age Calculation
]]&lt;46,"36-45",IF(HRDataset_v14[[#This Row],[Age Calculation
]]&lt;56,"46-55","55+"))))</f>
        <v>46-55</v>
      </c>
      <c r="AR245" t="str">
        <f>IF(HRDataset_v14[[#This Row],[Salary]]&lt;40000,"Entry (&lt;40K)",IF(HRDataset_v14[[#This Row],[Salary]]&lt;70000,"Mid (40-70K)",IF(HRDataset_v14[[#This Row],[Salary]]&lt;100000,"Senior (70-100K)","Executive (100K+)")))</f>
        <v>Executive (100K+)</v>
      </c>
      <c r="AS245">
        <f>IF(HRDataset_v14[[#This Row],[EmploymentStatus]]="Active",1,0)</f>
        <v>1</v>
      </c>
      <c r="AT245">
        <f>YEAR(HRDataset_v14[[#This Row],[DateofHire]])</f>
        <v>2013</v>
      </c>
      <c r="AU245">
        <f>MONTH(HRDataset_v14[[#This Row],[DateofHire]])</f>
        <v>1</v>
      </c>
      <c r="AV245" t="str">
        <f>"Q"&amp;ROUNDUP(MONTH(HRDataset_v14[[#This Row],[DateofHire]])/3,0)</f>
        <v>Q1</v>
      </c>
      <c r="AW245" t="str">
        <f>TEXT(HRDataset_v14[[#This Row],[DateofHire]],"MMM")</f>
        <v>Jan</v>
      </c>
      <c r="AX245" t="str">
        <f>TEXT(HRDataset_v14[[#This Row],[DateofHire]],"YYYY-MM")</f>
        <v>2013-01</v>
      </c>
      <c r="AY245" t="str">
        <f>IF(ISBLANK(HRDataset_v14[[#This Row],[DateofTermination]]),"N/A",YEAR(HRDataset_v14[[#This Row],[DateofTermination]]))</f>
        <v>N/A</v>
      </c>
      <c r="AZ245" t="str" cm="1">
        <f t="array" ref="AZ245">INDEX(_xlfn.UNIQUE(Z245:Z555),MATCH(MAX(COUNTIF(Z245:Z555,_xlfn.UNIQUE(Z245:Z555))),COUNTIF(Z245:Z555,_xlfn.UNIQUE(Z245:Z555)),0))</f>
        <v xml:space="preserve">Production       </v>
      </c>
      <c r="BA245">
        <f t="shared" si="32"/>
        <v>50</v>
      </c>
      <c r="BB245">
        <f t="shared" si="33"/>
        <v>0</v>
      </c>
      <c r="BC245" t="str">
        <f t="shared" si="28"/>
        <v>Medium</v>
      </c>
      <c r="BD245">
        <f t="shared" si="29"/>
        <v>3.6</v>
      </c>
      <c r="BE245" t="str">
        <f t="shared" si="30"/>
        <v/>
      </c>
      <c r="BT245">
        <f t="shared" si="31"/>
        <v>3.6</v>
      </c>
    </row>
    <row r="246" spans="1:72" x14ac:dyDescent="0.3">
      <c r="A246" t="s">
        <v>530</v>
      </c>
      <c r="B246">
        <v>10222</v>
      </c>
      <c r="C246">
        <v>0</v>
      </c>
      <c r="D246">
        <v>2</v>
      </c>
      <c r="E246">
        <v>1</v>
      </c>
      <c r="F246">
        <v>5</v>
      </c>
      <c r="G246">
        <v>3</v>
      </c>
      <c r="H246">
        <v>3</v>
      </c>
      <c r="I246">
        <v>1</v>
      </c>
      <c r="J246">
        <v>148999</v>
      </c>
      <c r="K246">
        <v>1</v>
      </c>
      <c r="L246">
        <v>13</v>
      </c>
      <c r="M246" t="s">
        <v>529</v>
      </c>
      <c r="N246" t="s">
        <v>38</v>
      </c>
      <c r="O246">
        <v>1915</v>
      </c>
      <c r="P246">
        <v>23380</v>
      </c>
      <c r="Q246" t="s">
        <v>39</v>
      </c>
      <c r="R246" t="s">
        <v>72</v>
      </c>
      <c r="S246" t="s">
        <v>41</v>
      </c>
      <c r="T246" t="s">
        <v>42</v>
      </c>
      <c r="U246" t="s">
        <v>91</v>
      </c>
      <c r="V246">
        <v>40917</v>
      </c>
      <c r="W246">
        <v>42312</v>
      </c>
      <c r="X246" t="s">
        <v>65</v>
      </c>
      <c r="Y246" t="s">
        <v>56</v>
      </c>
      <c r="Z246" t="s">
        <v>57</v>
      </c>
      <c r="AA246" t="s">
        <v>180</v>
      </c>
      <c r="AB246">
        <v>5</v>
      </c>
      <c r="AC246" t="s">
        <v>93</v>
      </c>
      <c r="AD246" t="s">
        <v>60</v>
      </c>
      <c r="AE246">
        <v>4.3</v>
      </c>
      <c r="AF246">
        <v>4</v>
      </c>
      <c r="AG246">
        <v>6</v>
      </c>
      <c r="AH246" t="s">
        <v>531</v>
      </c>
      <c r="AI246">
        <v>0</v>
      </c>
      <c r="AJ246">
        <v>8</v>
      </c>
      <c r="AK246" t="str">
        <f t="shared" si="26"/>
        <v xml:space="preserve"> high Outlier</v>
      </c>
      <c r="AL246" t="str">
        <f t="shared" si="27"/>
        <v>low Outlier</v>
      </c>
      <c r="AM246">
        <f ca="1">INT((TODAY()-HRDataset_v14[[#This Row],[DOB]])/365.25)</f>
        <v>62</v>
      </c>
      <c r="AN246">
        <f ca="1">DATEDIF(HRDataset_v14[[#This Row],[DateofHire]],TODAY(),"Y")</f>
        <v>14</v>
      </c>
      <c r="AO246">
        <f ca="1">IF(ISBLANK(HRDataset_v14[[#This Row],[DateofTermination]]),DATEDIF(HRDataset_v14[[#This Row],[DateofHire]],TODAY(),"Y"),DATEDIF(HRDataset_v14[[#This Row],[DateofHire]],HRDataset_v14[[#This Row],[DateofTermination]],"Y"))</f>
        <v>3</v>
      </c>
      <c r="AP246" t="str">
        <f ca="1">IF(HRDataset_v14[[#This Row],[Tenure in Years
]]&lt;1,"0-1 Year",IF(HRDataset_v14[[#This Row],[Tenure in Years
]]&lt;3,"1-3 Years",IF(HRDataset_v14[[#This Row],[Tenure in Years
]]&lt;5,"3-5 Years",IF(HRDataset_v14[[#This Row],[Tenure in Years
]]&lt;10,"5-10 Years","10+ Years"))))</f>
        <v>10+ Years</v>
      </c>
      <c r="AQ246" t="str">
        <f ca="1">IF(HRDataset_v14[[#This Row],[Age Calculation
]]&lt;26,"18-25",IF(HRDataset_v14[[#This Row],[Age Calculation
]]&lt;36,"26-35",IF(HRDataset_v14[[#This Row],[Age Calculation
]]&lt;46,"36-45",IF(HRDataset_v14[[#This Row],[Age Calculation
]]&lt;56,"46-55","55+"))))</f>
        <v>55+</v>
      </c>
      <c r="AR246" t="str">
        <f>IF(HRDataset_v14[[#This Row],[Salary]]&lt;40000,"Entry (&lt;40K)",IF(HRDataset_v14[[#This Row],[Salary]]&lt;70000,"Mid (40-70K)",IF(HRDataset_v14[[#This Row],[Salary]]&lt;100000,"Senior (70-100K)","Executive (100K+)")))</f>
        <v>Executive (100K+)</v>
      </c>
      <c r="AS246">
        <f>IF(HRDataset_v14[[#This Row],[EmploymentStatus]]="Active",1,0)</f>
        <v>0</v>
      </c>
      <c r="AT246">
        <f>YEAR(HRDataset_v14[[#This Row],[DateofHire]])</f>
        <v>2012</v>
      </c>
      <c r="AU246">
        <f>MONTH(HRDataset_v14[[#This Row],[DateofHire]])</f>
        <v>1</v>
      </c>
      <c r="AV246" t="str">
        <f>"Q"&amp;ROUNDUP(MONTH(HRDataset_v14[[#This Row],[DateofHire]])/3,0)</f>
        <v>Q1</v>
      </c>
      <c r="AW246" t="str">
        <f>TEXT(HRDataset_v14[[#This Row],[DateofHire]],"MMM")</f>
        <v>Jan</v>
      </c>
      <c r="AX246" t="str">
        <f>TEXT(HRDataset_v14[[#This Row],[DateofHire]],"YYYY-MM")</f>
        <v>2012-01</v>
      </c>
      <c r="AY246">
        <f>IF(ISBLANK(HRDataset_v14[[#This Row],[DateofTermination]]),"N/A",YEAR(HRDataset_v14[[#This Row],[DateofTermination]]))</f>
        <v>2015</v>
      </c>
      <c r="AZ246" t="str" cm="1">
        <f t="array" ref="AZ246">INDEX(_xlfn.UNIQUE(Z246:Z556),MATCH(MAX(COUNTIF(Z246:Z556,_xlfn.UNIQUE(Z246:Z556))),COUNTIF(Z246:Z556,_xlfn.UNIQUE(Z246:Z556)),0))</f>
        <v xml:space="preserve">Production       </v>
      </c>
      <c r="BA246">
        <f t="shared" si="32"/>
        <v>100</v>
      </c>
      <c r="BB246">
        <f t="shared" si="33"/>
        <v>3</v>
      </c>
      <c r="BC246" t="str">
        <f t="shared" si="28"/>
        <v>Medium</v>
      </c>
      <c r="BD246" t="str">
        <f t="shared" si="29"/>
        <v/>
      </c>
      <c r="BE246">
        <f t="shared" si="30"/>
        <v>4.3</v>
      </c>
      <c r="BT246" t="str">
        <f t="shared" si="31"/>
        <v/>
      </c>
    </row>
    <row r="247" spans="1:72" x14ac:dyDescent="0.3">
      <c r="A247" t="s">
        <v>532</v>
      </c>
      <c r="B247">
        <v>10126</v>
      </c>
      <c r="C247">
        <v>1</v>
      </c>
      <c r="D247">
        <v>1</v>
      </c>
      <c r="E247">
        <v>0</v>
      </c>
      <c r="F247">
        <v>1</v>
      </c>
      <c r="G247">
        <v>4</v>
      </c>
      <c r="H247">
        <v>3</v>
      </c>
      <c r="I247">
        <v>0</v>
      </c>
      <c r="J247">
        <v>86214</v>
      </c>
      <c r="K247">
        <v>0</v>
      </c>
      <c r="L247">
        <v>24</v>
      </c>
      <c r="M247" t="s">
        <v>81</v>
      </c>
      <c r="N247" t="s">
        <v>38</v>
      </c>
      <c r="O247">
        <v>2132</v>
      </c>
      <c r="P247">
        <v>31617</v>
      </c>
      <c r="Q247" t="s">
        <v>64</v>
      </c>
      <c r="R247" t="s">
        <v>53</v>
      </c>
      <c r="S247" t="s">
        <v>41</v>
      </c>
      <c r="T247" t="s">
        <v>42</v>
      </c>
      <c r="U247" t="s">
        <v>43</v>
      </c>
      <c r="V247">
        <v>41218</v>
      </c>
      <c r="X247" t="s">
        <v>44</v>
      </c>
      <c r="Y247" t="s">
        <v>45</v>
      </c>
      <c r="Z247" t="s">
        <v>82</v>
      </c>
      <c r="AA247" t="s">
        <v>83</v>
      </c>
      <c r="AB247">
        <v>10</v>
      </c>
      <c r="AC247" t="s">
        <v>59</v>
      </c>
      <c r="AD247" t="s">
        <v>60</v>
      </c>
      <c r="AE247">
        <v>4.2</v>
      </c>
      <c r="AF247">
        <v>3</v>
      </c>
      <c r="AG247">
        <v>6</v>
      </c>
      <c r="AH247" t="s">
        <v>273</v>
      </c>
      <c r="AI247">
        <v>0</v>
      </c>
      <c r="AJ247">
        <v>2</v>
      </c>
      <c r="AK247" t="str">
        <f t="shared" si="26"/>
        <v>Normal</v>
      </c>
      <c r="AL247" t="str">
        <f t="shared" si="27"/>
        <v>low Outlier</v>
      </c>
      <c r="AM247">
        <f ca="1">INT((TODAY()-HRDataset_v14[[#This Row],[DOB]])/365.25)</f>
        <v>39</v>
      </c>
      <c r="AN247">
        <f ca="1">DATEDIF(HRDataset_v14[[#This Row],[DateofHire]],TODAY(),"Y")</f>
        <v>13</v>
      </c>
      <c r="AO247">
        <f ca="1">IF(ISBLANK(HRDataset_v14[[#This Row],[DateofTermination]]),DATEDIF(HRDataset_v14[[#This Row],[DateofHire]],TODAY(),"Y"),DATEDIF(HRDataset_v14[[#This Row],[DateofHire]],HRDataset_v14[[#This Row],[DateofTermination]],"Y"))</f>
        <v>13</v>
      </c>
      <c r="AP247" t="str">
        <f ca="1">IF(HRDataset_v14[[#This Row],[Tenure in Years
]]&lt;1,"0-1 Year",IF(HRDataset_v14[[#This Row],[Tenure in Years
]]&lt;3,"1-3 Years",IF(HRDataset_v14[[#This Row],[Tenure in Years
]]&lt;5,"3-5 Years",IF(HRDataset_v14[[#This Row],[Tenure in Years
]]&lt;10,"5-10 Years","10+ Years"))))</f>
        <v>10+ Years</v>
      </c>
      <c r="AQ247" t="str">
        <f ca="1">IF(HRDataset_v14[[#This Row],[Age Calculation
]]&lt;26,"18-25",IF(HRDataset_v14[[#This Row],[Age Calculation
]]&lt;36,"26-35",IF(HRDataset_v14[[#This Row],[Age Calculation
]]&lt;46,"36-45",IF(HRDataset_v14[[#This Row],[Age Calculation
]]&lt;56,"46-55","55+"))))</f>
        <v>36-45</v>
      </c>
      <c r="AR247" t="str">
        <f>IF(HRDataset_v14[[#This Row],[Salary]]&lt;40000,"Entry (&lt;40K)",IF(HRDataset_v14[[#This Row],[Salary]]&lt;70000,"Mid (40-70K)",IF(HRDataset_v14[[#This Row],[Salary]]&lt;100000,"Senior (70-100K)","Executive (100K+)")))</f>
        <v>Senior (70-100K)</v>
      </c>
      <c r="AS247">
        <f>IF(HRDataset_v14[[#This Row],[EmploymentStatus]]="Active",1,0)</f>
        <v>1</v>
      </c>
      <c r="AT247">
        <f>YEAR(HRDataset_v14[[#This Row],[DateofHire]])</f>
        <v>2012</v>
      </c>
      <c r="AU247">
        <f>MONTH(HRDataset_v14[[#This Row],[DateofHire]])</f>
        <v>11</v>
      </c>
      <c r="AV247" t="str">
        <f>"Q"&amp;ROUNDUP(MONTH(HRDataset_v14[[#This Row],[DateofHire]])/3,0)</f>
        <v>Q4</v>
      </c>
      <c r="AW247" t="str">
        <f>TEXT(HRDataset_v14[[#This Row],[DateofHire]],"MMM")</f>
        <v>Nov</v>
      </c>
      <c r="AX247" t="str">
        <f>TEXT(HRDataset_v14[[#This Row],[DateofHire]],"YYYY-MM")</f>
        <v>2012-11</v>
      </c>
      <c r="AY247" t="str">
        <f>IF(ISBLANK(HRDataset_v14[[#This Row],[DateofTermination]]),"N/A",YEAR(HRDataset_v14[[#This Row],[DateofTermination]]))</f>
        <v>N/A</v>
      </c>
      <c r="AZ247" t="str" cm="1">
        <f t="array" ref="AZ247">INDEX(_xlfn.UNIQUE(Z247:Z557),MATCH(MAX(COUNTIF(Z247:Z557,_xlfn.UNIQUE(Z247:Z557))),COUNTIF(Z247:Z557,_xlfn.UNIQUE(Z247:Z557)),0))</f>
        <v xml:space="preserve">Production       </v>
      </c>
      <c r="BA247">
        <f t="shared" si="32"/>
        <v>33.333333333333329</v>
      </c>
      <c r="BB247">
        <f t="shared" si="33"/>
        <v>0</v>
      </c>
      <c r="BC247" t="str">
        <f t="shared" si="28"/>
        <v>Medium</v>
      </c>
      <c r="BD247">
        <f t="shared" si="29"/>
        <v>4.2</v>
      </c>
      <c r="BE247" t="str">
        <f t="shared" si="30"/>
        <v/>
      </c>
      <c r="BT247">
        <f t="shared" si="31"/>
        <v>4.2</v>
      </c>
    </row>
    <row r="248" spans="1:72" x14ac:dyDescent="0.3">
      <c r="A248" t="s">
        <v>533</v>
      </c>
      <c r="B248">
        <v>10295</v>
      </c>
      <c r="C248">
        <v>0</v>
      </c>
      <c r="D248">
        <v>0</v>
      </c>
      <c r="E248">
        <v>0</v>
      </c>
      <c r="F248">
        <v>2</v>
      </c>
      <c r="G248">
        <v>5</v>
      </c>
      <c r="H248">
        <v>2</v>
      </c>
      <c r="I248">
        <v>1</v>
      </c>
      <c r="J248">
        <v>47750</v>
      </c>
      <c r="K248">
        <v>0</v>
      </c>
      <c r="L248">
        <v>19</v>
      </c>
      <c r="M248" t="s">
        <v>37</v>
      </c>
      <c r="N248" t="s">
        <v>38</v>
      </c>
      <c r="O248">
        <v>1801</v>
      </c>
      <c r="P248">
        <v>24995</v>
      </c>
      <c r="Q248" t="s">
        <v>64</v>
      </c>
      <c r="R248" t="s">
        <v>40</v>
      </c>
      <c r="S248" t="s">
        <v>41</v>
      </c>
      <c r="T248" t="s">
        <v>42</v>
      </c>
      <c r="U248" t="s">
        <v>91</v>
      </c>
      <c r="V248">
        <v>42555</v>
      </c>
      <c r="X248" t="s">
        <v>44</v>
      </c>
      <c r="Y248" t="s">
        <v>45</v>
      </c>
      <c r="Z248" t="s">
        <v>46</v>
      </c>
      <c r="AA248" t="s">
        <v>113</v>
      </c>
      <c r="AB248">
        <v>18</v>
      </c>
      <c r="AC248" t="s">
        <v>93</v>
      </c>
      <c r="AD248" t="s">
        <v>141</v>
      </c>
      <c r="AE248">
        <v>2.6</v>
      </c>
      <c r="AF248">
        <v>4</v>
      </c>
      <c r="AG248">
        <v>0</v>
      </c>
      <c r="AH248" t="s">
        <v>98</v>
      </c>
      <c r="AI248">
        <v>5</v>
      </c>
      <c r="AJ248">
        <v>4</v>
      </c>
      <c r="AK248" t="str">
        <f t="shared" si="26"/>
        <v>Normal</v>
      </c>
      <c r="AL248" t="str">
        <f t="shared" si="27"/>
        <v>low Outlier</v>
      </c>
      <c r="AM248">
        <f ca="1">INT((TODAY()-HRDataset_v14[[#This Row],[DOB]])/365.25)</f>
        <v>57</v>
      </c>
      <c r="AN248">
        <f ca="1">DATEDIF(HRDataset_v14[[#This Row],[DateofHire]],TODAY(),"Y")</f>
        <v>9</v>
      </c>
      <c r="AO248">
        <f ca="1">IF(ISBLANK(HRDataset_v14[[#This Row],[DateofTermination]]),DATEDIF(HRDataset_v14[[#This Row],[DateofHire]],TODAY(),"Y"),DATEDIF(HRDataset_v14[[#This Row],[DateofHire]],HRDataset_v14[[#This Row],[DateofTermination]],"Y"))</f>
        <v>9</v>
      </c>
      <c r="AP248" t="str">
        <f ca="1">IF(HRDataset_v14[[#This Row],[Tenure in Years
]]&lt;1,"0-1 Year",IF(HRDataset_v14[[#This Row],[Tenure in Years
]]&lt;3,"1-3 Years",IF(HRDataset_v14[[#This Row],[Tenure in Years
]]&lt;5,"3-5 Years",IF(HRDataset_v14[[#This Row],[Tenure in Years
]]&lt;10,"5-10 Years","10+ Years"))))</f>
        <v>5-10 Years</v>
      </c>
      <c r="AQ248" t="str">
        <f ca="1">IF(HRDataset_v14[[#This Row],[Age Calculation
]]&lt;26,"18-25",IF(HRDataset_v14[[#This Row],[Age Calculation
]]&lt;36,"26-35",IF(HRDataset_v14[[#This Row],[Age Calculation
]]&lt;46,"36-45",IF(HRDataset_v14[[#This Row],[Age Calculation
]]&lt;56,"46-55","55+"))))</f>
        <v>55+</v>
      </c>
      <c r="AR248" t="str">
        <f>IF(HRDataset_v14[[#This Row],[Salary]]&lt;40000,"Entry (&lt;40K)",IF(HRDataset_v14[[#This Row],[Salary]]&lt;70000,"Mid (40-70K)",IF(HRDataset_v14[[#This Row],[Salary]]&lt;100000,"Senior (70-100K)","Executive (100K+)")))</f>
        <v>Mid (40-70K)</v>
      </c>
      <c r="AS248">
        <f>IF(HRDataset_v14[[#This Row],[EmploymentStatus]]="Active",1,0)</f>
        <v>1</v>
      </c>
      <c r="AT248">
        <f>YEAR(HRDataset_v14[[#This Row],[DateofHire]])</f>
        <v>2016</v>
      </c>
      <c r="AU248">
        <f>MONTH(HRDataset_v14[[#This Row],[DateofHire]])</f>
        <v>7</v>
      </c>
      <c r="AV248" t="str">
        <f>"Q"&amp;ROUNDUP(MONTH(HRDataset_v14[[#This Row],[DateofHire]])/3,0)</f>
        <v>Q3</v>
      </c>
      <c r="AW248" t="str">
        <f>TEXT(HRDataset_v14[[#This Row],[DateofHire]],"MMM")</f>
        <v>Jul</v>
      </c>
      <c r="AX248" t="str">
        <f>TEXT(HRDataset_v14[[#This Row],[DateofHire]],"YYYY-MM")</f>
        <v>2016-07</v>
      </c>
      <c r="AY248" t="str">
        <f>IF(ISBLANK(HRDataset_v14[[#This Row],[DateofTermination]]),"N/A",YEAR(HRDataset_v14[[#This Row],[DateofTermination]]))</f>
        <v>N/A</v>
      </c>
      <c r="AZ248" t="str" cm="1">
        <f t="array" ref="AZ248">INDEX(_xlfn.UNIQUE(Z248:Z558),MATCH(MAX(COUNTIF(Z248:Z558,_xlfn.UNIQUE(Z248:Z558))),COUNTIF(Z248:Z558,_xlfn.UNIQUE(Z248:Z558)),0))</f>
        <v xml:space="preserve">Production       </v>
      </c>
      <c r="BA248">
        <f t="shared" si="32"/>
        <v>25</v>
      </c>
      <c r="BB248">
        <f t="shared" si="33"/>
        <v>0</v>
      </c>
      <c r="BC248" t="str">
        <f t="shared" si="28"/>
        <v>High</v>
      </c>
      <c r="BD248">
        <f t="shared" si="29"/>
        <v>2.6</v>
      </c>
      <c r="BE248" t="str">
        <f t="shared" si="30"/>
        <v/>
      </c>
      <c r="BT248">
        <f t="shared" si="31"/>
        <v>2.6</v>
      </c>
    </row>
    <row r="249" spans="1:72" x14ac:dyDescent="0.3">
      <c r="A249" t="s">
        <v>534</v>
      </c>
      <c r="B249">
        <v>10260</v>
      </c>
      <c r="C249">
        <v>0</v>
      </c>
      <c r="D249">
        <v>0</v>
      </c>
      <c r="E249">
        <v>1</v>
      </c>
      <c r="F249">
        <v>5</v>
      </c>
      <c r="G249">
        <v>5</v>
      </c>
      <c r="H249">
        <v>3</v>
      </c>
      <c r="I249">
        <v>0</v>
      </c>
      <c r="J249">
        <v>46428</v>
      </c>
      <c r="K249">
        <v>1</v>
      </c>
      <c r="L249">
        <v>19</v>
      </c>
      <c r="M249" t="s">
        <v>37</v>
      </c>
      <c r="N249" t="s">
        <v>38</v>
      </c>
      <c r="O249">
        <v>2148</v>
      </c>
      <c r="P249">
        <v>27384</v>
      </c>
      <c r="Q249" t="s">
        <v>39</v>
      </c>
      <c r="R249" t="s">
        <v>40</v>
      </c>
      <c r="S249" t="s">
        <v>41</v>
      </c>
      <c r="T249" t="s">
        <v>42</v>
      </c>
      <c r="U249" t="s">
        <v>43</v>
      </c>
      <c r="V249">
        <v>39818</v>
      </c>
      <c r="W249">
        <v>43311</v>
      </c>
      <c r="X249" t="s">
        <v>200</v>
      </c>
      <c r="Y249" t="s">
        <v>56</v>
      </c>
      <c r="Z249" t="s">
        <v>46</v>
      </c>
      <c r="AA249" t="s">
        <v>47</v>
      </c>
      <c r="AB249">
        <v>22</v>
      </c>
      <c r="AC249" t="s">
        <v>75</v>
      </c>
      <c r="AD249" t="s">
        <v>60</v>
      </c>
      <c r="AE249">
        <v>4.5999999999999996</v>
      </c>
      <c r="AF249">
        <v>5</v>
      </c>
      <c r="AG249">
        <v>0</v>
      </c>
      <c r="AH249" t="s">
        <v>535</v>
      </c>
      <c r="AI249">
        <v>0</v>
      </c>
      <c r="AJ249">
        <v>7</v>
      </c>
      <c r="AK249" t="str">
        <f t="shared" si="26"/>
        <v>Normal</v>
      </c>
      <c r="AL249" t="str">
        <f t="shared" si="27"/>
        <v>low Outlier</v>
      </c>
      <c r="AM249">
        <f ca="1">INT((TODAY()-HRDataset_v14[[#This Row],[DOB]])/365.25)</f>
        <v>51</v>
      </c>
      <c r="AN249">
        <f ca="1">DATEDIF(HRDataset_v14[[#This Row],[DateofHire]],TODAY(),"Y")</f>
        <v>17</v>
      </c>
      <c r="AO249">
        <f ca="1">IF(ISBLANK(HRDataset_v14[[#This Row],[DateofTermination]]),DATEDIF(HRDataset_v14[[#This Row],[DateofHire]],TODAY(),"Y"),DATEDIF(HRDataset_v14[[#This Row],[DateofHire]],HRDataset_v14[[#This Row],[DateofTermination]],"Y"))</f>
        <v>9</v>
      </c>
      <c r="AP249" t="str">
        <f ca="1">IF(HRDataset_v14[[#This Row],[Tenure in Years
]]&lt;1,"0-1 Year",IF(HRDataset_v14[[#This Row],[Tenure in Years
]]&lt;3,"1-3 Years",IF(HRDataset_v14[[#This Row],[Tenure in Years
]]&lt;5,"3-5 Years",IF(HRDataset_v14[[#This Row],[Tenure in Years
]]&lt;10,"5-10 Years","10+ Years"))))</f>
        <v>10+ Years</v>
      </c>
      <c r="AQ249" t="str">
        <f ca="1">IF(HRDataset_v14[[#This Row],[Age Calculation
]]&lt;26,"18-25",IF(HRDataset_v14[[#This Row],[Age Calculation
]]&lt;36,"26-35",IF(HRDataset_v14[[#This Row],[Age Calculation
]]&lt;46,"36-45",IF(HRDataset_v14[[#This Row],[Age Calculation
]]&lt;56,"46-55","55+"))))</f>
        <v>46-55</v>
      </c>
      <c r="AR249" t="str">
        <f>IF(HRDataset_v14[[#This Row],[Salary]]&lt;40000,"Entry (&lt;40K)",IF(HRDataset_v14[[#This Row],[Salary]]&lt;70000,"Mid (40-70K)",IF(HRDataset_v14[[#This Row],[Salary]]&lt;100000,"Senior (70-100K)","Executive (100K+)")))</f>
        <v>Mid (40-70K)</v>
      </c>
      <c r="AS249">
        <f>IF(HRDataset_v14[[#This Row],[EmploymentStatus]]="Active",1,0)</f>
        <v>0</v>
      </c>
      <c r="AT249">
        <f>YEAR(HRDataset_v14[[#This Row],[DateofHire]])</f>
        <v>2009</v>
      </c>
      <c r="AU249">
        <f>MONTH(HRDataset_v14[[#This Row],[DateofHire]])</f>
        <v>1</v>
      </c>
      <c r="AV249" t="str">
        <f>"Q"&amp;ROUNDUP(MONTH(HRDataset_v14[[#This Row],[DateofHire]])/3,0)</f>
        <v>Q1</v>
      </c>
      <c r="AW249" t="str">
        <f>TEXT(HRDataset_v14[[#This Row],[DateofHire]],"MMM")</f>
        <v>Jan</v>
      </c>
      <c r="AX249" t="str">
        <f>TEXT(HRDataset_v14[[#This Row],[DateofHire]],"YYYY-MM")</f>
        <v>2009-01</v>
      </c>
      <c r="AY249">
        <f>IF(ISBLANK(HRDataset_v14[[#This Row],[DateofTermination]]),"N/A",YEAR(HRDataset_v14[[#This Row],[DateofTermination]]))</f>
        <v>2018</v>
      </c>
      <c r="AZ249" t="str" cm="1">
        <f t="array" ref="AZ249">INDEX(_xlfn.UNIQUE(Z249:Z559),MATCH(MAX(COUNTIF(Z249:Z559,_xlfn.UNIQUE(Z249:Z559))),COUNTIF(Z249:Z559,_xlfn.UNIQUE(Z249:Z559)),0))</f>
        <v xml:space="preserve">Production       </v>
      </c>
      <c r="BA249">
        <f t="shared" si="32"/>
        <v>50</v>
      </c>
      <c r="BB249">
        <f t="shared" si="33"/>
        <v>2</v>
      </c>
      <c r="BC249" t="str">
        <f t="shared" si="28"/>
        <v>Medium</v>
      </c>
      <c r="BD249" t="str">
        <f t="shared" si="29"/>
        <v/>
      </c>
      <c r="BE249">
        <f t="shared" si="30"/>
        <v>4.5999999999999996</v>
      </c>
      <c r="BT249" t="str">
        <f t="shared" si="31"/>
        <v/>
      </c>
    </row>
    <row r="250" spans="1:72" x14ac:dyDescent="0.3">
      <c r="A250" t="s">
        <v>536</v>
      </c>
      <c r="B250">
        <v>10233</v>
      </c>
      <c r="C250">
        <v>1</v>
      </c>
      <c r="D250">
        <v>1</v>
      </c>
      <c r="E250">
        <v>1</v>
      </c>
      <c r="F250">
        <v>1</v>
      </c>
      <c r="G250">
        <v>5</v>
      </c>
      <c r="H250">
        <v>3</v>
      </c>
      <c r="I250">
        <v>0</v>
      </c>
      <c r="J250">
        <v>57975</v>
      </c>
      <c r="K250">
        <v>0</v>
      </c>
      <c r="L250">
        <v>20</v>
      </c>
      <c r="M250" t="s">
        <v>63</v>
      </c>
      <c r="N250" t="s">
        <v>38</v>
      </c>
      <c r="O250">
        <v>2062</v>
      </c>
      <c r="P250">
        <v>31528</v>
      </c>
      <c r="Q250" t="s">
        <v>39</v>
      </c>
      <c r="R250" t="s">
        <v>53</v>
      </c>
      <c r="S250" t="s">
        <v>41</v>
      </c>
      <c r="T250" t="s">
        <v>42</v>
      </c>
      <c r="U250" t="s">
        <v>43</v>
      </c>
      <c r="V250">
        <v>40420</v>
      </c>
      <c r="X250" t="s">
        <v>44</v>
      </c>
      <c r="Y250" t="s">
        <v>45</v>
      </c>
      <c r="Z250" t="s">
        <v>46</v>
      </c>
      <c r="AA250" t="s">
        <v>113</v>
      </c>
      <c r="AB250">
        <v>18</v>
      </c>
      <c r="AC250" t="s">
        <v>140</v>
      </c>
      <c r="AD250" t="s">
        <v>60</v>
      </c>
      <c r="AE250">
        <v>4.0999999999999996</v>
      </c>
      <c r="AF250">
        <v>3</v>
      </c>
      <c r="AG250">
        <v>0</v>
      </c>
      <c r="AH250" t="s">
        <v>136</v>
      </c>
      <c r="AI250">
        <v>0</v>
      </c>
      <c r="AJ250">
        <v>13</v>
      </c>
      <c r="AK250" t="str">
        <f t="shared" si="26"/>
        <v>Normal</v>
      </c>
      <c r="AL250" t="str">
        <f t="shared" si="27"/>
        <v>low Outlier</v>
      </c>
      <c r="AM250">
        <f ca="1">INT((TODAY()-HRDataset_v14[[#This Row],[DOB]])/365.25)</f>
        <v>39</v>
      </c>
      <c r="AN250">
        <f ca="1">DATEDIF(HRDataset_v14[[#This Row],[DateofHire]],TODAY(),"Y")</f>
        <v>15</v>
      </c>
      <c r="AO250">
        <f ca="1">IF(ISBLANK(HRDataset_v14[[#This Row],[DateofTermination]]),DATEDIF(HRDataset_v14[[#This Row],[DateofHire]],TODAY(),"Y"),DATEDIF(HRDataset_v14[[#This Row],[DateofHire]],HRDataset_v14[[#This Row],[DateofTermination]],"Y"))</f>
        <v>15</v>
      </c>
      <c r="AP250" t="str">
        <f ca="1">IF(HRDataset_v14[[#This Row],[Tenure in Years
]]&lt;1,"0-1 Year",IF(HRDataset_v14[[#This Row],[Tenure in Years
]]&lt;3,"1-3 Years",IF(HRDataset_v14[[#This Row],[Tenure in Years
]]&lt;5,"3-5 Years",IF(HRDataset_v14[[#This Row],[Tenure in Years
]]&lt;10,"5-10 Years","10+ Years"))))</f>
        <v>10+ Years</v>
      </c>
      <c r="AQ250" t="str">
        <f ca="1">IF(HRDataset_v14[[#This Row],[Age Calculation
]]&lt;26,"18-25",IF(HRDataset_v14[[#This Row],[Age Calculation
]]&lt;36,"26-35",IF(HRDataset_v14[[#This Row],[Age Calculation
]]&lt;46,"36-45",IF(HRDataset_v14[[#This Row],[Age Calculation
]]&lt;56,"46-55","55+"))))</f>
        <v>36-45</v>
      </c>
      <c r="AR250" t="str">
        <f>IF(HRDataset_v14[[#This Row],[Salary]]&lt;40000,"Entry (&lt;40K)",IF(HRDataset_v14[[#This Row],[Salary]]&lt;70000,"Mid (40-70K)",IF(HRDataset_v14[[#This Row],[Salary]]&lt;100000,"Senior (70-100K)","Executive (100K+)")))</f>
        <v>Mid (40-70K)</v>
      </c>
      <c r="AS250">
        <f>IF(HRDataset_v14[[#This Row],[EmploymentStatus]]="Active",1,0)</f>
        <v>1</v>
      </c>
      <c r="AT250">
        <f>YEAR(HRDataset_v14[[#This Row],[DateofHire]])</f>
        <v>2010</v>
      </c>
      <c r="AU250">
        <f>MONTH(HRDataset_v14[[#This Row],[DateofHire]])</f>
        <v>8</v>
      </c>
      <c r="AV250" t="str">
        <f>"Q"&amp;ROUNDUP(MONTH(HRDataset_v14[[#This Row],[DateofHire]])/3,0)</f>
        <v>Q3</v>
      </c>
      <c r="AW250" t="str">
        <f>TEXT(HRDataset_v14[[#This Row],[DateofHire]],"MMM")</f>
        <v>Aug</v>
      </c>
      <c r="AX250" t="str">
        <f>TEXT(HRDataset_v14[[#This Row],[DateofHire]],"YYYY-MM")</f>
        <v>2010-08</v>
      </c>
      <c r="AY250" t="str">
        <f>IF(ISBLANK(HRDataset_v14[[#This Row],[DateofTermination]]),"N/A",YEAR(HRDataset_v14[[#This Row],[DateofTermination]]))</f>
        <v>N/A</v>
      </c>
      <c r="AZ250" t="str" cm="1">
        <f t="array" ref="AZ250">INDEX(_xlfn.UNIQUE(Z250:Z560),MATCH(MAX(COUNTIF(Z250:Z560,_xlfn.UNIQUE(Z250:Z560))),COUNTIF(Z250:Z560,_xlfn.UNIQUE(Z250:Z560)),0))</f>
        <v xml:space="preserve">Production       </v>
      </c>
      <c r="BA250">
        <f t="shared" si="32"/>
        <v>33.333333333333329</v>
      </c>
      <c r="BB250">
        <f t="shared" si="33"/>
        <v>0</v>
      </c>
      <c r="BC250" t="str">
        <f t="shared" si="28"/>
        <v>Medium</v>
      </c>
      <c r="BD250">
        <f t="shared" si="29"/>
        <v>4.0999999999999996</v>
      </c>
      <c r="BE250" t="str">
        <f t="shared" si="30"/>
        <v/>
      </c>
      <c r="BT250">
        <f t="shared" si="31"/>
        <v>4.0999999999999996</v>
      </c>
    </row>
    <row r="251" spans="1:72" x14ac:dyDescent="0.3">
      <c r="A251" t="s">
        <v>537</v>
      </c>
      <c r="B251">
        <v>10229</v>
      </c>
      <c r="C251">
        <v>0</v>
      </c>
      <c r="D251">
        <v>2</v>
      </c>
      <c r="E251">
        <v>1</v>
      </c>
      <c r="F251">
        <v>5</v>
      </c>
      <c r="G251">
        <v>3</v>
      </c>
      <c r="H251">
        <v>3</v>
      </c>
      <c r="I251">
        <v>0</v>
      </c>
      <c r="J251">
        <v>88527</v>
      </c>
      <c r="K251">
        <v>1</v>
      </c>
      <c r="L251">
        <v>9</v>
      </c>
      <c r="M251" t="s">
        <v>538</v>
      </c>
      <c r="N251" t="s">
        <v>38</v>
      </c>
      <c r="O251">
        <v>2452</v>
      </c>
      <c r="P251">
        <v>32128</v>
      </c>
      <c r="Q251" t="s">
        <v>39</v>
      </c>
      <c r="R251" t="s">
        <v>72</v>
      </c>
      <c r="S251" t="s">
        <v>41</v>
      </c>
      <c r="T251" t="s">
        <v>42</v>
      </c>
      <c r="U251" t="s">
        <v>91</v>
      </c>
      <c r="V251">
        <v>42009</v>
      </c>
      <c r="W251">
        <v>42308</v>
      </c>
      <c r="X251" t="s">
        <v>65</v>
      </c>
      <c r="Y251" t="s">
        <v>56</v>
      </c>
      <c r="Z251" t="s">
        <v>57</v>
      </c>
      <c r="AA251" t="s">
        <v>58</v>
      </c>
      <c r="AB251">
        <v>4</v>
      </c>
      <c r="AC251" t="s">
        <v>48</v>
      </c>
      <c r="AD251" t="s">
        <v>60</v>
      </c>
      <c r="AE251">
        <v>4.2</v>
      </c>
      <c r="AF251">
        <v>3</v>
      </c>
      <c r="AG251">
        <v>5</v>
      </c>
      <c r="AH251" t="s">
        <v>539</v>
      </c>
      <c r="AI251">
        <v>0</v>
      </c>
      <c r="AJ251">
        <v>2</v>
      </c>
      <c r="AK251" t="str">
        <f t="shared" si="26"/>
        <v>Normal</v>
      </c>
      <c r="AL251" t="str">
        <f t="shared" si="27"/>
        <v>low Outlier</v>
      </c>
      <c r="AM251">
        <f ca="1">INT((TODAY()-HRDataset_v14[[#This Row],[DOB]])/365.25)</f>
        <v>38</v>
      </c>
      <c r="AN251">
        <f ca="1">DATEDIF(HRDataset_v14[[#This Row],[DateofHire]],TODAY(),"Y")</f>
        <v>11</v>
      </c>
      <c r="AO251">
        <f ca="1">IF(ISBLANK(HRDataset_v14[[#This Row],[DateofTermination]]),DATEDIF(HRDataset_v14[[#This Row],[DateofHire]],TODAY(),"Y"),DATEDIF(HRDataset_v14[[#This Row],[DateofHire]],HRDataset_v14[[#This Row],[DateofTermination]],"Y"))</f>
        <v>0</v>
      </c>
      <c r="AP251" t="str">
        <f ca="1">IF(HRDataset_v14[[#This Row],[Tenure in Years
]]&lt;1,"0-1 Year",IF(HRDataset_v14[[#This Row],[Tenure in Years
]]&lt;3,"1-3 Years",IF(HRDataset_v14[[#This Row],[Tenure in Years
]]&lt;5,"3-5 Years",IF(HRDataset_v14[[#This Row],[Tenure in Years
]]&lt;10,"5-10 Years","10+ Years"))))</f>
        <v>10+ Years</v>
      </c>
      <c r="AQ251" t="str">
        <f ca="1">IF(HRDataset_v14[[#This Row],[Age Calculation
]]&lt;26,"18-25",IF(HRDataset_v14[[#This Row],[Age Calculation
]]&lt;36,"26-35",IF(HRDataset_v14[[#This Row],[Age Calculation
]]&lt;46,"36-45",IF(HRDataset_v14[[#This Row],[Age Calculation
]]&lt;56,"46-55","55+"))))</f>
        <v>36-45</v>
      </c>
      <c r="AR251" t="str">
        <f>IF(HRDataset_v14[[#This Row],[Salary]]&lt;40000,"Entry (&lt;40K)",IF(HRDataset_v14[[#This Row],[Salary]]&lt;70000,"Mid (40-70K)",IF(HRDataset_v14[[#This Row],[Salary]]&lt;100000,"Senior (70-100K)","Executive (100K+)")))</f>
        <v>Senior (70-100K)</v>
      </c>
      <c r="AS251">
        <f>IF(HRDataset_v14[[#This Row],[EmploymentStatus]]="Active",1,0)</f>
        <v>0</v>
      </c>
      <c r="AT251">
        <f>YEAR(HRDataset_v14[[#This Row],[DateofHire]])</f>
        <v>2015</v>
      </c>
      <c r="AU251">
        <f>MONTH(HRDataset_v14[[#This Row],[DateofHire]])</f>
        <v>1</v>
      </c>
      <c r="AV251" t="str">
        <f>"Q"&amp;ROUNDUP(MONTH(HRDataset_v14[[#This Row],[DateofHire]])/3,0)</f>
        <v>Q1</v>
      </c>
      <c r="AW251" t="str">
        <f>TEXT(HRDataset_v14[[#This Row],[DateofHire]],"MMM")</f>
        <v>Jan</v>
      </c>
      <c r="AX251" t="str">
        <f>TEXT(HRDataset_v14[[#This Row],[DateofHire]],"YYYY-MM")</f>
        <v>2015-01</v>
      </c>
      <c r="AY251">
        <f>IF(ISBLANK(HRDataset_v14[[#This Row],[DateofTermination]]),"N/A",YEAR(HRDataset_v14[[#This Row],[DateofTermination]]))</f>
        <v>2015</v>
      </c>
      <c r="AZ251" t="str" cm="1">
        <f t="array" ref="AZ251">INDEX(_xlfn.UNIQUE(Z251:Z561),MATCH(MAX(COUNTIF(Z251:Z561,_xlfn.UNIQUE(Z251:Z561))),COUNTIF(Z251:Z561,_xlfn.UNIQUE(Z251:Z561)),0))</f>
        <v xml:space="preserve">Production       </v>
      </c>
      <c r="BA251">
        <f t="shared" si="32"/>
        <v>50</v>
      </c>
      <c r="BB251">
        <f t="shared" si="33"/>
        <v>2</v>
      </c>
      <c r="BC251" t="str">
        <f t="shared" si="28"/>
        <v>Medium</v>
      </c>
      <c r="BD251" t="str">
        <f t="shared" si="29"/>
        <v/>
      </c>
      <c r="BE251">
        <f t="shared" si="30"/>
        <v>4.2</v>
      </c>
      <c r="BT251" t="str">
        <f t="shared" si="31"/>
        <v/>
      </c>
    </row>
    <row r="252" spans="1:72" x14ac:dyDescent="0.3">
      <c r="A252" t="s">
        <v>540</v>
      </c>
      <c r="B252">
        <v>10169</v>
      </c>
      <c r="C252">
        <v>1</v>
      </c>
      <c r="D252">
        <v>1</v>
      </c>
      <c r="E252">
        <v>0</v>
      </c>
      <c r="F252">
        <v>1</v>
      </c>
      <c r="G252">
        <v>5</v>
      </c>
      <c r="H252">
        <v>3</v>
      </c>
      <c r="I252">
        <v>0</v>
      </c>
      <c r="J252">
        <v>56147</v>
      </c>
      <c r="K252">
        <v>0</v>
      </c>
      <c r="L252">
        <v>19</v>
      </c>
      <c r="M252" t="s">
        <v>37</v>
      </c>
      <c r="N252" t="s">
        <v>38</v>
      </c>
      <c r="O252">
        <v>2154</v>
      </c>
      <c r="P252">
        <v>32334</v>
      </c>
      <c r="Q252" t="s">
        <v>64</v>
      </c>
      <c r="R252" t="s">
        <v>53</v>
      </c>
      <c r="S252" t="s">
        <v>41</v>
      </c>
      <c r="T252" t="s">
        <v>42</v>
      </c>
      <c r="U252" t="s">
        <v>91</v>
      </c>
      <c r="V252">
        <v>41911</v>
      </c>
      <c r="X252" t="s">
        <v>44</v>
      </c>
      <c r="Y252" t="s">
        <v>45</v>
      </c>
      <c r="Z252" t="s">
        <v>46</v>
      </c>
      <c r="AA252" t="s">
        <v>69</v>
      </c>
      <c r="AB252">
        <v>16</v>
      </c>
      <c r="AC252" t="s">
        <v>48</v>
      </c>
      <c r="AD252" t="s">
        <v>60</v>
      </c>
      <c r="AE252">
        <v>3.51</v>
      </c>
      <c r="AF252">
        <v>3</v>
      </c>
      <c r="AG252">
        <v>0</v>
      </c>
      <c r="AH252" t="s">
        <v>98</v>
      </c>
      <c r="AI252">
        <v>0</v>
      </c>
      <c r="AJ252">
        <v>2</v>
      </c>
      <c r="AK252" t="str">
        <f t="shared" si="26"/>
        <v>Normal</v>
      </c>
      <c r="AL252" t="str">
        <f t="shared" si="27"/>
        <v>low Outlier</v>
      </c>
      <c r="AM252">
        <f ca="1">INT((TODAY()-HRDataset_v14[[#This Row],[DOB]])/365.25)</f>
        <v>37</v>
      </c>
      <c r="AN252">
        <f ca="1">DATEDIF(HRDataset_v14[[#This Row],[DateofHire]],TODAY(),"Y")</f>
        <v>11</v>
      </c>
      <c r="AO252">
        <f ca="1">IF(ISBLANK(HRDataset_v14[[#This Row],[DateofTermination]]),DATEDIF(HRDataset_v14[[#This Row],[DateofHire]],TODAY(),"Y"),DATEDIF(HRDataset_v14[[#This Row],[DateofHire]],HRDataset_v14[[#This Row],[DateofTermination]],"Y"))</f>
        <v>11</v>
      </c>
      <c r="AP252" t="str">
        <f ca="1">IF(HRDataset_v14[[#This Row],[Tenure in Years
]]&lt;1,"0-1 Year",IF(HRDataset_v14[[#This Row],[Tenure in Years
]]&lt;3,"1-3 Years",IF(HRDataset_v14[[#This Row],[Tenure in Years
]]&lt;5,"3-5 Years",IF(HRDataset_v14[[#This Row],[Tenure in Years
]]&lt;10,"5-10 Years","10+ Years"))))</f>
        <v>10+ Years</v>
      </c>
      <c r="AQ252" t="str">
        <f ca="1">IF(HRDataset_v14[[#This Row],[Age Calculation
]]&lt;26,"18-25",IF(HRDataset_v14[[#This Row],[Age Calculation
]]&lt;36,"26-35",IF(HRDataset_v14[[#This Row],[Age Calculation
]]&lt;46,"36-45",IF(HRDataset_v14[[#This Row],[Age Calculation
]]&lt;56,"46-55","55+"))))</f>
        <v>36-45</v>
      </c>
      <c r="AR252" t="str">
        <f>IF(HRDataset_v14[[#This Row],[Salary]]&lt;40000,"Entry (&lt;40K)",IF(HRDataset_v14[[#This Row],[Salary]]&lt;70000,"Mid (40-70K)",IF(HRDataset_v14[[#This Row],[Salary]]&lt;100000,"Senior (70-100K)","Executive (100K+)")))</f>
        <v>Mid (40-70K)</v>
      </c>
      <c r="AS252">
        <f>IF(HRDataset_v14[[#This Row],[EmploymentStatus]]="Active",1,0)</f>
        <v>1</v>
      </c>
      <c r="AT252">
        <f>YEAR(HRDataset_v14[[#This Row],[DateofHire]])</f>
        <v>2014</v>
      </c>
      <c r="AU252">
        <f>MONTH(HRDataset_v14[[#This Row],[DateofHire]])</f>
        <v>9</v>
      </c>
      <c r="AV252" t="str">
        <f>"Q"&amp;ROUNDUP(MONTH(HRDataset_v14[[#This Row],[DateofHire]])/3,0)</f>
        <v>Q3</v>
      </c>
      <c r="AW252" t="str">
        <f>TEXT(HRDataset_v14[[#This Row],[DateofHire]],"MMM")</f>
        <v>Sep</v>
      </c>
      <c r="AX252" t="str">
        <f>TEXT(HRDataset_v14[[#This Row],[DateofHire]],"YYYY-MM")</f>
        <v>2014-09</v>
      </c>
      <c r="AY252" t="str">
        <f>IF(ISBLANK(HRDataset_v14[[#This Row],[DateofTermination]]),"N/A",YEAR(HRDataset_v14[[#This Row],[DateofTermination]]))</f>
        <v>N/A</v>
      </c>
      <c r="AZ252" t="str" cm="1">
        <f t="array" ref="AZ252">INDEX(_xlfn.UNIQUE(Z252:Z562),MATCH(MAX(COUNTIF(Z252:Z562,_xlfn.UNIQUE(Z252:Z562))),COUNTIF(Z252:Z562,_xlfn.UNIQUE(Z252:Z562)),0))</f>
        <v xml:space="preserve">Production       </v>
      </c>
      <c r="BA252">
        <f t="shared" si="32"/>
        <v>40</v>
      </c>
      <c r="BB252">
        <f t="shared" si="33"/>
        <v>0</v>
      </c>
      <c r="BC252" t="str">
        <f t="shared" si="28"/>
        <v>Medium</v>
      </c>
      <c r="BD252">
        <f t="shared" si="29"/>
        <v>3.51</v>
      </c>
      <c r="BE252" t="str">
        <f t="shared" si="30"/>
        <v/>
      </c>
      <c r="BT252">
        <f t="shared" si="31"/>
        <v>3.51</v>
      </c>
    </row>
    <row r="253" spans="1:72" x14ac:dyDescent="0.3">
      <c r="A253" t="s">
        <v>541</v>
      </c>
      <c r="B253">
        <v>10071</v>
      </c>
      <c r="C253">
        <v>0</v>
      </c>
      <c r="D253">
        <v>0</v>
      </c>
      <c r="E253">
        <v>0</v>
      </c>
      <c r="F253">
        <v>3</v>
      </c>
      <c r="G253">
        <v>5</v>
      </c>
      <c r="H253">
        <v>3</v>
      </c>
      <c r="I253">
        <v>0</v>
      </c>
      <c r="J253">
        <v>50923</v>
      </c>
      <c r="K253">
        <v>0</v>
      </c>
      <c r="L253">
        <v>19</v>
      </c>
      <c r="M253" t="s">
        <v>37</v>
      </c>
      <c r="N253" t="s">
        <v>38</v>
      </c>
      <c r="O253">
        <v>2191</v>
      </c>
      <c r="P253">
        <v>27463</v>
      </c>
      <c r="Q253" t="s">
        <v>64</v>
      </c>
      <c r="R253" t="s">
        <v>40</v>
      </c>
      <c r="S253" t="s">
        <v>41</v>
      </c>
      <c r="T253" t="s">
        <v>42</v>
      </c>
      <c r="U253" t="s">
        <v>132</v>
      </c>
      <c r="V253">
        <v>41547</v>
      </c>
      <c r="X253" t="s">
        <v>44</v>
      </c>
      <c r="Y253" t="s">
        <v>45</v>
      </c>
      <c r="Z253" t="s">
        <v>46</v>
      </c>
      <c r="AA253" t="s">
        <v>74</v>
      </c>
      <c r="AC253" t="s">
        <v>75</v>
      </c>
      <c r="AD253" t="s">
        <v>60</v>
      </c>
      <c r="AE253">
        <v>5</v>
      </c>
      <c r="AF253">
        <v>5</v>
      </c>
      <c r="AG253">
        <v>0</v>
      </c>
      <c r="AH253" t="s">
        <v>393</v>
      </c>
      <c r="AI253">
        <v>0</v>
      </c>
      <c r="AJ253">
        <v>14</v>
      </c>
      <c r="AK253" t="str">
        <f t="shared" si="26"/>
        <v>Normal</v>
      </c>
      <c r="AL253" t="str">
        <f t="shared" si="27"/>
        <v>low Outlier</v>
      </c>
      <c r="AM253">
        <f ca="1">INT((TODAY()-HRDataset_v14[[#This Row],[DOB]])/365.25)</f>
        <v>51</v>
      </c>
      <c r="AN253">
        <f ca="1">DATEDIF(HRDataset_v14[[#This Row],[DateofHire]],TODAY(),"Y")</f>
        <v>12</v>
      </c>
      <c r="AO253">
        <f ca="1">IF(ISBLANK(HRDataset_v14[[#This Row],[DateofTermination]]),DATEDIF(HRDataset_v14[[#This Row],[DateofHire]],TODAY(),"Y"),DATEDIF(HRDataset_v14[[#This Row],[DateofHire]],HRDataset_v14[[#This Row],[DateofTermination]],"Y"))</f>
        <v>12</v>
      </c>
      <c r="AP253" t="str">
        <f ca="1">IF(HRDataset_v14[[#This Row],[Tenure in Years
]]&lt;1,"0-1 Year",IF(HRDataset_v14[[#This Row],[Tenure in Years
]]&lt;3,"1-3 Years",IF(HRDataset_v14[[#This Row],[Tenure in Years
]]&lt;5,"3-5 Years",IF(HRDataset_v14[[#This Row],[Tenure in Years
]]&lt;10,"5-10 Years","10+ Years"))))</f>
        <v>10+ Years</v>
      </c>
      <c r="AQ253" t="str">
        <f ca="1">IF(HRDataset_v14[[#This Row],[Age Calculation
]]&lt;26,"18-25",IF(HRDataset_v14[[#This Row],[Age Calculation
]]&lt;36,"26-35",IF(HRDataset_v14[[#This Row],[Age Calculation
]]&lt;46,"36-45",IF(HRDataset_v14[[#This Row],[Age Calculation
]]&lt;56,"46-55","55+"))))</f>
        <v>46-55</v>
      </c>
      <c r="AR253" t="str">
        <f>IF(HRDataset_v14[[#This Row],[Salary]]&lt;40000,"Entry (&lt;40K)",IF(HRDataset_v14[[#This Row],[Salary]]&lt;70000,"Mid (40-70K)",IF(HRDataset_v14[[#This Row],[Salary]]&lt;100000,"Senior (70-100K)","Executive (100K+)")))</f>
        <v>Mid (40-70K)</v>
      </c>
      <c r="AS253">
        <f>IF(HRDataset_v14[[#This Row],[EmploymentStatus]]="Active",1,0)</f>
        <v>1</v>
      </c>
      <c r="AT253">
        <f>YEAR(HRDataset_v14[[#This Row],[DateofHire]])</f>
        <v>2013</v>
      </c>
      <c r="AU253">
        <f>MONTH(HRDataset_v14[[#This Row],[DateofHire]])</f>
        <v>9</v>
      </c>
      <c r="AV253" t="str">
        <f>"Q"&amp;ROUNDUP(MONTH(HRDataset_v14[[#This Row],[DateofHire]])/3,0)</f>
        <v>Q3</v>
      </c>
      <c r="AW253" t="str">
        <f>TEXT(HRDataset_v14[[#This Row],[DateofHire]],"MMM")</f>
        <v>Sep</v>
      </c>
      <c r="AX253" t="str">
        <f>TEXT(HRDataset_v14[[#This Row],[DateofHire]],"YYYY-MM")</f>
        <v>2013-09</v>
      </c>
      <c r="AY253" t="str">
        <f>IF(ISBLANK(HRDataset_v14[[#This Row],[DateofTermination]]),"N/A",YEAR(HRDataset_v14[[#This Row],[DateofTermination]]))</f>
        <v>N/A</v>
      </c>
      <c r="AZ253" t="str" cm="1">
        <f t="array" ref="AZ253">INDEX(_xlfn.UNIQUE(Z253:Z563),MATCH(MAX(COUNTIF(Z253:Z563,_xlfn.UNIQUE(Z253:Z563))),COUNTIF(Z253:Z563,_xlfn.UNIQUE(Z253:Z563)),0))</f>
        <v xml:space="preserve">Production       </v>
      </c>
      <c r="BA253">
        <f t="shared" si="32"/>
        <v>75</v>
      </c>
      <c r="BB253">
        <f t="shared" si="33"/>
        <v>0</v>
      </c>
      <c r="BC253" t="str">
        <f t="shared" si="28"/>
        <v>Medium</v>
      </c>
      <c r="BD253">
        <f t="shared" si="29"/>
        <v>5</v>
      </c>
      <c r="BE253" t="str">
        <f t="shared" si="30"/>
        <v/>
      </c>
      <c r="BT253">
        <f t="shared" si="31"/>
        <v>5</v>
      </c>
    </row>
    <row r="254" spans="1:72" x14ac:dyDescent="0.3">
      <c r="A254" t="s">
        <v>542</v>
      </c>
      <c r="B254">
        <v>10179</v>
      </c>
      <c r="C254">
        <v>1</v>
      </c>
      <c r="D254">
        <v>1</v>
      </c>
      <c r="E254">
        <v>0</v>
      </c>
      <c r="F254">
        <v>1</v>
      </c>
      <c r="G254">
        <v>3</v>
      </c>
      <c r="H254">
        <v>3</v>
      </c>
      <c r="I254">
        <v>0</v>
      </c>
      <c r="J254">
        <v>50750</v>
      </c>
      <c r="K254">
        <v>0</v>
      </c>
      <c r="L254">
        <v>15</v>
      </c>
      <c r="M254" t="s">
        <v>289</v>
      </c>
      <c r="N254" t="s">
        <v>38</v>
      </c>
      <c r="O254">
        <v>1773</v>
      </c>
      <c r="P254">
        <v>29690</v>
      </c>
      <c r="Q254" t="s">
        <v>64</v>
      </c>
      <c r="R254" t="s">
        <v>53</v>
      </c>
      <c r="S254" t="s">
        <v>41</v>
      </c>
      <c r="T254" t="s">
        <v>42</v>
      </c>
      <c r="U254" t="s">
        <v>43</v>
      </c>
      <c r="V254">
        <v>41912</v>
      </c>
      <c r="X254" t="s">
        <v>44</v>
      </c>
      <c r="Y254" t="s">
        <v>45</v>
      </c>
      <c r="Z254" t="s">
        <v>57</v>
      </c>
      <c r="AA254" t="s">
        <v>97</v>
      </c>
      <c r="AB254">
        <v>7</v>
      </c>
      <c r="AC254" t="s">
        <v>48</v>
      </c>
      <c r="AD254" t="s">
        <v>60</v>
      </c>
      <c r="AE254">
        <v>3.31</v>
      </c>
      <c r="AF254">
        <v>3</v>
      </c>
      <c r="AG254">
        <v>6</v>
      </c>
      <c r="AH254" t="s">
        <v>79</v>
      </c>
      <c r="AI254">
        <v>0</v>
      </c>
      <c r="AJ254">
        <v>7</v>
      </c>
      <c r="AK254" t="str">
        <f t="shared" si="26"/>
        <v>Normal</v>
      </c>
      <c r="AL254" t="str">
        <f t="shared" si="27"/>
        <v>low Outlier</v>
      </c>
      <c r="AM254">
        <f ca="1">INT((TODAY()-HRDataset_v14[[#This Row],[DOB]])/365.25)</f>
        <v>44</v>
      </c>
      <c r="AN254">
        <f ca="1">DATEDIF(HRDataset_v14[[#This Row],[DateofHire]],TODAY(),"Y")</f>
        <v>11</v>
      </c>
      <c r="AO254">
        <f ca="1">IF(ISBLANK(HRDataset_v14[[#This Row],[DateofTermination]]),DATEDIF(HRDataset_v14[[#This Row],[DateofHire]],TODAY(),"Y"),DATEDIF(HRDataset_v14[[#This Row],[DateofHire]],HRDataset_v14[[#This Row],[DateofTermination]],"Y"))</f>
        <v>11</v>
      </c>
      <c r="AP254" t="str">
        <f ca="1">IF(HRDataset_v14[[#This Row],[Tenure in Years
]]&lt;1,"0-1 Year",IF(HRDataset_v14[[#This Row],[Tenure in Years
]]&lt;3,"1-3 Years",IF(HRDataset_v14[[#This Row],[Tenure in Years
]]&lt;5,"3-5 Years",IF(HRDataset_v14[[#This Row],[Tenure in Years
]]&lt;10,"5-10 Years","10+ Years"))))</f>
        <v>10+ Years</v>
      </c>
      <c r="AQ254" t="str">
        <f ca="1">IF(HRDataset_v14[[#This Row],[Age Calculation
]]&lt;26,"18-25",IF(HRDataset_v14[[#This Row],[Age Calculation
]]&lt;36,"26-35",IF(HRDataset_v14[[#This Row],[Age Calculation
]]&lt;46,"36-45",IF(HRDataset_v14[[#This Row],[Age Calculation
]]&lt;56,"46-55","55+"))))</f>
        <v>36-45</v>
      </c>
      <c r="AR254" t="str">
        <f>IF(HRDataset_v14[[#This Row],[Salary]]&lt;40000,"Entry (&lt;40K)",IF(HRDataset_v14[[#This Row],[Salary]]&lt;70000,"Mid (40-70K)",IF(HRDataset_v14[[#This Row],[Salary]]&lt;100000,"Senior (70-100K)","Executive (100K+)")))</f>
        <v>Mid (40-70K)</v>
      </c>
      <c r="AS254">
        <f>IF(HRDataset_v14[[#This Row],[EmploymentStatus]]="Active",1,0)</f>
        <v>1</v>
      </c>
      <c r="AT254">
        <f>YEAR(HRDataset_v14[[#This Row],[DateofHire]])</f>
        <v>2014</v>
      </c>
      <c r="AU254">
        <f>MONTH(HRDataset_v14[[#This Row],[DateofHire]])</f>
        <v>9</v>
      </c>
      <c r="AV254" t="str">
        <f>"Q"&amp;ROUNDUP(MONTH(HRDataset_v14[[#This Row],[DateofHire]])/3,0)</f>
        <v>Q3</v>
      </c>
      <c r="AW254" t="str">
        <f>TEXT(HRDataset_v14[[#This Row],[DateofHire]],"MMM")</f>
        <v>Sep</v>
      </c>
      <c r="AX254" t="str">
        <f>TEXT(HRDataset_v14[[#This Row],[DateofHire]],"YYYY-MM")</f>
        <v>2014-09</v>
      </c>
      <c r="AY254" t="str">
        <f>IF(ISBLANK(HRDataset_v14[[#This Row],[DateofTermination]]),"N/A",YEAR(HRDataset_v14[[#This Row],[DateofTermination]]))</f>
        <v>N/A</v>
      </c>
      <c r="AZ254" t="str" cm="1">
        <f t="array" ref="AZ254">INDEX(_xlfn.UNIQUE(Z254:Z564),MATCH(MAX(COUNTIF(Z254:Z564,_xlfn.UNIQUE(Z254:Z564))),COUNTIF(Z254:Z564,_xlfn.UNIQUE(Z254:Z564)),0))</f>
        <v xml:space="preserve">Production       </v>
      </c>
      <c r="BA254">
        <f t="shared" si="32"/>
        <v>20</v>
      </c>
      <c r="BB254">
        <f t="shared" si="33"/>
        <v>0</v>
      </c>
      <c r="BC254" t="str">
        <f t="shared" si="28"/>
        <v>Medium</v>
      </c>
      <c r="BD254">
        <f t="shared" si="29"/>
        <v>3.31</v>
      </c>
      <c r="BE254" t="str">
        <f t="shared" si="30"/>
        <v/>
      </c>
      <c r="BT254">
        <f t="shared" si="31"/>
        <v>3.31</v>
      </c>
    </row>
    <row r="255" spans="1:72" x14ac:dyDescent="0.3">
      <c r="A255" t="s">
        <v>543</v>
      </c>
      <c r="B255">
        <v>10091</v>
      </c>
      <c r="C255">
        <v>1</v>
      </c>
      <c r="D255">
        <v>1</v>
      </c>
      <c r="E255">
        <v>0</v>
      </c>
      <c r="F255">
        <v>1</v>
      </c>
      <c r="G255">
        <v>5</v>
      </c>
      <c r="H255">
        <v>3</v>
      </c>
      <c r="I255">
        <v>0</v>
      </c>
      <c r="J255">
        <v>52087</v>
      </c>
      <c r="K255">
        <v>0</v>
      </c>
      <c r="L255">
        <v>19</v>
      </c>
      <c r="M255" t="s">
        <v>37</v>
      </c>
      <c r="N255" t="s">
        <v>38</v>
      </c>
      <c r="O255">
        <v>2149</v>
      </c>
      <c r="P255">
        <v>31283</v>
      </c>
      <c r="Q255" t="s">
        <v>64</v>
      </c>
      <c r="R255" t="s">
        <v>53</v>
      </c>
      <c r="S255" t="s">
        <v>41</v>
      </c>
      <c r="T255" t="s">
        <v>42</v>
      </c>
      <c r="U255" t="s">
        <v>43</v>
      </c>
      <c r="V255">
        <v>41505</v>
      </c>
      <c r="X255" t="s">
        <v>44</v>
      </c>
      <c r="Y255" t="s">
        <v>45</v>
      </c>
      <c r="Z255" t="s">
        <v>46</v>
      </c>
      <c r="AA255" t="s">
        <v>78</v>
      </c>
      <c r="AB255">
        <v>11</v>
      </c>
      <c r="AC255" t="s">
        <v>48</v>
      </c>
      <c r="AD255" t="s">
        <v>60</v>
      </c>
      <c r="AE255">
        <v>4.8099999999999996</v>
      </c>
      <c r="AF255">
        <v>4</v>
      </c>
      <c r="AG255">
        <v>0</v>
      </c>
      <c r="AH255" t="s">
        <v>334</v>
      </c>
      <c r="AI255">
        <v>0</v>
      </c>
      <c r="AJ255">
        <v>15</v>
      </c>
      <c r="AK255" t="str">
        <f t="shared" si="26"/>
        <v>Normal</v>
      </c>
      <c r="AL255" t="str">
        <f t="shared" si="27"/>
        <v>low Outlier</v>
      </c>
      <c r="AM255">
        <f ca="1">INT((TODAY()-HRDataset_v14[[#This Row],[DOB]])/365.25)</f>
        <v>40</v>
      </c>
      <c r="AN255">
        <f ca="1">DATEDIF(HRDataset_v14[[#This Row],[DateofHire]],TODAY(),"Y")</f>
        <v>12</v>
      </c>
      <c r="AO255">
        <f ca="1">IF(ISBLANK(HRDataset_v14[[#This Row],[DateofTermination]]),DATEDIF(HRDataset_v14[[#This Row],[DateofHire]],TODAY(),"Y"),DATEDIF(HRDataset_v14[[#This Row],[DateofHire]],HRDataset_v14[[#This Row],[DateofTermination]],"Y"))</f>
        <v>12</v>
      </c>
      <c r="AP255" t="str">
        <f ca="1">IF(HRDataset_v14[[#This Row],[Tenure in Years
]]&lt;1,"0-1 Year",IF(HRDataset_v14[[#This Row],[Tenure in Years
]]&lt;3,"1-3 Years",IF(HRDataset_v14[[#This Row],[Tenure in Years
]]&lt;5,"3-5 Years",IF(HRDataset_v14[[#This Row],[Tenure in Years
]]&lt;10,"5-10 Years","10+ Years"))))</f>
        <v>10+ Years</v>
      </c>
      <c r="AQ255" t="str">
        <f ca="1">IF(HRDataset_v14[[#This Row],[Age Calculation
]]&lt;26,"18-25",IF(HRDataset_v14[[#This Row],[Age Calculation
]]&lt;36,"26-35",IF(HRDataset_v14[[#This Row],[Age Calculation
]]&lt;46,"36-45",IF(HRDataset_v14[[#This Row],[Age Calculation
]]&lt;56,"46-55","55+"))))</f>
        <v>36-45</v>
      </c>
      <c r="AR255" t="str">
        <f>IF(HRDataset_v14[[#This Row],[Salary]]&lt;40000,"Entry (&lt;40K)",IF(HRDataset_v14[[#This Row],[Salary]]&lt;70000,"Mid (40-70K)",IF(HRDataset_v14[[#This Row],[Salary]]&lt;100000,"Senior (70-100K)","Executive (100K+)")))</f>
        <v>Mid (40-70K)</v>
      </c>
      <c r="AS255">
        <f>IF(HRDataset_v14[[#This Row],[EmploymentStatus]]="Active",1,0)</f>
        <v>1</v>
      </c>
      <c r="AT255">
        <f>YEAR(HRDataset_v14[[#This Row],[DateofHire]])</f>
        <v>2013</v>
      </c>
      <c r="AU255">
        <f>MONTH(HRDataset_v14[[#This Row],[DateofHire]])</f>
        <v>8</v>
      </c>
      <c r="AV255" t="str">
        <f>"Q"&amp;ROUNDUP(MONTH(HRDataset_v14[[#This Row],[DateofHire]])/3,0)</f>
        <v>Q3</v>
      </c>
      <c r="AW255" t="str">
        <f>TEXT(HRDataset_v14[[#This Row],[DateofHire]],"MMM")</f>
        <v>Aug</v>
      </c>
      <c r="AX255" t="str">
        <f>TEXT(HRDataset_v14[[#This Row],[DateofHire]],"YYYY-MM")</f>
        <v>2013-08</v>
      </c>
      <c r="AY255" t="str">
        <f>IF(ISBLANK(HRDataset_v14[[#This Row],[DateofTermination]]),"N/A",YEAR(HRDataset_v14[[#This Row],[DateofTermination]]))</f>
        <v>N/A</v>
      </c>
      <c r="AZ255" t="str" cm="1">
        <f t="array" ref="AZ255">INDEX(_xlfn.UNIQUE(Z255:Z565),MATCH(MAX(COUNTIF(Z255:Z565,_xlfn.UNIQUE(Z255:Z565))),COUNTIF(Z255:Z565,_xlfn.UNIQUE(Z255:Z565)),0))</f>
        <v xml:space="preserve">Production       </v>
      </c>
      <c r="BA255">
        <f t="shared" si="32"/>
        <v>75</v>
      </c>
      <c r="BB255">
        <f t="shared" si="33"/>
        <v>0</v>
      </c>
      <c r="BC255" t="str">
        <f t="shared" si="28"/>
        <v>Medium</v>
      </c>
      <c r="BD255">
        <f t="shared" si="29"/>
        <v>4.8099999999999996</v>
      </c>
      <c r="BE255" t="str">
        <f t="shared" si="30"/>
        <v/>
      </c>
      <c r="BT255">
        <f t="shared" si="31"/>
        <v>4.8099999999999996</v>
      </c>
    </row>
    <row r="256" spans="1:72" x14ac:dyDescent="0.3">
      <c r="A256" t="s">
        <v>544</v>
      </c>
      <c r="B256">
        <v>10178</v>
      </c>
      <c r="C256">
        <v>1</v>
      </c>
      <c r="D256">
        <v>1</v>
      </c>
      <c r="E256">
        <v>1</v>
      </c>
      <c r="F256">
        <v>1</v>
      </c>
      <c r="G256">
        <v>3</v>
      </c>
      <c r="H256">
        <v>3</v>
      </c>
      <c r="I256">
        <v>0</v>
      </c>
      <c r="J256">
        <v>87826</v>
      </c>
      <c r="K256">
        <v>0</v>
      </c>
      <c r="L256">
        <v>9</v>
      </c>
      <c r="M256" t="s">
        <v>108</v>
      </c>
      <c r="N256" t="s">
        <v>38</v>
      </c>
      <c r="O256">
        <v>2110</v>
      </c>
      <c r="P256">
        <v>25607</v>
      </c>
      <c r="Q256" t="s">
        <v>39</v>
      </c>
      <c r="R256" t="s">
        <v>53</v>
      </c>
      <c r="S256" t="s">
        <v>41</v>
      </c>
      <c r="T256" t="s">
        <v>100</v>
      </c>
      <c r="U256" t="s">
        <v>43</v>
      </c>
      <c r="V256">
        <v>42009</v>
      </c>
      <c r="X256" t="s">
        <v>44</v>
      </c>
      <c r="Y256" t="s">
        <v>45</v>
      </c>
      <c r="Z256" t="s">
        <v>57</v>
      </c>
      <c r="AA256" t="s">
        <v>58</v>
      </c>
      <c r="AB256">
        <v>4</v>
      </c>
      <c r="AC256" t="s">
        <v>88</v>
      </c>
      <c r="AD256" t="s">
        <v>60</v>
      </c>
      <c r="AE256">
        <v>3.32</v>
      </c>
      <c r="AF256">
        <v>3</v>
      </c>
      <c r="AG256">
        <v>7</v>
      </c>
      <c r="AH256" t="s">
        <v>124</v>
      </c>
      <c r="AI256">
        <v>0</v>
      </c>
      <c r="AJ256">
        <v>16</v>
      </c>
      <c r="AK256" t="str">
        <f t="shared" si="26"/>
        <v>Normal</v>
      </c>
      <c r="AL256" t="str">
        <f t="shared" si="27"/>
        <v>low Outlier</v>
      </c>
      <c r="AM256">
        <f ca="1">INT((TODAY()-HRDataset_v14[[#This Row],[DOB]])/365.25)</f>
        <v>56</v>
      </c>
      <c r="AN256">
        <f ca="1">DATEDIF(HRDataset_v14[[#This Row],[DateofHire]],TODAY(),"Y")</f>
        <v>11</v>
      </c>
      <c r="AO256">
        <f ca="1">IF(ISBLANK(HRDataset_v14[[#This Row],[DateofTermination]]),DATEDIF(HRDataset_v14[[#This Row],[DateofHire]],TODAY(),"Y"),DATEDIF(HRDataset_v14[[#This Row],[DateofHire]],HRDataset_v14[[#This Row],[DateofTermination]],"Y"))</f>
        <v>11</v>
      </c>
      <c r="AP256" t="str">
        <f ca="1">IF(HRDataset_v14[[#This Row],[Tenure in Years
]]&lt;1,"0-1 Year",IF(HRDataset_v14[[#This Row],[Tenure in Years
]]&lt;3,"1-3 Years",IF(HRDataset_v14[[#This Row],[Tenure in Years
]]&lt;5,"3-5 Years",IF(HRDataset_v14[[#This Row],[Tenure in Years
]]&lt;10,"5-10 Years","10+ Years"))))</f>
        <v>10+ Years</v>
      </c>
      <c r="AQ256" t="str">
        <f ca="1">IF(HRDataset_v14[[#This Row],[Age Calculation
]]&lt;26,"18-25",IF(HRDataset_v14[[#This Row],[Age Calculation
]]&lt;36,"26-35",IF(HRDataset_v14[[#This Row],[Age Calculation
]]&lt;46,"36-45",IF(HRDataset_v14[[#This Row],[Age Calculation
]]&lt;56,"46-55","55+"))))</f>
        <v>55+</v>
      </c>
      <c r="AR256" t="str">
        <f>IF(HRDataset_v14[[#This Row],[Salary]]&lt;40000,"Entry (&lt;40K)",IF(HRDataset_v14[[#This Row],[Salary]]&lt;70000,"Mid (40-70K)",IF(HRDataset_v14[[#This Row],[Salary]]&lt;100000,"Senior (70-100K)","Executive (100K+)")))</f>
        <v>Senior (70-100K)</v>
      </c>
      <c r="AS256">
        <f>IF(HRDataset_v14[[#This Row],[EmploymentStatus]]="Active",1,0)</f>
        <v>1</v>
      </c>
      <c r="AT256">
        <f>YEAR(HRDataset_v14[[#This Row],[DateofHire]])</f>
        <v>2015</v>
      </c>
      <c r="AU256">
        <f>MONTH(HRDataset_v14[[#This Row],[DateofHire]])</f>
        <v>1</v>
      </c>
      <c r="AV256" t="str">
        <f>"Q"&amp;ROUNDUP(MONTH(HRDataset_v14[[#This Row],[DateofHire]])/3,0)</f>
        <v>Q1</v>
      </c>
      <c r="AW256" t="str">
        <f>TEXT(HRDataset_v14[[#This Row],[DateofHire]],"MMM")</f>
        <v>Jan</v>
      </c>
      <c r="AX256" t="str">
        <f>TEXT(HRDataset_v14[[#This Row],[DateofHire]],"YYYY-MM")</f>
        <v>2015-01</v>
      </c>
      <c r="AY256" t="str">
        <f>IF(ISBLANK(HRDataset_v14[[#This Row],[DateofTermination]]),"N/A",YEAR(HRDataset_v14[[#This Row],[DateofTermination]]))</f>
        <v>N/A</v>
      </c>
      <c r="AZ256" t="str" cm="1">
        <f t="array" ref="AZ256">INDEX(_xlfn.UNIQUE(Z256:Z566),MATCH(MAX(COUNTIF(Z256:Z566,_xlfn.UNIQUE(Z256:Z566))),COUNTIF(Z256:Z566,_xlfn.UNIQUE(Z256:Z566)),0))</f>
        <v xml:space="preserve">Production       </v>
      </c>
      <c r="BA256">
        <f t="shared" si="32"/>
        <v>33.333333333333329</v>
      </c>
      <c r="BB256">
        <f t="shared" si="33"/>
        <v>0</v>
      </c>
      <c r="BC256" t="str">
        <f t="shared" si="28"/>
        <v>Medium</v>
      </c>
      <c r="BD256">
        <f t="shared" si="29"/>
        <v>3.32</v>
      </c>
      <c r="BE256" t="str">
        <f t="shared" si="30"/>
        <v/>
      </c>
      <c r="BT256">
        <f t="shared" si="31"/>
        <v>3.32</v>
      </c>
    </row>
    <row r="257" spans="1:72" x14ac:dyDescent="0.3">
      <c r="A257" t="s">
        <v>545</v>
      </c>
      <c r="B257">
        <v>10039</v>
      </c>
      <c r="C257">
        <v>0</v>
      </c>
      <c r="D257">
        <v>0</v>
      </c>
      <c r="E257">
        <v>0</v>
      </c>
      <c r="F257">
        <v>1</v>
      </c>
      <c r="G257">
        <v>1</v>
      </c>
      <c r="H257">
        <v>3</v>
      </c>
      <c r="I257">
        <v>0</v>
      </c>
      <c r="J257">
        <v>51920</v>
      </c>
      <c r="K257">
        <v>0</v>
      </c>
      <c r="L257">
        <v>2</v>
      </c>
      <c r="M257" t="s">
        <v>360</v>
      </c>
      <c r="N257" t="s">
        <v>38</v>
      </c>
      <c r="O257">
        <v>2330</v>
      </c>
      <c r="P257">
        <v>32282</v>
      </c>
      <c r="Q257" t="s">
        <v>64</v>
      </c>
      <c r="R257" t="s">
        <v>40</v>
      </c>
      <c r="S257" t="s">
        <v>41</v>
      </c>
      <c r="T257" t="s">
        <v>42</v>
      </c>
      <c r="U257" t="s">
        <v>43</v>
      </c>
      <c r="V257">
        <v>42125</v>
      </c>
      <c r="X257" t="s">
        <v>44</v>
      </c>
      <c r="Y257" t="s">
        <v>45</v>
      </c>
      <c r="Z257" t="s">
        <v>151</v>
      </c>
      <c r="AA257" t="s">
        <v>152</v>
      </c>
      <c r="AB257">
        <v>1</v>
      </c>
      <c r="AC257" t="s">
        <v>254</v>
      </c>
      <c r="AD257" t="s">
        <v>60</v>
      </c>
      <c r="AE257">
        <v>5</v>
      </c>
      <c r="AF257">
        <v>3</v>
      </c>
      <c r="AG257">
        <v>5</v>
      </c>
      <c r="AH257" t="s">
        <v>162</v>
      </c>
      <c r="AI257">
        <v>0</v>
      </c>
      <c r="AJ257">
        <v>2</v>
      </c>
      <c r="AK257" t="str">
        <f t="shared" si="26"/>
        <v>Normal</v>
      </c>
      <c r="AL257" t="str">
        <f t="shared" si="27"/>
        <v>low Outlier</v>
      </c>
      <c r="AM257">
        <f ca="1">INT((TODAY()-HRDataset_v14[[#This Row],[DOB]])/365.25)</f>
        <v>37</v>
      </c>
      <c r="AN257">
        <f ca="1">DATEDIF(HRDataset_v14[[#This Row],[DateofHire]],TODAY(),"Y")</f>
        <v>10</v>
      </c>
      <c r="AO257">
        <f ca="1">IF(ISBLANK(HRDataset_v14[[#This Row],[DateofTermination]]),DATEDIF(HRDataset_v14[[#This Row],[DateofHire]],TODAY(),"Y"),DATEDIF(HRDataset_v14[[#This Row],[DateofHire]],HRDataset_v14[[#This Row],[DateofTermination]],"Y"))</f>
        <v>10</v>
      </c>
      <c r="AP257" t="str">
        <f ca="1">IF(HRDataset_v14[[#This Row],[Tenure in Years
]]&lt;1,"0-1 Year",IF(HRDataset_v14[[#This Row],[Tenure in Years
]]&lt;3,"1-3 Years",IF(HRDataset_v14[[#This Row],[Tenure in Years
]]&lt;5,"3-5 Years",IF(HRDataset_v14[[#This Row],[Tenure in Years
]]&lt;10,"5-10 Years","10+ Years"))))</f>
        <v>10+ Years</v>
      </c>
      <c r="AQ257" t="str">
        <f ca="1">IF(HRDataset_v14[[#This Row],[Age Calculation
]]&lt;26,"18-25",IF(HRDataset_v14[[#This Row],[Age Calculation
]]&lt;36,"26-35",IF(HRDataset_v14[[#This Row],[Age Calculation
]]&lt;46,"36-45",IF(HRDataset_v14[[#This Row],[Age Calculation
]]&lt;56,"46-55","55+"))))</f>
        <v>36-45</v>
      </c>
      <c r="AR257" t="str">
        <f>IF(HRDataset_v14[[#This Row],[Salary]]&lt;40000,"Entry (&lt;40K)",IF(HRDataset_v14[[#This Row],[Salary]]&lt;70000,"Mid (40-70K)",IF(HRDataset_v14[[#This Row],[Salary]]&lt;100000,"Senior (70-100K)","Executive (100K+)")))</f>
        <v>Mid (40-70K)</v>
      </c>
      <c r="AS257">
        <f>IF(HRDataset_v14[[#This Row],[EmploymentStatus]]="Active",1,0)</f>
        <v>1</v>
      </c>
      <c r="AT257">
        <f>YEAR(HRDataset_v14[[#This Row],[DateofHire]])</f>
        <v>2015</v>
      </c>
      <c r="AU257">
        <f>MONTH(HRDataset_v14[[#This Row],[DateofHire]])</f>
        <v>5</v>
      </c>
      <c r="AV257" t="str">
        <f>"Q"&amp;ROUNDUP(MONTH(HRDataset_v14[[#This Row],[DateofHire]])/3,0)</f>
        <v>Q2</v>
      </c>
      <c r="AW257" t="str">
        <f>TEXT(HRDataset_v14[[#This Row],[DateofHire]],"MMM")</f>
        <v>May</v>
      </c>
      <c r="AX257" t="str">
        <f>TEXT(HRDataset_v14[[#This Row],[DateofHire]],"YYYY-MM")</f>
        <v>2015-05</v>
      </c>
      <c r="AY257" t="str">
        <f>IF(ISBLANK(HRDataset_v14[[#This Row],[DateofTermination]]),"N/A",YEAR(HRDataset_v14[[#This Row],[DateofTermination]]))</f>
        <v>N/A</v>
      </c>
      <c r="AZ257" t="str" cm="1">
        <f t="array" ref="AZ257">INDEX(_xlfn.UNIQUE(Z257:Z567),MATCH(MAX(COUNTIF(Z257:Z567,_xlfn.UNIQUE(Z257:Z567))),COUNTIF(Z257:Z567,_xlfn.UNIQUE(Z257:Z567)),0))</f>
        <v xml:space="preserve">Production       </v>
      </c>
      <c r="BA257">
        <f t="shared" si="32"/>
        <v>33.333333333333329</v>
      </c>
      <c r="BB257">
        <f t="shared" si="33"/>
        <v>0</v>
      </c>
      <c r="BC257" t="str">
        <f t="shared" si="28"/>
        <v>Medium</v>
      </c>
      <c r="BD257">
        <f t="shared" si="29"/>
        <v>5</v>
      </c>
      <c r="BE257" t="str">
        <f t="shared" si="30"/>
        <v/>
      </c>
      <c r="BT257">
        <f t="shared" si="31"/>
        <v>5</v>
      </c>
    </row>
    <row r="258" spans="1:72" x14ac:dyDescent="0.3">
      <c r="A258" t="s">
        <v>546</v>
      </c>
      <c r="B258">
        <v>10095</v>
      </c>
      <c r="C258">
        <v>0</v>
      </c>
      <c r="D258">
        <v>0</v>
      </c>
      <c r="E258">
        <v>0</v>
      </c>
      <c r="F258">
        <v>5</v>
      </c>
      <c r="G258">
        <v>5</v>
      </c>
      <c r="H258">
        <v>3</v>
      </c>
      <c r="I258">
        <v>0</v>
      </c>
      <c r="J258">
        <v>63878</v>
      </c>
      <c r="K258">
        <v>1</v>
      </c>
      <c r="L258">
        <v>20</v>
      </c>
      <c r="M258" t="s">
        <v>63</v>
      </c>
      <c r="N258" t="s">
        <v>38</v>
      </c>
      <c r="O258">
        <v>1851</v>
      </c>
      <c r="P258">
        <v>32106</v>
      </c>
      <c r="Q258" t="s">
        <v>64</v>
      </c>
      <c r="R258" t="s">
        <v>40</v>
      </c>
      <c r="S258" t="s">
        <v>41</v>
      </c>
      <c r="T258" t="s">
        <v>42</v>
      </c>
      <c r="U258" t="s">
        <v>43</v>
      </c>
      <c r="V258">
        <v>40112</v>
      </c>
      <c r="W258">
        <v>42102</v>
      </c>
      <c r="X258" t="s">
        <v>381</v>
      </c>
      <c r="Y258" t="s">
        <v>56</v>
      </c>
      <c r="Z258" t="s">
        <v>46</v>
      </c>
      <c r="AA258" t="s">
        <v>47</v>
      </c>
      <c r="AB258">
        <v>22</v>
      </c>
      <c r="AC258" t="s">
        <v>140</v>
      </c>
      <c r="AD258" t="s">
        <v>60</v>
      </c>
      <c r="AE258">
        <v>4.68</v>
      </c>
      <c r="AF258">
        <v>4</v>
      </c>
      <c r="AG258">
        <v>0</v>
      </c>
      <c r="AH258" t="s">
        <v>547</v>
      </c>
      <c r="AI258">
        <v>0</v>
      </c>
      <c r="AJ258">
        <v>20</v>
      </c>
      <c r="AK258" t="str">
        <f t="shared" ref="AK258:AK312" si="34">IF(J258&gt;AVERAGE($J$2:$J$100)+3*STDEV($J$2:$J$100)," high Outlier","Normal")</f>
        <v>Normal</v>
      </c>
      <c r="AL258" t="str">
        <f t="shared" ref="AL258:AL312" si="35">IF(J258&gt;AVERAGE($J$2:$J$100)-3*STDEV($J$2:$J$100),"low Outlier","Normal")</f>
        <v>low Outlier</v>
      </c>
      <c r="AM258">
        <f ca="1">INT((TODAY()-HRDataset_v14[[#This Row],[DOB]])/365.25)</f>
        <v>38</v>
      </c>
      <c r="AN258">
        <f ca="1">DATEDIF(HRDataset_v14[[#This Row],[DateofHire]],TODAY(),"Y")</f>
        <v>16</v>
      </c>
      <c r="AO258">
        <f ca="1">IF(ISBLANK(HRDataset_v14[[#This Row],[DateofTermination]]),DATEDIF(HRDataset_v14[[#This Row],[DateofHire]],TODAY(),"Y"),DATEDIF(HRDataset_v14[[#This Row],[DateofHire]],HRDataset_v14[[#This Row],[DateofTermination]],"Y"))</f>
        <v>5</v>
      </c>
      <c r="AP258" t="str">
        <f ca="1">IF(HRDataset_v14[[#This Row],[Tenure in Years
]]&lt;1,"0-1 Year",IF(HRDataset_v14[[#This Row],[Tenure in Years
]]&lt;3,"1-3 Years",IF(HRDataset_v14[[#This Row],[Tenure in Years
]]&lt;5,"3-5 Years",IF(HRDataset_v14[[#This Row],[Tenure in Years
]]&lt;10,"5-10 Years","10+ Years"))))</f>
        <v>10+ Years</v>
      </c>
      <c r="AQ258" t="str">
        <f ca="1">IF(HRDataset_v14[[#This Row],[Age Calculation
]]&lt;26,"18-25",IF(HRDataset_v14[[#This Row],[Age Calculation
]]&lt;36,"26-35",IF(HRDataset_v14[[#This Row],[Age Calculation
]]&lt;46,"36-45",IF(HRDataset_v14[[#This Row],[Age Calculation
]]&lt;56,"46-55","55+"))))</f>
        <v>36-45</v>
      </c>
      <c r="AR258" t="str">
        <f>IF(HRDataset_v14[[#This Row],[Salary]]&lt;40000,"Entry (&lt;40K)",IF(HRDataset_v14[[#This Row],[Salary]]&lt;70000,"Mid (40-70K)",IF(HRDataset_v14[[#This Row],[Salary]]&lt;100000,"Senior (70-100K)","Executive (100K+)")))</f>
        <v>Mid (40-70K)</v>
      </c>
      <c r="AS258">
        <f>IF(HRDataset_v14[[#This Row],[EmploymentStatus]]="Active",1,0)</f>
        <v>0</v>
      </c>
      <c r="AT258">
        <f>YEAR(HRDataset_v14[[#This Row],[DateofHire]])</f>
        <v>2009</v>
      </c>
      <c r="AU258">
        <f>MONTH(HRDataset_v14[[#This Row],[DateofHire]])</f>
        <v>10</v>
      </c>
      <c r="AV258" t="str">
        <f>"Q"&amp;ROUNDUP(MONTH(HRDataset_v14[[#This Row],[DateofHire]])/3,0)</f>
        <v>Q4</v>
      </c>
      <c r="AW258" t="str">
        <f>TEXT(HRDataset_v14[[#This Row],[DateofHire]],"MMM")</f>
        <v>Oct</v>
      </c>
      <c r="AX258" t="str">
        <f>TEXT(HRDataset_v14[[#This Row],[DateofHire]],"YYYY-MM")</f>
        <v>2009-10</v>
      </c>
      <c r="AY258">
        <f>IF(ISBLANK(HRDataset_v14[[#This Row],[DateofTermination]]),"N/A",YEAR(HRDataset_v14[[#This Row],[DateofTermination]]))</f>
        <v>2015</v>
      </c>
      <c r="AZ258" t="str" cm="1">
        <f t="array" ref="AZ258">INDEX(_xlfn.UNIQUE(Z258:Z568),MATCH(MAX(COUNTIF(Z258:Z568,_xlfn.UNIQUE(Z258:Z568))),COUNTIF(Z258:Z568,_xlfn.UNIQUE(Z258:Z568)),0))</f>
        <v xml:space="preserve">Production       </v>
      </c>
      <c r="BA258">
        <f t="shared" si="32"/>
        <v>33.333333333333329</v>
      </c>
      <c r="BB258">
        <f t="shared" si="33"/>
        <v>2</v>
      </c>
      <c r="BC258" t="str">
        <f t="shared" ref="BC258:BC312" si="36">IF(OR(AD258="PIP",AD258="Needs Improvement",AE258&lt;=2),"High",
IF(OR(AD258="Fully Meets",AE258=3),"Medium",
IF(AND(AD258="Exceeds",AE258&gt;=4),"Low","Medium")))</f>
        <v>Medium</v>
      </c>
      <c r="BD258" t="str">
        <f t="shared" ref="BD258:BD312" si="37">IF($K258=0,$AE258,"")</f>
        <v/>
      </c>
      <c r="BE258">
        <f t="shared" ref="BE258:BE312" si="38">IF($K258=1,$AE258,"")</f>
        <v>4.68</v>
      </c>
      <c r="BT258" t="str">
        <f t="shared" ref="BT258:BT312" si="39">IF($K258=0,$AE258,"")</f>
        <v/>
      </c>
    </row>
    <row r="259" spans="1:72" x14ac:dyDescent="0.3">
      <c r="A259" t="s">
        <v>548</v>
      </c>
      <c r="B259">
        <v>10027</v>
      </c>
      <c r="C259">
        <v>0</v>
      </c>
      <c r="D259">
        <v>0</v>
      </c>
      <c r="E259">
        <v>1</v>
      </c>
      <c r="F259">
        <v>1</v>
      </c>
      <c r="G259">
        <v>5</v>
      </c>
      <c r="H259">
        <v>4</v>
      </c>
      <c r="I259">
        <v>0</v>
      </c>
      <c r="J259">
        <v>60656</v>
      </c>
      <c r="K259">
        <v>0</v>
      </c>
      <c r="L259">
        <v>20</v>
      </c>
      <c r="M259" t="s">
        <v>63</v>
      </c>
      <c r="N259" t="s">
        <v>38</v>
      </c>
      <c r="O259">
        <v>2045</v>
      </c>
      <c r="P259">
        <v>23314</v>
      </c>
      <c r="Q259" t="s">
        <v>39</v>
      </c>
      <c r="R259" t="s">
        <v>40</v>
      </c>
      <c r="S259" t="s">
        <v>41</v>
      </c>
      <c r="T259" t="s">
        <v>42</v>
      </c>
      <c r="U259" t="s">
        <v>43</v>
      </c>
      <c r="V259">
        <v>41911</v>
      </c>
      <c r="X259" t="s">
        <v>44</v>
      </c>
      <c r="Y259" t="s">
        <v>45</v>
      </c>
      <c r="Z259" t="s">
        <v>46</v>
      </c>
      <c r="AA259" t="s">
        <v>69</v>
      </c>
      <c r="AB259">
        <v>16</v>
      </c>
      <c r="AC259" t="s">
        <v>59</v>
      </c>
      <c r="AD259" t="s">
        <v>49</v>
      </c>
      <c r="AE259">
        <v>4.3</v>
      </c>
      <c r="AF259">
        <v>3</v>
      </c>
      <c r="AG259">
        <v>0</v>
      </c>
      <c r="AH259" t="s">
        <v>223</v>
      </c>
      <c r="AI259">
        <v>0</v>
      </c>
      <c r="AJ259">
        <v>4</v>
      </c>
      <c r="AK259" t="str">
        <f t="shared" si="34"/>
        <v>Normal</v>
      </c>
      <c r="AL259" t="str">
        <f t="shared" si="35"/>
        <v>low Outlier</v>
      </c>
      <c r="AM259">
        <f ca="1">INT((TODAY()-HRDataset_v14[[#This Row],[DOB]])/365.25)</f>
        <v>62</v>
      </c>
      <c r="AN259">
        <f ca="1">DATEDIF(HRDataset_v14[[#This Row],[DateofHire]],TODAY(),"Y")</f>
        <v>11</v>
      </c>
      <c r="AO259">
        <f ca="1">IF(ISBLANK(HRDataset_v14[[#This Row],[DateofTermination]]),DATEDIF(HRDataset_v14[[#This Row],[DateofHire]],TODAY(),"Y"),DATEDIF(HRDataset_v14[[#This Row],[DateofHire]],HRDataset_v14[[#This Row],[DateofTermination]],"Y"))</f>
        <v>11</v>
      </c>
      <c r="AP259" t="str">
        <f ca="1">IF(HRDataset_v14[[#This Row],[Tenure in Years
]]&lt;1,"0-1 Year",IF(HRDataset_v14[[#This Row],[Tenure in Years
]]&lt;3,"1-3 Years",IF(HRDataset_v14[[#This Row],[Tenure in Years
]]&lt;5,"3-5 Years",IF(HRDataset_v14[[#This Row],[Tenure in Years
]]&lt;10,"5-10 Years","10+ Years"))))</f>
        <v>10+ Years</v>
      </c>
      <c r="AQ259" t="str">
        <f ca="1">IF(HRDataset_v14[[#This Row],[Age Calculation
]]&lt;26,"18-25",IF(HRDataset_v14[[#This Row],[Age Calculation
]]&lt;36,"26-35",IF(HRDataset_v14[[#This Row],[Age Calculation
]]&lt;46,"36-45",IF(HRDataset_v14[[#This Row],[Age Calculation
]]&lt;56,"46-55","55+"))))</f>
        <v>55+</v>
      </c>
      <c r="AR259" t="str">
        <f>IF(HRDataset_v14[[#This Row],[Salary]]&lt;40000,"Entry (&lt;40K)",IF(HRDataset_v14[[#This Row],[Salary]]&lt;70000,"Mid (40-70K)",IF(HRDataset_v14[[#This Row],[Salary]]&lt;100000,"Senior (70-100K)","Executive (100K+)")))</f>
        <v>Mid (40-70K)</v>
      </c>
      <c r="AS259">
        <f>IF(HRDataset_v14[[#This Row],[EmploymentStatus]]="Active",1,0)</f>
        <v>1</v>
      </c>
      <c r="AT259">
        <f>YEAR(HRDataset_v14[[#This Row],[DateofHire]])</f>
        <v>2014</v>
      </c>
      <c r="AU259">
        <f>MONTH(HRDataset_v14[[#This Row],[DateofHire]])</f>
        <v>9</v>
      </c>
      <c r="AV259" t="str">
        <f>"Q"&amp;ROUNDUP(MONTH(HRDataset_v14[[#This Row],[DateofHire]])/3,0)</f>
        <v>Q3</v>
      </c>
      <c r="AW259" t="str">
        <f>TEXT(HRDataset_v14[[#This Row],[DateofHire]],"MMM")</f>
        <v>Sep</v>
      </c>
      <c r="AX259" t="str">
        <f>TEXT(HRDataset_v14[[#This Row],[DateofHire]],"YYYY-MM")</f>
        <v>2014-09</v>
      </c>
      <c r="AY259" t="str">
        <f>IF(ISBLANK(HRDataset_v14[[#This Row],[DateofTermination]]),"N/A",YEAR(HRDataset_v14[[#This Row],[DateofTermination]]))</f>
        <v>N/A</v>
      </c>
      <c r="AZ259" t="str" cm="1">
        <f t="array" ref="AZ259">INDEX(_xlfn.UNIQUE(Z259:Z569),MATCH(MAX(COUNTIF(Z259:Z569,_xlfn.UNIQUE(Z259:Z569))),COUNTIF(Z259:Z569,_xlfn.UNIQUE(Z259:Z569)),0))</f>
        <v xml:space="preserve">Production       </v>
      </c>
      <c r="BA259">
        <f t="shared" ref="BA259:BA312" si="40">COUNTIFS(AA259:AA569,AA259,K259:K569,1)
/COUNTIF(AA259:AA569,AA259)*100</f>
        <v>50</v>
      </c>
      <c r="BB259">
        <f t="shared" ref="BB259:BB312" si="41">COUNTIFS(X259:X569,X259,K259:K569,1)</f>
        <v>0</v>
      </c>
      <c r="BC259" t="str">
        <f t="shared" si="36"/>
        <v>Low</v>
      </c>
      <c r="BD259">
        <f t="shared" si="37"/>
        <v>4.3</v>
      </c>
      <c r="BE259" t="str">
        <f t="shared" si="38"/>
        <v/>
      </c>
      <c r="BT259">
        <f t="shared" si="39"/>
        <v>4.3</v>
      </c>
    </row>
    <row r="260" spans="1:72" x14ac:dyDescent="0.3">
      <c r="A260" t="s">
        <v>549</v>
      </c>
      <c r="B260">
        <v>10291</v>
      </c>
      <c r="C260">
        <v>0</v>
      </c>
      <c r="D260">
        <v>2</v>
      </c>
      <c r="E260">
        <v>1</v>
      </c>
      <c r="F260">
        <v>1</v>
      </c>
      <c r="G260">
        <v>6</v>
      </c>
      <c r="H260">
        <v>2</v>
      </c>
      <c r="I260">
        <v>1</v>
      </c>
      <c r="J260">
        <v>72992</v>
      </c>
      <c r="K260">
        <v>0</v>
      </c>
      <c r="L260">
        <v>21</v>
      </c>
      <c r="M260" t="s">
        <v>227</v>
      </c>
      <c r="N260" t="s">
        <v>38</v>
      </c>
      <c r="O260">
        <v>1886</v>
      </c>
      <c r="P260">
        <v>30910</v>
      </c>
      <c r="Q260" t="s">
        <v>39</v>
      </c>
      <c r="R260" t="s">
        <v>72</v>
      </c>
      <c r="S260" t="s">
        <v>41</v>
      </c>
      <c r="T260" t="s">
        <v>42</v>
      </c>
      <c r="U260" t="s">
        <v>91</v>
      </c>
      <c r="V260">
        <v>41777</v>
      </c>
      <c r="X260" t="s">
        <v>44</v>
      </c>
      <c r="Y260" t="s">
        <v>45</v>
      </c>
      <c r="Z260" t="s">
        <v>171</v>
      </c>
      <c r="AA260" t="s">
        <v>228</v>
      </c>
      <c r="AB260">
        <v>15</v>
      </c>
      <c r="AC260" t="s">
        <v>93</v>
      </c>
      <c r="AD260" t="s">
        <v>141</v>
      </c>
      <c r="AE260">
        <v>2.4</v>
      </c>
      <c r="AF260">
        <v>4</v>
      </c>
      <c r="AG260">
        <v>0</v>
      </c>
      <c r="AH260" t="s">
        <v>310</v>
      </c>
      <c r="AI260">
        <v>2</v>
      </c>
      <c r="AJ260">
        <v>16</v>
      </c>
      <c r="AK260" t="str">
        <f t="shared" si="34"/>
        <v>Normal</v>
      </c>
      <c r="AL260" t="str">
        <f t="shared" si="35"/>
        <v>low Outlier</v>
      </c>
      <c r="AM260">
        <f ca="1">INT((TODAY()-HRDataset_v14[[#This Row],[DOB]])/365.25)</f>
        <v>41</v>
      </c>
      <c r="AN260">
        <f ca="1">DATEDIF(HRDataset_v14[[#This Row],[DateofHire]],TODAY(),"Y")</f>
        <v>11</v>
      </c>
      <c r="AO260">
        <f ca="1">IF(ISBLANK(HRDataset_v14[[#This Row],[DateofTermination]]),DATEDIF(HRDataset_v14[[#This Row],[DateofHire]],TODAY(),"Y"),DATEDIF(HRDataset_v14[[#This Row],[DateofHire]],HRDataset_v14[[#This Row],[DateofTermination]],"Y"))</f>
        <v>11</v>
      </c>
      <c r="AP260" t="str">
        <f ca="1">IF(HRDataset_v14[[#This Row],[Tenure in Years
]]&lt;1,"0-1 Year",IF(HRDataset_v14[[#This Row],[Tenure in Years
]]&lt;3,"1-3 Years",IF(HRDataset_v14[[#This Row],[Tenure in Years
]]&lt;5,"3-5 Years",IF(HRDataset_v14[[#This Row],[Tenure in Years
]]&lt;10,"5-10 Years","10+ Years"))))</f>
        <v>10+ Years</v>
      </c>
      <c r="AQ260" t="str">
        <f ca="1">IF(HRDataset_v14[[#This Row],[Age Calculation
]]&lt;26,"18-25",IF(HRDataset_v14[[#This Row],[Age Calculation
]]&lt;36,"26-35",IF(HRDataset_v14[[#This Row],[Age Calculation
]]&lt;46,"36-45",IF(HRDataset_v14[[#This Row],[Age Calculation
]]&lt;56,"46-55","55+"))))</f>
        <v>36-45</v>
      </c>
      <c r="AR260" t="str">
        <f>IF(HRDataset_v14[[#This Row],[Salary]]&lt;40000,"Entry (&lt;40K)",IF(HRDataset_v14[[#This Row],[Salary]]&lt;70000,"Mid (40-70K)",IF(HRDataset_v14[[#This Row],[Salary]]&lt;100000,"Senior (70-100K)","Executive (100K+)")))</f>
        <v>Senior (70-100K)</v>
      </c>
      <c r="AS260">
        <f>IF(HRDataset_v14[[#This Row],[EmploymentStatus]]="Active",1,0)</f>
        <v>1</v>
      </c>
      <c r="AT260">
        <f>YEAR(HRDataset_v14[[#This Row],[DateofHire]])</f>
        <v>2014</v>
      </c>
      <c r="AU260">
        <f>MONTH(HRDataset_v14[[#This Row],[DateofHire]])</f>
        <v>5</v>
      </c>
      <c r="AV260" t="str">
        <f>"Q"&amp;ROUNDUP(MONTH(HRDataset_v14[[#This Row],[DateofHire]])/3,0)</f>
        <v>Q2</v>
      </c>
      <c r="AW260" t="str">
        <f>TEXT(HRDataset_v14[[#This Row],[DateofHire]],"MMM")</f>
        <v>May</v>
      </c>
      <c r="AX260" t="str">
        <f>TEXT(HRDataset_v14[[#This Row],[DateofHire]],"YYYY-MM")</f>
        <v>2014-05</v>
      </c>
      <c r="AY260" t="str">
        <f>IF(ISBLANK(HRDataset_v14[[#This Row],[DateofTermination]]),"N/A",YEAR(HRDataset_v14[[#This Row],[DateofTermination]]))</f>
        <v>N/A</v>
      </c>
      <c r="AZ260" t="str" cm="1">
        <f t="array" ref="AZ260">INDEX(_xlfn.UNIQUE(Z260:Z570),MATCH(MAX(COUNTIF(Z260:Z570,_xlfn.UNIQUE(Z260:Z570))),COUNTIF(Z260:Z570,_xlfn.UNIQUE(Z260:Z570)),0))</f>
        <v xml:space="preserve">Production       </v>
      </c>
      <c r="BA260">
        <f t="shared" si="40"/>
        <v>0</v>
      </c>
      <c r="BB260">
        <f t="shared" si="41"/>
        <v>0</v>
      </c>
      <c r="BC260" t="str">
        <f t="shared" si="36"/>
        <v>High</v>
      </c>
      <c r="BD260">
        <f t="shared" si="37"/>
        <v>2.4</v>
      </c>
      <c r="BE260" t="str">
        <f t="shared" si="38"/>
        <v/>
      </c>
      <c r="BT260">
        <f t="shared" si="39"/>
        <v>2.4</v>
      </c>
    </row>
    <row r="261" spans="1:72" x14ac:dyDescent="0.3">
      <c r="A261" t="s">
        <v>550</v>
      </c>
      <c r="B261">
        <v>10153</v>
      </c>
      <c r="C261">
        <v>1</v>
      </c>
      <c r="D261">
        <v>1</v>
      </c>
      <c r="E261">
        <v>0</v>
      </c>
      <c r="F261">
        <v>5</v>
      </c>
      <c r="G261">
        <v>1</v>
      </c>
      <c r="H261">
        <v>3</v>
      </c>
      <c r="I261">
        <v>1</v>
      </c>
      <c r="J261">
        <v>55000</v>
      </c>
      <c r="K261">
        <v>1</v>
      </c>
      <c r="L261">
        <v>2</v>
      </c>
      <c r="M261" t="s">
        <v>360</v>
      </c>
      <c r="N261" t="s">
        <v>38</v>
      </c>
      <c r="O261">
        <v>1844</v>
      </c>
      <c r="P261">
        <v>31942</v>
      </c>
      <c r="Q261" t="s">
        <v>64</v>
      </c>
      <c r="R261" t="s">
        <v>53</v>
      </c>
      <c r="S261" t="s">
        <v>41</v>
      </c>
      <c r="T261" t="s">
        <v>42</v>
      </c>
      <c r="U261" t="s">
        <v>91</v>
      </c>
      <c r="V261">
        <v>40812</v>
      </c>
      <c r="W261">
        <v>41542</v>
      </c>
      <c r="X261" t="s">
        <v>55</v>
      </c>
      <c r="Y261" t="s">
        <v>56</v>
      </c>
      <c r="Z261" t="s">
        <v>151</v>
      </c>
      <c r="AA261" t="s">
        <v>152</v>
      </c>
      <c r="AB261">
        <v>1</v>
      </c>
      <c r="AC261" t="s">
        <v>93</v>
      </c>
      <c r="AD261" t="s">
        <v>60</v>
      </c>
      <c r="AE261">
        <v>3.8</v>
      </c>
      <c r="AF261">
        <v>4</v>
      </c>
      <c r="AG261">
        <v>4</v>
      </c>
      <c r="AH261" t="s">
        <v>551</v>
      </c>
      <c r="AI261">
        <v>0</v>
      </c>
      <c r="AJ261">
        <v>17</v>
      </c>
      <c r="AK261" t="str">
        <f t="shared" si="34"/>
        <v>Normal</v>
      </c>
      <c r="AL261" t="str">
        <f t="shared" si="35"/>
        <v>low Outlier</v>
      </c>
      <c r="AM261">
        <f ca="1">INT((TODAY()-HRDataset_v14[[#This Row],[DOB]])/365.25)</f>
        <v>38</v>
      </c>
      <c r="AN261">
        <f ca="1">DATEDIF(HRDataset_v14[[#This Row],[DateofHire]],TODAY(),"Y")</f>
        <v>14</v>
      </c>
      <c r="AO261">
        <f ca="1">IF(ISBLANK(HRDataset_v14[[#This Row],[DateofTermination]]),DATEDIF(HRDataset_v14[[#This Row],[DateofHire]],TODAY(),"Y"),DATEDIF(HRDataset_v14[[#This Row],[DateofHire]],HRDataset_v14[[#This Row],[DateofTermination]],"Y"))</f>
        <v>1</v>
      </c>
      <c r="AP261" t="str">
        <f ca="1">IF(HRDataset_v14[[#This Row],[Tenure in Years
]]&lt;1,"0-1 Year",IF(HRDataset_v14[[#This Row],[Tenure in Years
]]&lt;3,"1-3 Years",IF(HRDataset_v14[[#This Row],[Tenure in Years
]]&lt;5,"3-5 Years",IF(HRDataset_v14[[#This Row],[Tenure in Years
]]&lt;10,"5-10 Years","10+ Years"))))</f>
        <v>10+ Years</v>
      </c>
      <c r="AQ261" t="str">
        <f ca="1">IF(HRDataset_v14[[#This Row],[Age Calculation
]]&lt;26,"18-25",IF(HRDataset_v14[[#This Row],[Age Calculation
]]&lt;36,"26-35",IF(HRDataset_v14[[#This Row],[Age Calculation
]]&lt;46,"36-45",IF(HRDataset_v14[[#This Row],[Age Calculation
]]&lt;56,"46-55","55+"))))</f>
        <v>36-45</v>
      </c>
      <c r="AR261" t="str">
        <f>IF(HRDataset_v14[[#This Row],[Salary]]&lt;40000,"Entry (&lt;40K)",IF(HRDataset_v14[[#This Row],[Salary]]&lt;70000,"Mid (40-70K)",IF(HRDataset_v14[[#This Row],[Salary]]&lt;100000,"Senior (70-100K)","Executive (100K+)")))</f>
        <v>Mid (40-70K)</v>
      </c>
      <c r="AS261">
        <f>IF(HRDataset_v14[[#This Row],[EmploymentStatus]]="Active",1,0)</f>
        <v>0</v>
      </c>
      <c r="AT261">
        <f>YEAR(HRDataset_v14[[#This Row],[DateofHire]])</f>
        <v>2011</v>
      </c>
      <c r="AU261">
        <f>MONTH(HRDataset_v14[[#This Row],[DateofHire]])</f>
        <v>9</v>
      </c>
      <c r="AV261" t="str">
        <f>"Q"&amp;ROUNDUP(MONTH(HRDataset_v14[[#This Row],[DateofHire]])/3,0)</f>
        <v>Q3</v>
      </c>
      <c r="AW261" t="str">
        <f>TEXT(HRDataset_v14[[#This Row],[DateofHire]],"MMM")</f>
        <v>Sep</v>
      </c>
      <c r="AX261" t="str">
        <f>TEXT(HRDataset_v14[[#This Row],[DateofHire]],"YYYY-MM")</f>
        <v>2011-09</v>
      </c>
      <c r="AY261">
        <f>IF(ISBLANK(HRDataset_v14[[#This Row],[DateofTermination]]),"N/A",YEAR(HRDataset_v14[[#This Row],[DateofTermination]]))</f>
        <v>2013</v>
      </c>
      <c r="AZ261" t="str" cm="1">
        <f t="array" ref="AZ261">INDEX(_xlfn.UNIQUE(Z261:Z571),MATCH(MAX(COUNTIF(Z261:Z571,_xlfn.UNIQUE(Z261:Z571))),COUNTIF(Z261:Z571,_xlfn.UNIQUE(Z261:Z571)),0))</f>
        <v xml:space="preserve">Production       </v>
      </c>
      <c r="BA261">
        <f t="shared" si="40"/>
        <v>50</v>
      </c>
      <c r="BB261">
        <f t="shared" si="41"/>
        <v>2</v>
      </c>
      <c r="BC261" t="str">
        <f t="shared" si="36"/>
        <v>Medium</v>
      </c>
      <c r="BD261" t="str">
        <f t="shared" si="37"/>
        <v/>
      </c>
      <c r="BE261">
        <f t="shared" si="38"/>
        <v>3.8</v>
      </c>
      <c r="BT261" t="str">
        <f t="shared" si="39"/>
        <v/>
      </c>
    </row>
    <row r="262" spans="1:72" x14ac:dyDescent="0.3">
      <c r="A262" t="s">
        <v>552</v>
      </c>
      <c r="B262">
        <v>10157</v>
      </c>
      <c r="C262">
        <v>0</v>
      </c>
      <c r="D262">
        <v>0</v>
      </c>
      <c r="E262">
        <v>0</v>
      </c>
      <c r="F262">
        <v>1</v>
      </c>
      <c r="G262">
        <v>5</v>
      </c>
      <c r="H262">
        <v>3</v>
      </c>
      <c r="I262">
        <v>0</v>
      </c>
      <c r="J262">
        <v>58939</v>
      </c>
      <c r="K262">
        <v>0</v>
      </c>
      <c r="L262">
        <v>19</v>
      </c>
      <c r="M262" t="s">
        <v>37</v>
      </c>
      <c r="N262" t="s">
        <v>38</v>
      </c>
      <c r="O262">
        <v>2130</v>
      </c>
      <c r="P262">
        <v>23775</v>
      </c>
      <c r="Q262" t="s">
        <v>64</v>
      </c>
      <c r="R262" t="s">
        <v>40</v>
      </c>
      <c r="S262" t="s">
        <v>41</v>
      </c>
      <c r="T262" t="s">
        <v>42</v>
      </c>
      <c r="U262" t="s">
        <v>43</v>
      </c>
      <c r="V262">
        <v>41589</v>
      </c>
      <c r="X262" t="s">
        <v>44</v>
      </c>
      <c r="Y262" t="s">
        <v>45</v>
      </c>
      <c r="Z262" t="s">
        <v>46</v>
      </c>
      <c r="AA262" t="s">
        <v>87</v>
      </c>
      <c r="AB262">
        <v>19</v>
      </c>
      <c r="AC262" t="s">
        <v>88</v>
      </c>
      <c r="AD262" t="s">
        <v>60</v>
      </c>
      <c r="AE262">
        <v>3.73</v>
      </c>
      <c r="AF262">
        <v>3</v>
      </c>
      <c r="AG262">
        <v>0</v>
      </c>
      <c r="AH262" t="s">
        <v>229</v>
      </c>
      <c r="AI262">
        <v>0</v>
      </c>
      <c r="AJ262">
        <v>16</v>
      </c>
      <c r="AK262" t="str">
        <f t="shared" si="34"/>
        <v>Normal</v>
      </c>
      <c r="AL262" t="str">
        <f t="shared" si="35"/>
        <v>low Outlier</v>
      </c>
      <c r="AM262">
        <f ca="1">INT((TODAY()-HRDataset_v14[[#This Row],[DOB]])/365.25)</f>
        <v>61</v>
      </c>
      <c r="AN262">
        <f ca="1">DATEDIF(HRDataset_v14[[#This Row],[DateofHire]],TODAY(),"Y")</f>
        <v>12</v>
      </c>
      <c r="AO262">
        <f ca="1">IF(ISBLANK(HRDataset_v14[[#This Row],[DateofTermination]]),DATEDIF(HRDataset_v14[[#This Row],[DateofHire]],TODAY(),"Y"),DATEDIF(HRDataset_v14[[#This Row],[DateofHire]],HRDataset_v14[[#This Row],[DateofTermination]],"Y"))</f>
        <v>12</v>
      </c>
      <c r="AP262" t="str">
        <f ca="1">IF(HRDataset_v14[[#This Row],[Tenure in Years
]]&lt;1,"0-1 Year",IF(HRDataset_v14[[#This Row],[Tenure in Years
]]&lt;3,"1-3 Years",IF(HRDataset_v14[[#This Row],[Tenure in Years
]]&lt;5,"3-5 Years",IF(HRDataset_v14[[#This Row],[Tenure in Years
]]&lt;10,"5-10 Years","10+ Years"))))</f>
        <v>10+ Years</v>
      </c>
      <c r="AQ262" t="str">
        <f ca="1">IF(HRDataset_v14[[#This Row],[Age Calculation
]]&lt;26,"18-25",IF(HRDataset_v14[[#This Row],[Age Calculation
]]&lt;36,"26-35",IF(HRDataset_v14[[#This Row],[Age Calculation
]]&lt;46,"36-45",IF(HRDataset_v14[[#This Row],[Age Calculation
]]&lt;56,"46-55","55+"))))</f>
        <v>55+</v>
      </c>
      <c r="AR262" t="str">
        <f>IF(HRDataset_v14[[#This Row],[Salary]]&lt;40000,"Entry (&lt;40K)",IF(HRDataset_v14[[#This Row],[Salary]]&lt;70000,"Mid (40-70K)",IF(HRDataset_v14[[#This Row],[Salary]]&lt;100000,"Senior (70-100K)","Executive (100K+)")))</f>
        <v>Mid (40-70K)</v>
      </c>
      <c r="AS262">
        <f>IF(HRDataset_v14[[#This Row],[EmploymentStatus]]="Active",1,0)</f>
        <v>1</v>
      </c>
      <c r="AT262">
        <f>YEAR(HRDataset_v14[[#This Row],[DateofHire]])</f>
        <v>2013</v>
      </c>
      <c r="AU262">
        <f>MONTH(HRDataset_v14[[#This Row],[DateofHire]])</f>
        <v>11</v>
      </c>
      <c r="AV262" t="str">
        <f>"Q"&amp;ROUNDUP(MONTH(HRDataset_v14[[#This Row],[DateofHire]])/3,0)</f>
        <v>Q4</v>
      </c>
      <c r="AW262" t="str">
        <f>TEXT(HRDataset_v14[[#This Row],[DateofHire]],"MMM")</f>
        <v>Nov</v>
      </c>
      <c r="AX262" t="str">
        <f>TEXT(HRDataset_v14[[#This Row],[DateofHire]],"YYYY-MM")</f>
        <v>2013-11</v>
      </c>
      <c r="AY262" t="str">
        <f>IF(ISBLANK(HRDataset_v14[[#This Row],[DateofTermination]]),"N/A",YEAR(HRDataset_v14[[#This Row],[DateofTermination]]))</f>
        <v>N/A</v>
      </c>
      <c r="AZ262" t="str" cm="1">
        <f t="array" ref="AZ262">INDEX(_xlfn.UNIQUE(Z262:Z572),MATCH(MAX(COUNTIF(Z262:Z572,_xlfn.UNIQUE(Z262:Z572))),COUNTIF(Z262:Z572,_xlfn.UNIQUE(Z262:Z572)),0))</f>
        <v xml:space="preserve">Production       </v>
      </c>
      <c r="BA262">
        <f t="shared" si="40"/>
        <v>50</v>
      </c>
      <c r="BB262">
        <f t="shared" si="41"/>
        <v>0</v>
      </c>
      <c r="BC262" t="str">
        <f t="shared" si="36"/>
        <v>Medium</v>
      </c>
      <c r="BD262">
        <f t="shared" si="37"/>
        <v>3.73</v>
      </c>
      <c r="BE262" t="str">
        <f t="shared" si="38"/>
        <v/>
      </c>
      <c r="BT262">
        <f t="shared" si="39"/>
        <v>3.73</v>
      </c>
    </row>
    <row r="263" spans="1:72" x14ac:dyDescent="0.3">
      <c r="A263" t="s">
        <v>553</v>
      </c>
      <c r="B263">
        <v>10119</v>
      </c>
      <c r="C263">
        <v>1</v>
      </c>
      <c r="D263">
        <v>1</v>
      </c>
      <c r="E263">
        <v>0</v>
      </c>
      <c r="F263">
        <v>1</v>
      </c>
      <c r="G263">
        <v>3</v>
      </c>
      <c r="H263">
        <v>3</v>
      </c>
      <c r="I263">
        <v>0</v>
      </c>
      <c r="J263">
        <v>66593</v>
      </c>
      <c r="K263">
        <v>0</v>
      </c>
      <c r="L263">
        <v>14</v>
      </c>
      <c r="M263" t="s">
        <v>96</v>
      </c>
      <c r="N263" t="s">
        <v>38</v>
      </c>
      <c r="O263">
        <v>2360</v>
      </c>
      <c r="P263">
        <v>26735</v>
      </c>
      <c r="Q263" t="s">
        <v>64</v>
      </c>
      <c r="R263" t="s">
        <v>53</v>
      </c>
      <c r="S263" t="s">
        <v>41</v>
      </c>
      <c r="T263" t="s">
        <v>42</v>
      </c>
      <c r="U263" t="s">
        <v>91</v>
      </c>
      <c r="V263">
        <v>40704</v>
      </c>
      <c r="X263" t="s">
        <v>44</v>
      </c>
      <c r="Y263" t="s">
        <v>45</v>
      </c>
      <c r="Z263" t="s">
        <v>57</v>
      </c>
      <c r="AA263" t="s">
        <v>205</v>
      </c>
      <c r="AB263">
        <v>6</v>
      </c>
      <c r="AC263" t="s">
        <v>48</v>
      </c>
      <c r="AD263" t="s">
        <v>60</v>
      </c>
      <c r="AE263">
        <v>4.3</v>
      </c>
      <c r="AF263">
        <v>3</v>
      </c>
      <c r="AG263">
        <v>5</v>
      </c>
      <c r="AH263" t="s">
        <v>303</v>
      </c>
      <c r="AI263">
        <v>0</v>
      </c>
      <c r="AJ263">
        <v>19</v>
      </c>
      <c r="AK263" t="str">
        <f t="shared" si="34"/>
        <v>Normal</v>
      </c>
      <c r="AL263" t="str">
        <f t="shared" si="35"/>
        <v>low Outlier</v>
      </c>
      <c r="AM263">
        <f ca="1">INT((TODAY()-HRDataset_v14[[#This Row],[DOB]])/365.25)</f>
        <v>53</v>
      </c>
      <c r="AN263">
        <f ca="1">DATEDIF(HRDataset_v14[[#This Row],[DateofHire]],TODAY(),"Y")</f>
        <v>14</v>
      </c>
      <c r="AO263">
        <f ca="1">IF(ISBLANK(HRDataset_v14[[#This Row],[DateofTermination]]),DATEDIF(HRDataset_v14[[#This Row],[DateofHire]],TODAY(),"Y"),DATEDIF(HRDataset_v14[[#This Row],[DateofHire]],HRDataset_v14[[#This Row],[DateofTermination]],"Y"))</f>
        <v>14</v>
      </c>
      <c r="AP263" t="str">
        <f ca="1">IF(HRDataset_v14[[#This Row],[Tenure in Years
]]&lt;1,"0-1 Year",IF(HRDataset_v14[[#This Row],[Tenure in Years
]]&lt;3,"1-3 Years",IF(HRDataset_v14[[#This Row],[Tenure in Years
]]&lt;5,"3-5 Years",IF(HRDataset_v14[[#This Row],[Tenure in Years
]]&lt;10,"5-10 Years","10+ Years"))))</f>
        <v>10+ Years</v>
      </c>
      <c r="AQ263" t="str">
        <f ca="1">IF(HRDataset_v14[[#This Row],[Age Calculation
]]&lt;26,"18-25",IF(HRDataset_v14[[#This Row],[Age Calculation
]]&lt;36,"26-35",IF(HRDataset_v14[[#This Row],[Age Calculation
]]&lt;46,"36-45",IF(HRDataset_v14[[#This Row],[Age Calculation
]]&lt;56,"46-55","55+"))))</f>
        <v>46-55</v>
      </c>
      <c r="AR263" t="str">
        <f>IF(HRDataset_v14[[#This Row],[Salary]]&lt;40000,"Entry (&lt;40K)",IF(HRDataset_v14[[#This Row],[Salary]]&lt;70000,"Mid (40-70K)",IF(HRDataset_v14[[#This Row],[Salary]]&lt;100000,"Senior (70-100K)","Executive (100K+)")))</f>
        <v>Mid (40-70K)</v>
      </c>
      <c r="AS263">
        <f>IF(HRDataset_v14[[#This Row],[EmploymentStatus]]="Active",1,0)</f>
        <v>1</v>
      </c>
      <c r="AT263">
        <f>YEAR(HRDataset_v14[[#This Row],[DateofHire]])</f>
        <v>2011</v>
      </c>
      <c r="AU263">
        <f>MONTH(HRDataset_v14[[#This Row],[DateofHire]])</f>
        <v>6</v>
      </c>
      <c r="AV263" t="str">
        <f>"Q"&amp;ROUNDUP(MONTH(HRDataset_v14[[#This Row],[DateofHire]])/3,0)</f>
        <v>Q2</v>
      </c>
      <c r="AW263" t="str">
        <f>TEXT(HRDataset_v14[[#This Row],[DateofHire]],"MMM")</f>
        <v>Jun</v>
      </c>
      <c r="AX263" t="str">
        <f>TEXT(HRDataset_v14[[#This Row],[DateofHire]],"YYYY-MM")</f>
        <v>2011-06</v>
      </c>
      <c r="AY263" t="str">
        <f>IF(ISBLANK(HRDataset_v14[[#This Row],[DateofTermination]]),"N/A",YEAR(HRDataset_v14[[#This Row],[DateofTermination]]))</f>
        <v>N/A</v>
      </c>
      <c r="AZ263" t="str" cm="1">
        <f t="array" ref="AZ263">INDEX(_xlfn.UNIQUE(Z263:Z573),MATCH(MAX(COUNTIF(Z263:Z573,_xlfn.UNIQUE(Z263:Z573))),COUNTIF(Z263:Z573,_xlfn.UNIQUE(Z263:Z573)),0))</f>
        <v xml:space="preserve">Production       </v>
      </c>
      <c r="BA263">
        <f t="shared" si="40"/>
        <v>0</v>
      </c>
      <c r="BB263">
        <f t="shared" si="41"/>
        <v>0</v>
      </c>
      <c r="BC263" t="str">
        <f t="shared" si="36"/>
        <v>Medium</v>
      </c>
      <c r="BD263">
        <f t="shared" si="37"/>
        <v>4.3</v>
      </c>
      <c r="BE263" t="str">
        <f t="shared" si="38"/>
        <v/>
      </c>
      <c r="BT263">
        <f t="shared" si="39"/>
        <v>4.3</v>
      </c>
    </row>
    <row r="264" spans="1:72" x14ac:dyDescent="0.3">
      <c r="A264" t="s">
        <v>554</v>
      </c>
      <c r="B264">
        <v>10180</v>
      </c>
      <c r="C264">
        <v>1</v>
      </c>
      <c r="D264">
        <v>1</v>
      </c>
      <c r="E264">
        <v>1</v>
      </c>
      <c r="F264">
        <v>2</v>
      </c>
      <c r="G264">
        <v>3</v>
      </c>
      <c r="H264">
        <v>3</v>
      </c>
      <c r="I264">
        <v>0</v>
      </c>
      <c r="J264">
        <v>87565</v>
      </c>
      <c r="K264">
        <v>0</v>
      </c>
      <c r="L264">
        <v>28</v>
      </c>
      <c r="M264" t="s">
        <v>225</v>
      </c>
      <c r="N264" t="s">
        <v>38</v>
      </c>
      <c r="O264">
        <v>1545</v>
      </c>
      <c r="P264">
        <v>30356</v>
      </c>
      <c r="Q264" t="s">
        <v>39</v>
      </c>
      <c r="R264" t="s">
        <v>53</v>
      </c>
      <c r="S264" t="s">
        <v>41</v>
      </c>
      <c r="T264" t="s">
        <v>42</v>
      </c>
      <c r="U264" t="s">
        <v>132</v>
      </c>
      <c r="V264">
        <v>42551</v>
      </c>
      <c r="X264" t="s">
        <v>44</v>
      </c>
      <c r="Y264" t="s">
        <v>45</v>
      </c>
      <c r="Z264" t="s">
        <v>57</v>
      </c>
      <c r="AA264" t="s">
        <v>97</v>
      </c>
      <c r="AB264">
        <v>7</v>
      </c>
      <c r="AC264" t="s">
        <v>48</v>
      </c>
      <c r="AD264" t="s">
        <v>60</v>
      </c>
      <c r="AE264">
        <v>3.27</v>
      </c>
      <c r="AF264">
        <v>4</v>
      </c>
      <c r="AG264">
        <v>5</v>
      </c>
      <c r="AH264" t="s">
        <v>124</v>
      </c>
      <c r="AI264">
        <v>0</v>
      </c>
      <c r="AJ264">
        <v>13</v>
      </c>
      <c r="AK264" t="str">
        <f t="shared" si="34"/>
        <v>Normal</v>
      </c>
      <c r="AL264" t="str">
        <f t="shared" si="35"/>
        <v>low Outlier</v>
      </c>
      <c r="AM264">
        <f ca="1">INT((TODAY()-HRDataset_v14[[#This Row],[DOB]])/365.25)</f>
        <v>43</v>
      </c>
      <c r="AN264">
        <f ca="1">DATEDIF(HRDataset_v14[[#This Row],[DateofHire]],TODAY(),"Y")</f>
        <v>9</v>
      </c>
      <c r="AO264">
        <f ca="1">IF(ISBLANK(HRDataset_v14[[#This Row],[DateofTermination]]),DATEDIF(HRDataset_v14[[#This Row],[DateofHire]],TODAY(),"Y"),DATEDIF(HRDataset_v14[[#This Row],[DateofHire]],HRDataset_v14[[#This Row],[DateofTermination]],"Y"))</f>
        <v>9</v>
      </c>
      <c r="AP264" t="str">
        <f ca="1">IF(HRDataset_v14[[#This Row],[Tenure in Years
]]&lt;1,"0-1 Year",IF(HRDataset_v14[[#This Row],[Tenure in Years
]]&lt;3,"1-3 Years",IF(HRDataset_v14[[#This Row],[Tenure in Years
]]&lt;5,"3-5 Years",IF(HRDataset_v14[[#This Row],[Tenure in Years
]]&lt;10,"5-10 Years","10+ Years"))))</f>
        <v>5-10 Years</v>
      </c>
      <c r="AQ264" t="str">
        <f ca="1">IF(HRDataset_v14[[#This Row],[Age Calculation
]]&lt;26,"18-25",IF(HRDataset_v14[[#This Row],[Age Calculation
]]&lt;36,"26-35",IF(HRDataset_v14[[#This Row],[Age Calculation
]]&lt;46,"36-45",IF(HRDataset_v14[[#This Row],[Age Calculation
]]&lt;56,"46-55","55+"))))</f>
        <v>36-45</v>
      </c>
      <c r="AR264" t="str">
        <f>IF(HRDataset_v14[[#This Row],[Salary]]&lt;40000,"Entry (&lt;40K)",IF(HRDataset_v14[[#This Row],[Salary]]&lt;70000,"Mid (40-70K)",IF(HRDataset_v14[[#This Row],[Salary]]&lt;100000,"Senior (70-100K)","Executive (100K+)")))</f>
        <v>Senior (70-100K)</v>
      </c>
      <c r="AS264">
        <f>IF(HRDataset_v14[[#This Row],[EmploymentStatus]]="Active",1,0)</f>
        <v>1</v>
      </c>
      <c r="AT264">
        <f>YEAR(HRDataset_v14[[#This Row],[DateofHire]])</f>
        <v>2016</v>
      </c>
      <c r="AU264">
        <f>MONTH(HRDataset_v14[[#This Row],[DateofHire]])</f>
        <v>6</v>
      </c>
      <c r="AV264" t="str">
        <f>"Q"&amp;ROUNDUP(MONTH(HRDataset_v14[[#This Row],[DateofHire]])/3,0)</f>
        <v>Q2</v>
      </c>
      <c r="AW264" t="str">
        <f>TEXT(HRDataset_v14[[#This Row],[DateofHire]],"MMM")</f>
        <v>Jun</v>
      </c>
      <c r="AX264" t="str">
        <f>TEXT(HRDataset_v14[[#This Row],[DateofHire]],"YYYY-MM")</f>
        <v>2016-06</v>
      </c>
      <c r="AY264" t="str">
        <f>IF(ISBLANK(HRDataset_v14[[#This Row],[DateofTermination]]),"N/A",YEAR(HRDataset_v14[[#This Row],[DateofTermination]]))</f>
        <v>N/A</v>
      </c>
      <c r="AZ264" t="str" cm="1">
        <f t="array" ref="AZ264">INDEX(_xlfn.UNIQUE(Z264:Z574),MATCH(MAX(COUNTIF(Z264:Z574,_xlfn.UNIQUE(Z264:Z574))),COUNTIF(Z264:Z574,_xlfn.UNIQUE(Z264:Z574)),0))</f>
        <v xml:space="preserve">Production       </v>
      </c>
      <c r="BA264">
        <f t="shared" si="40"/>
        <v>25</v>
      </c>
      <c r="BB264">
        <f t="shared" si="41"/>
        <v>0</v>
      </c>
      <c r="BC264" t="str">
        <f t="shared" si="36"/>
        <v>Medium</v>
      </c>
      <c r="BD264">
        <f t="shared" si="37"/>
        <v>3.27</v>
      </c>
      <c r="BE264" t="str">
        <f t="shared" si="38"/>
        <v/>
      </c>
      <c r="BT264">
        <f t="shared" si="39"/>
        <v>3.27</v>
      </c>
    </row>
    <row r="265" spans="1:72" x14ac:dyDescent="0.3">
      <c r="A265" t="s">
        <v>555</v>
      </c>
      <c r="B265">
        <v>10302</v>
      </c>
      <c r="C265">
        <v>1</v>
      </c>
      <c r="D265">
        <v>1</v>
      </c>
      <c r="E265">
        <v>0</v>
      </c>
      <c r="F265">
        <v>1</v>
      </c>
      <c r="G265">
        <v>5</v>
      </c>
      <c r="H265">
        <v>1</v>
      </c>
      <c r="I265">
        <v>0</v>
      </c>
      <c r="J265">
        <v>64021</v>
      </c>
      <c r="K265">
        <v>0</v>
      </c>
      <c r="L265">
        <v>19</v>
      </c>
      <c r="M265" t="s">
        <v>37</v>
      </c>
      <c r="N265" t="s">
        <v>38</v>
      </c>
      <c r="O265">
        <v>2093</v>
      </c>
      <c r="P265">
        <v>25039</v>
      </c>
      <c r="Q265" t="s">
        <v>64</v>
      </c>
      <c r="R265" t="s">
        <v>53</v>
      </c>
      <c r="S265" t="s">
        <v>41</v>
      </c>
      <c r="T265" t="s">
        <v>42</v>
      </c>
      <c r="U265" t="s">
        <v>43</v>
      </c>
      <c r="V265">
        <v>40959</v>
      </c>
      <c r="X265" t="s">
        <v>44</v>
      </c>
      <c r="Y265" t="s">
        <v>45</v>
      </c>
      <c r="Z265" t="s">
        <v>46</v>
      </c>
      <c r="AA265" t="s">
        <v>92</v>
      </c>
      <c r="AB265">
        <v>12</v>
      </c>
      <c r="AC265" t="s">
        <v>59</v>
      </c>
      <c r="AD265" t="s">
        <v>241</v>
      </c>
      <c r="AE265">
        <v>2.4</v>
      </c>
      <c r="AF265">
        <v>2</v>
      </c>
      <c r="AG265">
        <v>1</v>
      </c>
      <c r="AH265" t="s">
        <v>89</v>
      </c>
      <c r="AI265">
        <v>6</v>
      </c>
      <c r="AJ265">
        <v>20</v>
      </c>
      <c r="AK265" t="str">
        <f t="shared" si="34"/>
        <v>Normal</v>
      </c>
      <c r="AL265" t="str">
        <f t="shared" si="35"/>
        <v>low Outlier</v>
      </c>
      <c r="AM265">
        <f ca="1">INT((TODAY()-HRDataset_v14[[#This Row],[DOB]])/365.25)</f>
        <v>57</v>
      </c>
      <c r="AN265">
        <f ca="1">DATEDIF(HRDataset_v14[[#This Row],[DateofHire]],TODAY(),"Y")</f>
        <v>14</v>
      </c>
      <c r="AO265">
        <f ca="1">IF(ISBLANK(HRDataset_v14[[#This Row],[DateofTermination]]),DATEDIF(HRDataset_v14[[#This Row],[DateofHire]],TODAY(),"Y"),DATEDIF(HRDataset_v14[[#This Row],[DateofHire]],HRDataset_v14[[#This Row],[DateofTermination]],"Y"))</f>
        <v>14</v>
      </c>
      <c r="AP265" t="str">
        <f ca="1">IF(HRDataset_v14[[#This Row],[Tenure in Years
]]&lt;1,"0-1 Year",IF(HRDataset_v14[[#This Row],[Tenure in Years
]]&lt;3,"1-3 Years",IF(HRDataset_v14[[#This Row],[Tenure in Years
]]&lt;5,"3-5 Years",IF(HRDataset_v14[[#This Row],[Tenure in Years
]]&lt;10,"5-10 Years","10+ Years"))))</f>
        <v>10+ Years</v>
      </c>
      <c r="AQ265" t="str">
        <f ca="1">IF(HRDataset_v14[[#This Row],[Age Calculation
]]&lt;26,"18-25",IF(HRDataset_v14[[#This Row],[Age Calculation
]]&lt;36,"26-35",IF(HRDataset_v14[[#This Row],[Age Calculation
]]&lt;46,"36-45",IF(HRDataset_v14[[#This Row],[Age Calculation
]]&lt;56,"46-55","55+"))))</f>
        <v>55+</v>
      </c>
      <c r="AR265" t="str">
        <f>IF(HRDataset_v14[[#This Row],[Salary]]&lt;40000,"Entry (&lt;40K)",IF(HRDataset_v14[[#This Row],[Salary]]&lt;70000,"Mid (40-70K)",IF(HRDataset_v14[[#This Row],[Salary]]&lt;100000,"Senior (70-100K)","Executive (100K+)")))</f>
        <v>Mid (40-70K)</v>
      </c>
      <c r="AS265">
        <f>IF(HRDataset_v14[[#This Row],[EmploymentStatus]]="Active",1,0)</f>
        <v>1</v>
      </c>
      <c r="AT265">
        <f>YEAR(HRDataset_v14[[#This Row],[DateofHire]])</f>
        <v>2012</v>
      </c>
      <c r="AU265">
        <f>MONTH(HRDataset_v14[[#This Row],[DateofHire]])</f>
        <v>2</v>
      </c>
      <c r="AV265" t="str">
        <f>"Q"&amp;ROUNDUP(MONTH(HRDataset_v14[[#This Row],[DateofHire]])/3,0)</f>
        <v>Q1</v>
      </c>
      <c r="AW265" t="str">
        <f>TEXT(HRDataset_v14[[#This Row],[DateofHire]],"MMM")</f>
        <v>Feb</v>
      </c>
      <c r="AX265" t="str">
        <f>TEXT(HRDataset_v14[[#This Row],[DateofHire]],"YYYY-MM")</f>
        <v>2012-02</v>
      </c>
      <c r="AY265" t="str">
        <f>IF(ISBLANK(HRDataset_v14[[#This Row],[DateofTermination]]),"N/A",YEAR(HRDataset_v14[[#This Row],[DateofTermination]]))</f>
        <v>N/A</v>
      </c>
      <c r="AZ265" t="str" cm="1">
        <f t="array" ref="AZ265">INDEX(_xlfn.UNIQUE(Z265:Z575),MATCH(MAX(COUNTIF(Z265:Z575,_xlfn.UNIQUE(Z265:Z575))),COUNTIF(Z265:Z575,_xlfn.UNIQUE(Z265:Z575)),0))</f>
        <v xml:space="preserve">Production       </v>
      </c>
      <c r="BA265">
        <f t="shared" si="40"/>
        <v>50</v>
      </c>
      <c r="BB265">
        <f t="shared" si="41"/>
        <v>0</v>
      </c>
      <c r="BC265" t="str">
        <f t="shared" si="36"/>
        <v>High</v>
      </c>
      <c r="BD265">
        <f t="shared" si="37"/>
        <v>2.4</v>
      </c>
      <c r="BE265" t="str">
        <f t="shared" si="38"/>
        <v/>
      </c>
      <c r="BT265">
        <f t="shared" si="39"/>
        <v>2.4</v>
      </c>
    </row>
    <row r="266" spans="1:72" x14ac:dyDescent="0.3">
      <c r="A266" t="s">
        <v>556</v>
      </c>
      <c r="B266">
        <v>10090</v>
      </c>
      <c r="C266">
        <v>1</v>
      </c>
      <c r="D266">
        <v>1</v>
      </c>
      <c r="E266">
        <v>0</v>
      </c>
      <c r="F266">
        <v>1</v>
      </c>
      <c r="G266">
        <v>5</v>
      </c>
      <c r="H266">
        <v>3</v>
      </c>
      <c r="I266">
        <v>0</v>
      </c>
      <c r="J266">
        <v>65714</v>
      </c>
      <c r="K266">
        <v>0</v>
      </c>
      <c r="L266">
        <v>18</v>
      </c>
      <c r="M266" t="s">
        <v>154</v>
      </c>
      <c r="N266" t="s">
        <v>38</v>
      </c>
      <c r="O266">
        <v>2451</v>
      </c>
      <c r="P266">
        <v>27667</v>
      </c>
      <c r="Q266" t="s">
        <v>64</v>
      </c>
      <c r="R266" t="s">
        <v>53</v>
      </c>
      <c r="S266" t="s">
        <v>41</v>
      </c>
      <c r="T266" t="s">
        <v>42</v>
      </c>
      <c r="U266" t="s">
        <v>43</v>
      </c>
      <c r="V266">
        <v>41184</v>
      </c>
      <c r="X266" t="s">
        <v>44</v>
      </c>
      <c r="Y266" t="s">
        <v>45</v>
      </c>
      <c r="Z266" t="s">
        <v>46</v>
      </c>
      <c r="AA266" t="s">
        <v>156</v>
      </c>
      <c r="AB266">
        <v>2</v>
      </c>
      <c r="AC266" t="s">
        <v>48</v>
      </c>
      <c r="AD266" t="s">
        <v>60</v>
      </c>
      <c r="AE266">
        <v>4.83</v>
      </c>
      <c r="AF266">
        <v>5</v>
      </c>
      <c r="AG266">
        <v>0</v>
      </c>
      <c r="AH266" t="s">
        <v>114</v>
      </c>
      <c r="AI266">
        <v>0</v>
      </c>
      <c r="AJ266">
        <v>15</v>
      </c>
      <c r="AK266" t="str">
        <f t="shared" si="34"/>
        <v>Normal</v>
      </c>
      <c r="AL266" t="str">
        <f t="shared" si="35"/>
        <v>low Outlier</v>
      </c>
      <c r="AM266">
        <f ca="1">INT((TODAY()-HRDataset_v14[[#This Row],[DOB]])/365.25)</f>
        <v>50</v>
      </c>
      <c r="AN266">
        <f ca="1">DATEDIF(HRDataset_v14[[#This Row],[DateofHire]],TODAY(),"Y")</f>
        <v>13</v>
      </c>
      <c r="AO266">
        <f ca="1">IF(ISBLANK(HRDataset_v14[[#This Row],[DateofTermination]]),DATEDIF(HRDataset_v14[[#This Row],[DateofHire]],TODAY(),"Y"),DATEDIF(HRDataset_v14[[#This Row],[DateofHire]],HRDataset_v14[[#This Row],[DateofTermination]],"Y"))</f>
        <v>13</v>
      </c>
      <c r="AP266" t="str">
        <f ca="1">IF(HRDataset_v14[[#This Row],[Tenure in Years
]]&lt;1,"0-1 Year",IF(HRDataset_v14[[#This Row],[Tenure in Years
]]&lt;3,"1-3 Years",IF(HRDataset_v14[[#This Row],[Tenure in Years
]]&lt;5,"3-5 Years",IF(HRDataset_v14[[#This Row],[Tenure in Years
]]&lt;10,"5-10 Years","10+ Years"))))</f>
        <v>10+ Years</v>
      </c>
      <c r="AQ266" t="str">
        <f ca="1">IF(HRDataset_v14[[#This Row],[Age Calculation
]]&lt;26,"18-25",IF(HRDataset_v14[[#This Row],[Age Calculation
]]&lt;36,"26-35",IF(HRDataset_v14[[#This Row],[Age Calculation
]]&lt;46,"36-45",IF(HRDataset_v14[[#This Row],[Age Calculation
]]&lt;56,"46-55","55+"))))</f>
        <v>46-55</v>
      </c>
      <c r="AR266" t="str">
        <f>IF(HRDataset_v14[[#This Row],[Salary]]&lt;40000,"Entry (&lt;40K)",IF(HRDataset_v14[[#This Row],[Salary]]&lt;70000,"Mid (40-70K)",IF(HRDataset_v14[[#This Row],[Salary]]&lt;100000,"Senior (70-100K)","Executive (100K+)")))</f>
        <v>Mid (40-70K)</v>
      </c>
      <c r="AS266">
        <f>IF(HRDataset_v14[[#This Row],[EmploymentStatus]]="Active",1,0)</f>
        <v>1</v>
      </c>
      <c r="AT266">
        <f>YEAR(HRDataset_v14[[#This Row],[DateofHire]])</f>
        <v>2012</v>
      </c>
      <c r="AU266">
        <f>MONTH(HRDataset_v14[[#This Row],[DateofHire]])</f>
        <v>10</v>
      </c>
      <c r="AV266" t="str">
        <f>"Q"&amp;ROUNDUP(MONTH(HRDataset_v14[[#This Row],[DateofHire]])/3,0)</f>
        <v>Q4</v>
      </c>
      <c r="AW266" t="str">
        <f>TEXT(HRDataset_v14[[#This Row],[DateofHire]],"MMM")</f>
        <v>Oct</v>
      </c>
      <c r="AX266" t="str">
        <f>TEXT(HRDataset_v14[[#This Row],[DateofHire]],"YYYY-MM")</f>
        <v>2012-10</v>
      </c>
      <c r="AY266" t="str">
        <f>IF(ISBLANK(HRDataset_v14[[#This Row],[DateofTermination]]),"N/A",YEAR(HRDataset_v14[[#This Row],[DateofTermination]]))</f>
        <v>N/A</v>
      </c>
      <c r="AZ266" t="str" cm="1">
        <f t="array" ref="AZ266">INDEX(_xlfn.UNIQUE(Z266:Z576),MATCH(MAX(COUNTIF(Z266:Z576,_xlfn.UNIQUE(Z266:Z576))),COUNTIF(Z266:Z576,_xlfn.UNIQUE(Z266:Z576)),0))</f>
        <v xml:space="preserve">Production       </v>
      </c>
      <c r="BA266">
        <f t="shared" si="40"/>
        <v>20</v>
      </c>
      <c r="BB266">
        <f t="shared" si="41"/>
        <v>0</v>
      </c>
      <c r="BC266" t="str">
        <f t="shared" si="36"/>
        <v>Medium</v>
      </c>
      <c r="BD266">
        <f t="shared" si="37"/>
        <v>4.83</v>
      </c>
      <c r="BE266" t="str">
        <f t="shared" si="38"/>
        <v/>
      </c>
      <c r="BT266">
        <f t="shared" si="39"/>
        <v>4.83</v>
      </c>
    </row>
    <row r="267" spans="1:72" x14ac:dyDescent="0.3">
      <c r="A267" t="s">
        <v>557</v>
      </c>
      <c r="B267">
        <v>10030</v>
      </c>
      <c r="C267">
        <v>0</v>
      </c>
      <c r="D267">
        <v>2</v>
      </c>
      <c r="E267">
        <v>0</v>
      </c>
      <c r="F267">
        <v>5</v>
      </c>
      <c r="G267">
        <v>5</v>
      </c>
      <c r="H267">
        <v>4</v>
      </c>
      <c r="I267">
        <v>0</v>
      </c>
      <c r="J267">
        <v>62425</v>
      </c>
      <c r="K267">
        <v>1</v>
      </c>
      <c r="L267">
        <v>19</v>
      </c>
      <c r="M267" t="s">
        <v>37</v>
      </c>
      <c r="N267" t="s">
        <v>38</v>
      </c>
      <c r="O267">
        <v>2359</v>
      </c>
      <c r="P267">
        <v>26749</v>
      </c>
      <c r="Q267" t="s">
        <v>64</v>
      </c>
      <c r="R267" t="s">
        <v>72</v>
      </c>
      <c r="S267" t="s">
        <v>41</v>
      </c>
      <c r="T267" t="s">
        <v>42</v>
      </c>
      <c r="U267" t="s">
        <v>43</v>
      </c>
      <c r="V267">
        <v>41407</v>
      </c>
      <c r="W267">
        <v>42184</v>
      </c>
      <c r="X267" t="s">
        <v>105</v>
      </c>
      <c r="Y267" t="s">
        <v>56</v>
      </c>
      <c r="Z267" t="s">
        <v>46</v>
      </c>
      <c r="AA267" t="s">
        <v>102</v>
      </c>
      <c r="AB267">
        <v>14</v>
      </c>
      <c r="AC267" t="s">
        <v>48</v>
      </c>
      <c r="AD267" t="s">
        <v>49</v>
      </c>
      <c r="AE267">
        <v>4.0999999999999996</v>
      </c>
      <c r="AF267">
        <v>4</v>
      </c>
      <c r="AG267">
        <v>0</v>
      </c>
      <c r="AH267" t="s">
        <v>558</v>
      </c>
      <c r="AI267">
        <v>0</v>
      </c>
      <c r="AJ267">
        <v>16</v>
      </c>
      <c r="AK267" t="str">
        <f t="shared" si="34"/>
        <v>Normal</v>
      </c>
      <c r="AL267" t="str">
        <f t="shared" si="35"/>
        <v>low Outlier</v>
      </c>
      <c r="AM267">
        <f ca="1">INT((TODAY()-HRDataset_v14[[#This Row],[DOB]])/365.25)</f>
        <v>53</v>
      </c>
      <c r="AN267">
        <f ca="1">DATEDIF(HRDataset_v14[[#This Row],[DateofHire]],TODAY(),"Y")</f>
        <v>12</v>
      </c>
      <c r="AO267">
        <f ca="1">IF(ISBLANK(HRDataset_v14[[#This Row],[DateofTermination]]),DATEDIF(HRDataset_v14[[#This Row],[DateofHire]],TODAY(),"Y"),DATEDIF(HRDataset_v14[[#This Row],[DateofHire]],HRDataset_v14[[#This Row],[DateofTermination]],"Y"))</f>
        <v>2</v>
      </c>
      <c r="AP267" t="str">
        <f ca="1">IF(HRDataset_v14[[#This Row],[Tenure in Years
]]&lt;1,"0-1 Year",IF(HRDataset_v14[[#This Row],[Tenure in Years
]]&lt;3,"1-3 Years",IF(HRDataset_v14[[#This Row],[Tenure in Years
]]&lt;5,"3-5 Years",IF(HRDataset_v14[[#This Row],[Tenure in Years
]]&lt;10,"5-10 Years","10+ Years"))))</f>
        <v>10+ Years</v>
      </c>
      <c r="AQ267" t="str">
        <f ca="1">IF(HRDataset_v14[[#This Row],[Age Calculation
]]&lt;26,"18-25",IF(HRDataset_v14[[#This Row],[Age Calculation
]]&lt;36,"26-35",IF(HRDataset_v14[[#This Row],[Age Calculation
]]&lt;46,"36-45",IF(HRDataset_v14[[#This Row],[Age Calculation
]]&lt;56,"46-55","55+"))))</f>
        <v>46-55</v>
      </c>
      <c r="AR267" t="str">
        <f>IF(HRDataset_v14[[#This Row],[Salary]]&lt;40000,"Entry (&lt;40K)",IF(HRDataset_v14[[#This Row],[Salary]]&lt;70000,"Mid (40-70K)",IF(HRDataset_v14[[#This Row],[Salary]]&lt;100000,"Senior (70-100K)","Executive (100K+)")))</f>
        <v>Mid (40-70K)</v>
      </c>
      <c r="AS267">
        <f>IF(HRDataset_v14[[#This Row],[EmploymentStatus]]="Active",1,0)</f>
        <v>0</v>
      </c>
      <c r="AT267">
        <f>YEAR(HRDataset_v14[[#This Row],[DateofHire]])</f>
        <v>2013</v>
      </c>
      <c r="AU267">
        <f>MONTH(HRDataset_v14[[#This Row],[DateofHire]])</f>
        <v>5</v>
      </c>
      <c r="AV267" t="str">
        <f>"Q"&amp;ROUNDUP(MONTH(HRDataset_v14[[#This Row],[DateofHire]])/3,0)</f>
        <v>Q2</v>
      </c>
      <c r="AW267" t="str">
        <f>TEXT(HRDataset_v14[[#This Row],[DateofHire]],"MMM")</f>
        <v>May</v>
      </c>
      <c r="AX267" t="str">
        <f>TEXT(HRDataset_v14[[#This Row],[DateofHire]],"YYYY-MM")</f>
        <v>2013-05</v>
      </c>
      <c r="AY267">
        <f>IF(ISBLANK(HRDataset_v14[[#This Row],[DateofTermination]]),"N/A",YEAR(HRDataset_v14[[#This Row],[DateofTermination]]))</f>
        <v>2015</v>
      </c>
      <c r="AZ267" t="str" cm="1">
        <f t="array" ref="AZ267">INDEX(_xlfn.UNIQUE(Z267:Z577),MATCH(MAX(COUNTIF(Z267:Z577,_xlfn.UNIQUE(Z267:Z577))),COUNTIF(Z267:Z577,_xlfn.UNIQUE(Z267:Z577)),0))</f>
        <v xml:space="preserve">Production       </v>
      </c>
      <c r="BA267">
        <f t="shared" si="40"/>
        <v>25</v>
      </c>
      <c r="BB267">
        <f t="shared" si="41"/>
        <v>3</v>
      </c>
      <c r="BC267" t="str">
        <f t="shared" si="36"/>
        <v>Low</v>
      </c>
      <c r="BD267" t="str">
        <f t="shared" si="37"/>
        <v/>
      </c>
      <c r="BE267">
        <f t="shared" si="38"/>
        <v>4.0999999999999996</v>
      </c>
      <c r="BT267" t="str">
        <f t="shared" si="39"/>
        <v/>
      </c>
    </row>
    <row r="268" spans="1:72" x14ac:dyDescent="0.3">
      <c r="A268" t="s">
        <v>559</v>
      </c>
      <c r="B268">
        <v>10278</v>
      </c>
      <c r="C268">
        <v>0</v>
      </c>
      <c r="D268">
        <v>2</v>
      </c>
      <c r="E268">
        <v>0</v>
      </c>
      <c r="F268">
        <v>1</v>
      </c>
      <c r="G268">
        <v>5</v>
      </c>
      <c r="H268">
        <v>3</v>
      </c>
      <c r="I268">
        <v>0</v>
      </c>
      <c r="J268">
        <v>47961</v>
      </c>
      <c r="K268">
        <v>0</v>
      </c>
      <c r="L268">
        <v>19</v>
      </c>
      <c r="M268" t="s">
        <v>37</v>
      </c>
      <c r="N268" t="s">
        <v>38</v>
      </c>
      <c r="O268">
        <v>2050</v>
      </c>
      <c r="P268">
        <v>30188</v>
      </c>
      <c r="Q268" t="s">
        <v>64</v>
      </c>
      <c r="R268" t="s">
        <v>72</v>
      </c>
      <c r="S268" t="s">
        <v>41</v>
      </c>
      <c r="T268" t="s">
        <v>42</v>
      </c>
      <c r="U268" t="s">
        <v>111</v>
      </c>
      <c r="V268">
        <v>40553</v>
      </c>
      <c r="X268" t="s">
        <v>44</v>
      </c>
      <c r="Y268" t="s">
        <v>45</v>
      </c>
      <c r="Z268" t="s">
        <v>46</v>
      </c>
      <c r="AA268" t="s">
        <v>66</v>
      </c>
      <c r="AB268">
        <v>20</v>
      </c>
      <c r="AC268" t="s">
        <v>75</v>
      </c>
      <c r="AD268" t="s">
        <v>60</v>
      </c>
      <c r="AE268">
        <v>4.0999999999999996</v>
      </c>
      <c r="AF268">
        <v>4</v>
      </c>
      <c r="AG268">
        <v>0</v>
      </c>
      <c r="AH268" t="s">
        <v>319</v>
      </c>
      <c r="AI268">
        <v>0</v>
      </c>
      <c r="AJ268">
        <v>9</v>
      </c>
      <c r="AK268" t="str">
        <f t="shared" si="34"/>
        <v>Normal</v>
      </c>
      <c r="AL268" t="str">
        <f t="shared" si="35"/>
        <v>low Outlier</v>
      </c>
      <c r="AM268">
        <f ca="1">INT((TODAY()-HRDataset_v14[[#This Row],[DOB]])/365.25)</f>
        <v>43</v>
      </c>
      <c r="AN268">
        <f ca="1">DATEDIF(HRDataset_v14[[#This Row],[DateofHire]],TODAY(),"Y")</f>
        <v>15</v>
      </c>
      <c r="AO268">
        <f ca="1">IF(ISBLANK(HRDataset_v14[[#This Row],[DateofTermination]]),DATEDIF(HRDataset_v14[[#This Row],[DateofHire]],TODAY(),"Y"),DATEDIF(HRDataset_v14[[#This Row],[DateofHire]],HRDataset_v14[[#This Row],[DateofTermination]],"Y"))</f>
        <v>15</v>
      </c>
      <c r="AP268" t="str">
        <f ca="1">IF(HRDataset_v14[[#This Row],[Tenure in Years
]]&lt;1,"0-1 Year",IF(HRDataset_v14[[#This Row],[Tenure in Years
]]&lt;3,"1-3 Years",IF(HRDataset_v14[[#This Row],[Tenure in Years
]]&lt;5,"3-5 Years",IF(HRDataset_v14[[#This Row],[Tenure in Years
]]&lt;10,"5-10 Years","10+ Years"))))</f>
        <v>10+ Years</v>
      </c>
      <c r="AQ268" t="str">
        <f ca="1">IF(HRDataset_v14[[#This Row],[Age Calculation
]]&lt;26,"18-25",IF(HRDataset_v14[[#This Row],[Age Calculation
]]&lt;36,"26-35",IF(HRDataset_v14[[#This Row],[Age Calculation
]]&lt;46,"36-45",IF(HRDataset_v14[[#This Row],[Age Calculation
]]&lt;56,"46-55","55+"))))</f>
        <v>36-45</v>
      </c>
      <c r="AR268" t="str">
        <f>IF(HRDataset_v14[[#This Row],[Salary]]&lt;40000,"Entry (&lt;40K)",IF(HRDataset_v14[[#This Row],[Salary]]&lt;70000,"Mid (40-70K)",IF(HRDataset_v14[[#This Row],[Salary]]&lt;100000,"Senior (70-100K)","Executive (100K+)")))</f>
        <v>Mid (40-70K)</v>
      </c>
      <c r="AS268">
        <f>IF(HRDataset_v14[[#This Row],[EmploymentStatus]]="Active",1,0)</f>
        <v>1</v>
      </c>
      <c r="AT268">
        <f>YEAR(HRDataset_v14[[#This Row],[DateofHire]])</f>
        <v>2011</v>
      </c>
      <c r="AU268">
        <f>MONTH(HRDataset_v14[[#This Row],[DateofHire]])</f>
        <v>1</v>
      </c>
      <c r="AV268" t="str">
        <f>"Q"&amp;ROUNDUP(MONTH(HRDataset_v14[[#This Row],[DateofHire]])/3,0)</f>
        <v>Q1</v>
      </c>
      <c r="AW268" t="str">
        <f>TEXT(HRDataset_v14[[#This Row],[DateofHire]],"MMM")</f>
        <v>Jan</v>
      </c>
      <c r="AX268" t="str">
        <f>TEXT(HRDataset_v14[[#This Row],[DateofHire]],"YYYY-MM")</f>
        <v>2011-01</v>
      </c>
      <c r="AY268" t="str">
        <f>IF(ISBLANK(HRDataset_v14[[#This Row],[DateofTermination]]),"N/A",YEAR(HRDataset_v14[[#This Row],[DateofTermination]]))</f>
        <v>N/A</v>
      </c>
      <c r="AZ268" t="str" cm="1">
        <f t="array" ref="AZ268">INDEX(_xlfn.UNIQUE(Z268:Z578),MATCH(MAX(COUNTIF(Z268:Z578,_xlfn.UNIQUE(Z268:Z578))),COUNTIF(Z268:Z578,_xlfn.UNIQUE(Z268:Z578)),0))</f>
        <v xml:space="preserve">Production       </v>
      </c>
      <c r="BA268">
        <f t="shared" si="40"/>
        <v>33.333333333333329</v>
      </c>
      <c r="BB268">
        <f t="shared" si="41"/>
        <v>0</v>
      </c>
      <c r="BC268" t="str">
        <f t="shared" si="36"/>
        <v>Medium</v>
      </c>
      <c r="BD268">
        <f t="shared" si="37"/>
        <v>4.0999999999999996</v>
      </c>
      <c r="BE268" t="str">
        <f t="shared" si="38"/>
        <v/>
      </c>
      <c r="BT268">
        <f t="shared" si="39"/>
        <v>4.0999999999999996</v>
      </c>
    </row>
    <row r="269" spans="1:72" x14ac:dyDescent="0.3">
      <c r="A269" t="s">
        <v>560</v>
      </c>
      <c r="B269">
        <v>10307</v>
      </c>
      <c r="C269">
        <v>1</v>
      </c>
      <c r="D269">
        <v>1</v>
      </c>
      <c r="E269">
        <v>1</v>
      </c>
      <c r="F269">
        <v>1</v>
      </c>
      <c r="G269">
        <v>6</v>
      </c>
      <c r="H269">
        <v>1</v>
      </c>
      <c r="I269">
        <v>0</v>
      </c>
      <c r="J269">
        <v>58273</v>
      </c>
      <c r="K269">
        <v>0</v>
      </c>
      <c r="L269">
        <v>3</v>
      </c>
      <c r="M269" t="s">
        <v>169</v>
      </c>
      <c r="N269" t="s">
        <v>561</v>
      </c>
      <c r="O269">
        <v>89139</v>
      </c>
      <c r="P269">
        <v>27158</v>
      </c>
      <c r="Q269" t="s">
        <v>39</v>
      </c>
      <c r="R269" t="s">
        <v>53</v>
      </c>
      <c r="S269" t="s">
        <v>41</v>
      </c>
      <c r="T269" t="s">
        <v>42</v>
      </c>
      <c r="U269" t="s">
        <v>43</v>
      </c>
      <c r="V269">
        <v>41771</v>
      </c>
      <c r="X269" t="s">
        <v>44</v>
      </c>
      <c r="Y269" t="s">
        <v>45</v>
      </c>
      <c r="Z269" t="s">
        <v>171</v>
      </c>
      <c r="AA269" t="s">
        <v>197</v>
      </c>
      <c r="AB269">
        <v>21</v>
      </c>
      <c r="AC269" t="s">
        <v>254</v>
      </c>
      <c r="AD269" t="s">
        <v>241</v>
      </c>
      <c r="AE269">
        <v>1.81</v>
      </c>
      <c r="AF269">
        <v>2</v>
      </c>
      <c r="AG269">
        <v>0</v>
      </c>
      <c r="AH269" t="s">
        <v>50</v>
      </c>
      <c r="AI269">
        <v>3</v>
      </c>
      <c r="AJ269">
        <v>5</v>
      </c>
      <c r="AK269" t="str">
        <f t="shared" si="34"/>
        <v>Normal</v>
      </c>
      <c r="AL269" t="str">
        <f t="shared" si="35"/>
        <v>low Outlier</v>
      </c>
      <c r="AM269">
        <f ca="1">INT((TODAY()-HRDataset_v14[[#This Row],[DOB]])/365.25)</f>
        <v>51</v>
      </c>
      <c r="AN269">
        <f ca="1">DATEDIF(HRDataset_v14[[#This Row],[DateofHire]],TODAY(),"Y")</f>
        <v>11</v>
      </c>
      <c r="AO269">
        <f ca="1">IF(ISBLANK(HRDataset_v14[[#This Row],[DateofTermination]]),DATEDIF(HRDataset_v14[[#This Row],[DateofHire]],TODAY(),"Y"),DATEDIF(HRDataset_v14[[#This Row],[DateofHire]],HRDataset_v14[[#This Row],[DateofTermination]],"Y"))</f>
        <v>11</v>
      </c>
      <c r="AP269" t="str">
        <f ca="1">IF(HRDataset_v14[[#This Row],[Tenure in Years
]]&lt;1,"0-1 Year",IF(HRDataset_v14[[#This Row],[Tenure in Years
]]&lt;3,"1-3 Years",IF(HRDataset_v14[[#This Row],[Tenure in Years
]]&lt;5,"3-5 Years",IF(HRDataset_v14[[#This Row],[Tenure in Years
]]&lt;10,"5-10 Years","10+ Years"))))</f>
        <v>10+ Years</v>
      </c>
      <c r="AQ269" t="str">
        <f ca="1">IF(HRDataset_v14[[#This Row],[Age Calculation
]]&lt;26,"18-25",IF(HRDataset_v14[[#This Row],[Age Calculation
]]&lt;36,"26-35",IF(HRDataset_v14[[#This Row],[Age Calculation
]]&lt;46,"36-45",IF(HRDataset_v14[[#This Row],[Age Calculation
]]&lt;56,"46-55","55+"))))</f>
        <v>46-55</v>
      </c>
      <c r="AR269" t="str">
        <f>IF(HRDataset_v14[[#This Row],[Salary]]&lt;40000,"Entry (&lt;40K)",IF(HRDataset_v14[[#This Row],[Salary]]&lt;70000,"Mid (40-70K)",IF(HRDataset_v14[[#This Row],[Salary]]&lt;100000,"Senior (70-100K)","Executive (100K+)")))</f>
        <v>Mid (40-70K)</v>
      </c>
      <c r="AS269">
        <f>IF(HRDataset_v14[[#This Row],[EmploymentStatus]]="Active",1,0)</f>
        <v>1</v>
      </c>
      <c r="AT269">
        <f>YEAR(HRDataset_v14[[#This Row],[DateofHire]])</f>
        <v>2014</v>
      </c>
      <c r="AU269">
        <f>MONTH(HRDataset_v14[[#This Row],[DateofHire]])</f>
        <v>5</v>
      </c>
      <c r="AV269" t="str">
        <f>"Q"&amp;ROUNDUP(MONTH(HRDataset_v14[[#This Row],[DateofHire]])/3,0)</f>
        <v>Q2</v>
      </c>
      <c r="AW269" t="str">
        <f>TEXT(HRDataset_v14[[#This Row],[DateofHire]],"MMM")</f>
        <v>May</v>
      </c>
      <c r="AX269" t="str">
        <f>TEXT(HRDataset_v14[[#This Row],[DateofHire]],"YYYY-MM")</f>
        <v>2014-05</v>
      </c>
      <c r="AY269" t="str">
        <f>IF(ISBLANK(HRDataset_v14[[#This Row],[DateofTermination]]),"N/A",YEAR(HRDataset_v14[[#This Row],[DateofTermination]]))</f>
        <v>N/A</v>
      </c>
      <c r="AZ269" t="str" cm="1">
        <f t="array" ref="AZ269">INDEX(_xlfn.UNIQUE(Z269:Z579),MATCH(MAX(COUNTIF(Z269:Z579,_xlfn.UNIQUE(Z269:Z579))),COUNTIF(Z269:Z579,_xlfn.UNIQUE(Z269:Z579)),0))</f>
        <v xml:space="preserve">Production       </v>
      </c>
      <c r="BA269">
        <f t="shared" si="40"/>
        <v>0</v>
      </c>
      <c r="BB269">
        <f t="shared" si="41"/>
        <v>0</v>
      </c>
      <c r="BC269" t="str">
        <f t="shared" si="36"/>
        <v>High</v>
      </c>
      <c r="BD269">
        <f t="shared" si="37"/>
        <v>1.81</v>
      </c>
      <c r="BE269" t="str">
        <f t="shared" si="38"/>
        <v/>
      </c>
      <c r="BT269">
        <f t="shared" si="39"/>
        <v>1.81</v>
      </c>
    </row>
    <row r="270" spans="1:72" x14ac:dyDescent="0.3">
      <c r="A270" t="s">
        <v>562</v>
      </c>
      <c r="B270">
        <v>10147</v>
      </c>
      <c r="C270">
        <v>0</v>
      </c>
      <c r="D270">
        <v>0</v>
      </c>
      <c r="E270">
        <v>1</v>
      </c>
      <c r="F270">
        <v>1</v>
      </c>
      <c r="G270">
        <v>1</v>
      </c>
      <c r="H270">
        <v>3</v>
      </c>
      <c r="I270">
        <v>0</v>
      </c>
      <c r="J270">
        <v>63003</v>
      </c>
      <c r="K270">
        <v>0</v>
      </c>
      <c r="L270">
        <v>1</v>
      </c>
      <c r="M270" t="s">
        <v>161</v>
      </c>
      <c r="N270" t="s">
        <v>38</v>
      </c>
      <c r="O270">
        <v>2703</v>
      </c>
      <c r="P270">
        <v>31656</v>
      </c>
      <c r="Q270" t="s">
        <v>39</v>
      </c>
      <c r="R270" t="s">
        <v>40</v>
      </c>
      <c r="S270" t="s">
        <v>41</v>
      </c>
      <c r="T270" t="s">
        <v>42</v>
      </c>
      <c r="U270" t="s">
        <v>43</v>
      </c>
      <c r="V270">
        <v>41911</v>
      </c>
      <c r="X270" t="s">
        <v>44</v>
      </c>
      <c r="Y270" t="s">
        <v>45</v>
      </c>
      <c r="Z270" t="s">
        <v>151</v>
      </c>
      <c r="AA270" t="s">
        <v>152</v>
      </c>
      <c r="AB270">
        <v>1</v>
      </c>
      <c r="AC270" t="s">
        <v>59</v>
      </c>
      <c r="AD270" t="s">
        <v>60</v>
      </c>
      <c r="AE270">
        <v>3.9</v>
      </c>
      <c r="AF270">
        <v>5</v>
      </c>
      <c r="AG270">
        <v>5</v>
      </c>
      <c r="AH270" t="s">
        <v>257</v>
      </c>
      <c r="AI270">
        <v>0</v>
      </c>
      <c r="AJ270">
        <v>9</v>
      </c>
      <c r="AK270" t="str">
        <f t="shared" si="34"/>
        <v>Normal</v>
      </c>
      <c r="AL270" t="str">
        <f t="shared" si="35"/>
        <v>low Outlier</v>
      </c>
      <c r="AM270">
        <f ca="1">INT((TODAY()-HRDataset_v14[[#This Row],[DOB]])/365.25)</f>
        <v>39</v>
      </c>
      <c r="AN270">
        <f ca="1">DATEDIF(HRDataset_v14[[#This Row],[DateofHire]],TODAY(),"Y")</f>
        <v>11</v>
      </c>
      <c r="AO270">
        <f ca="1">IF(ISBLANK(HRDataset_v14[[#This Row],[DateofTermination]]),DATEDIF(HRDataset_v14[[#This Row],[DateofHire]],TODAY(),"Y"),DATEDIF(HRDataset_v14[[#This Row],[DateofHire]],HRDataset_v14[[#This Row],[DateofTermination]],"Y"))</f>
        <v>11</v>
      </c>
      <c r="AP270" t="str">
        <f ca="1">IF(HRDataset_v14[[#This Row],[Tenure in Years
]]&lt;1,"0-1 Year",IF(HRDataset_v14[[#This Row],[Tenure in Years
]]&lt;3,"1-3 Years",IF(HRDataset_v14[[#This Row],[Tenure in Years
]]&lt;5,"3-5 Years",IF(HRDataset_v14[[#This Row],[Tenure in Years
]]&lt;10,"5-10 Years","10+ Years"))))</f>
        <v>10+ Years</v>
      </c>
      <c r="AQ270" t="str">
        <f ca="1">IF(HRDataset_v14[[#This Row],[Age Calculation
]]&lt;26,"18-25",IF(HRDataset_v14[[#This Row],[Age Calculation
]]&lt;36,"26-35",IF(HRDataset_v14[[#This Row],[Age Calculation
]]&lt;46,"36-45",IF(HRDataset_v14[[#This Row],[Age Calculation
]]&lt;56,"46-55","55+"))))</f>
        <v>36-45</v>
      </c>
      <c r="AR270" t="str">
        <f>IF(HRDataset_v14[[#This Row],[Salary]]&lt;40000,"Entry (&lt;40K)",IF(HRDataset_v14[[#This Row],[Salary]]&lt;70000,"Mid (40-70K)",IF(HRDataset_v14[[#This Row],[Salary]]&lt;100000,"Senior (70-100K)","Executive (100K+)")))</f>
        <v>Mid (40-70K)</v>
      </c>
      <c r="AS270">
        <f>IF(HRDataset_v14[[#This Row],[EmploymentStatus]]="Active",1,0)</f>
        <v>1</v>
      </c>
      <c r="AT270">
        <f>YEAR(HRDataset_v14[[#This Row],[DateofHire]])</f>
        <v>2014</v>
      </c>
      <c r="AU270">
        <f>MONTH(HRDataset_v14[[#This Row],[DateofHire]])</f>
        <v>9</v>
      </c>
      <c r="AV270" t="str">
        <f>"Q"&amp;ROUNDUP(MONTH(HRDataset_v14[[#This Row],[DateofHire]])/3,0)</f>
        <v>Q3</v>
      </c>
      <c r="AW270" t="str">
        <f>TEXT(HRDataset_v14[[#This Row],[DateofHire]],"MMM")</f>
        <v>Sep</v>
      </c>
      <c r="AX270" t="str">
        <f>TEXT(HRDataset_v14[[#This Row],[DateofHire]],"YYYY-MM")</f>
        <v>2014-09</v>
      </c>
      <c r="AY270" t="str">
        <f>IF(ISBLANK(HRDataset_v14[[#This Row],[DateofTermination]]),"N/A",YEAR(HRDataset_v14[[#This Row],[DateofTermination]]))</f>
        <v>N/A</v>
      </c>
      <c r="AZ270" t="str" cm="1">
        <f t="array" ref="AZ270">INDEX(_xlfn.UNIQUE(Z270:Z580),MATCH(MAX(COUNTIF(Z270:Z580,_xlfn.UNIQUE(Z270:Z580))),COUNTIF(Z270:Z580,_xlfn.UNIQUE(Z270:Z580)),0))</f>
        <v xml:space="preserve">Production       </v>
      </c>
      <c r="BA270">
        <f t="shared" si="40"/>
        <v>0</v>
      </c>
      <c r="BB270">
        <f t="shared" si="41"/>
        <v>0</v>
      </c>
      <c r="BC270" t="str">
        <f t="shared" si="36"/>
        <v>Medium</v>
      </c>
      <c r="BD270">
        <f t="shared" si="37"/>
        <v>3.9</v>
      </c>
      <c r="BE270" t="str">
        <f t="shared" si="38"/>
        <v/>
      </c>
      <c r="BT270">
        <f t="shared" si="39"/>
        <v>3.9</v>
      </c>
    </row>
    <row r="271" spans="1:72" x14ac:dyDescent="0.3">
      <c r="A271" t="s">
        <v>563</v>
      </c>
      <c r="B271">
        <v>10266</v>
      </c>
      <c r="C271">
        <v>1</v>
      </c>
      <c r="D271">
        <v>1</v>
      </c>
      <c r="E271">
        <v>1</v>
      </c>
      <c r="F271">
        <v>1</v>
      </c>
      <c r="G271">
        <v>5</v>
      </c>
      <c r="H271">
        <v>3</v>
      </c>
      <c r="I271">
        <v>0</v>
      </c>
      <c r="J271">
        <v>61355</v>
      </c>
      <c r="K271">
        <v>0</v>
      </c>
      <c r="L271">
        <v>19</v>
      </c>
      <c r="M271" t="s">
        <v>37</v>
      </c>
      <c r="N271" t="s">
        <v>38</v>
      </c>
      <c r="O271">
        <v>2301</v>
      </c>
      <c r="P271">
        <v>31120</v>
      </c>
      <c r="Q271" t="s">
        <v>39</v>
      </c>
      <c r="R271" t="s">
        <v>53</v>
      </c>
      <c r="S271" t="s">
        <v>41</v>
      </c>
      <c r="T271" t="s">
        <v>42</v>
      </c>
      <c r="U271" t="s">
        <v>132</v>
      </c>
      <c r="V271">
        <v>41687</v>
      </c>
      <c r="X271" t="s">
        <v>44</v>
      </c>
      <c r="Y271" t="s">
        <v>45</v>
      </c>
      <c r="Z271" t="s">
        <v>46</v>
      </c>
      <c r="AA271" t="s">
        <v>113</v>
      </c>
      <c r="AB271">
        <v>18</v>
      </c>
      <c r="AC271" t="s">
        <v>48</v>
      </c>
      <c r="AD271" t="s">
        <v>60</v>
      </c>
      <c r="AE271">
        <v>4.7</v>
      </c>
      <c r="AF271">
        <v>3</v>
      </c>
      <c r="AG271">
        <v>0</v>
      </c>
      <c r="AH271" t="s">
        <v>133</v>
      </c>
      <c r="AI271">
        <v>0</v>
      </c>
      <c r="AJ271">
        <v>4</v>
      </c>
      <c r="AK271" t="str">
        <f t="shared" si="34"/>
        <v>Normal</v>
      </c>
      <c r="AL271" t="str">
        <f t="shared" si="35"/>
        <v>low Outlier</v>
      </c>
      <c r="AM271">
        <f ca="1">INT((TODAY()-HRDataset_v14[[#This Row],[DOB]])/365.25)</f>
        <v>41</v>
      </c>
      <c r="AN271">
        <f ca="1">DATEDIF(HRDataset_v14[[#This Row],[DateofHire]],TODAY(),"Y")</f>
        <v>12</v>
      </c>
      <c r="AO271">
        <f ca="1">IF(ISBLANK(HRDataset_v14[[#This Row],[DateofTermination]]),DATEDIF(HRDataset_v14[[#This Row],[DateofHire]],TODAY(),"Y"),DATEDIF(HRDataset_v14[[#This Row],[DateofHire]],HRDataset_v14[[#This Row],[DateofTermination]],"Y"))</f>
        <v>12</v>
      </c>
      <c r="AP271" t="str">
        <f ca="1">IF(HRDataset_v14[[#This Row],[Tenure in Years
]]&lt;1,"0-1 Year",IF(HRDataset_v14[[#This Row],[Tenure in Years
]]&lt;3,"1-3 Years",IF(HRDataset_v14[[#This Row],[Tenure in Years
]]&lt;5,"3-5 Years",IF(HRDataset_v14[[#This Row],[Tenure in Years
]]&lt;10,"5-10 Years","10+ Years"))))</f>
        <v>10+ Years</v>
      </c>
      <c r="AQ271" t="str">
        <f ca="1">IF(HRDataset_v14[[#This Row],[Age Calculation
]]&lt;26,"18-25",IF(HRDataset_v14[[#This Row],[Age Calculation
]]&lt;36,"26-35",IF(HRDataset_v14[[#This Row],[Age Calculation
]]&lt;46,"36-45",IF(HRDataset_v14[[#This Row],[Age Calculation
]]&lt;56,"46-55","55+"))))</f>
        <v>36-45</v>
      </c>
      <c r="AR271" t="str">
        <f>IF(HRDataset_v14[[#This Row],[Salary]]&lt;40000,"Entry (&lt;40K)",IF(HRDataset_v14[[#This Row],[Salary]]&lt;70000,"Mid (40-70K)",IF(HRDataset_v14[[#This Row],[Salary]]&lt;100000,"Senior (70-100K)","Executive (100K+)")))</f>
        <v>Mid (40-70K)</v>
      </c>
      <c r="AS271">
        <f>IF(HRDataset_v14[[#This Row],[EmploymentStatus]]="Active",1,0)</f>
        <v>1</v>
      </c>
      <c r="AT271">
        <f>YEAR(HRDataset_v14[[#This Row],[DateofHire]])</f>
        <v>2014</v>
      </c>
      <c r="AU271">
        <f>MONTH(HRDataset_v14[[#This Row],[DateofHire]])</f>
        <v>2</v>
      </c>
      <c r="AV271" t="str">
        <f>"Q"&amp;ROUNDUP(MONTH(HRDataset_v14[[#This Row],[DateofHire]])/3,0)</f>
        <v>Q1</v>
      </c>
      <c r="AW271" t="str">
        <f>TEXT(HRDataset_v14[[#This Row],[DateofHire]],"MMM")</f>
        <v>Feb</v>
      </c>
      <c r="AX271" t="str">
        <f>TEXT(HRDataset_v14[[#This Row],[DateofHire]],"YYYY-MM")</f>
        <v>2014-02</v>
      </c>
      <c r="AY271" t="str">
        <f>IF(ISBLANK(HRDataset_v14[[#This Row],[DateofTermination]]),"N/A",YEAR(HRDataset_v14[[#This Row],[DateofTermination]]))</f>
        <v>N/A</v>
      </c>
      <c r="AZ271" t="str" cm="1">
        <f t="array" ref="AZ271">INDEX(_xlfn.UNIQUE(Z271:Z581),MATCH(MAX(COUNTIF(Z271:Z581,_xlfn.UNIQUE(Z271:Z581))),COUNTIF(Z271:Z581,_xlfn.UNIQUE(Z271:Z581)),0))</f>
        <v xml:space="preserve">Production       </v>
      </c>
      <c r="BA271">
        <f t="shared" si="40"/>
        <v>50</v>
      </c>
      <c r="BB271">
        <f t="shared" si="41"/>
        <v>0</v>
      </c>
      <c r="BC271" t="str">
        <f t="shared" si="36"/>
        <v>Medium</v>
      </c>
      <c r="BD271">
        <f t="shared" si="37"/>
        <v>4.7</v>
      </c>
      <c r="BE271" t="str">
        <f t="shared" si="38"/>
        <v/>
      </c>
      <c r="BT271">
        <f t="shared" si="39"/>
        <v>4.7</v>
      </c>
    </row>
    <row r="272" spans="1:72" x14ac:dyDescent="0.3">
      <c r="A272" t="s">
        <v>564</v>
      </c>
      <c r="B272">
        <v>10241</v>
      </c>
      <c r="C272">
        <v>1</v>
      </c>
      <c r="D272">
        <v>1</v>
      </c>
      <c r="E272">
        <v>0</v>
      </c>
      <c r="F272">
        <v>1</v>
      </c>
      <c r="G272">
        <v>6</v>
      </c>
      <c r="H272">
        <v>3</v>
      </c>
      <c r="I272">
        <v>0</v>
      </c>
      <c r="J272">
        <v>60120</v>
      </c>
      <c r="K272">
        <v>0</v>
      </c>
      <c r="L272">
        <v>3</v>
      </c>
      <c r="M272" t="s">
        <v>169</v>
      </c>
      <c r="N272" t="s">
        <v>565</v>
      </c>
      <c r="O272">
        <v>59102</v>
      </c>
      <c r="P272">
        <v>32640</v>
      </c>
      <c r="Q272" t="s">
        <v>64</v>
      </c>
      <c r="R272" t="s">
        <v>53</v>
      </c>
      <c r="S272" t="s">
        <v>41</v>
      </c>
      <c r="T272" t="s">
        <v>42</v>
      </c>
      <c r="U272" t="s">
        <v>91</v>
      </c>
      <c r="V272">
        <v>40448</v>
      </c>
      <c r="X272" t="s">
        <v>44</v>
      </c>
      <c r="Y272" t="s">
        <v>45</v>
      </c>
      <c r="Z272" t="s">
        <v>171</v>
      </c>
      <c r="AA272" t="s">
        <v>172</v>
      </c>
      <c r="AB272">
        <v>17</v>
      </c>
      <c r="AC272" t="s">
        <v>59</v>
      </c>
      <c r="AD272" t="s">
        <v>60</v>
      </c>
      <c r="AE272">
        <v>4.0999999999999996</v>
      </c>
      <c r="AF272">
        <v>4</v>
      </c>
      <c r="AG272">
        <v>0</v>
      </c>
      <c r="AH272" t="s">
        <v>235</v>
      </c>
      <c r="AI272">
        <v>0</v>
      </c>
      <c r="AJ272">
        <v>18</v>
      </c>
      <c r="AK272" t="str">
        <f t="shared" si="34"/>
        <v>Normal</v>
      </c>
      <c r="AL272" t="str">
        <f t="shared" si="35"/>
        <v>low Outlier</v>
      </c>
      <c r="AM272">
        <f ca="1">INT((TODAY()-HRDataset_v14[[#This Row],[DOB]])/365.25)</f>
        <v>36</v>
      </c>
      <c r="AN272">
        <f ca="1">DATEDIF(HRDataset_v14[[#This Row],[DateofHire]],TODAY(),"Y")</f>
        <v>15</v>
      </c>
      <c r="AO272">
        <f ca="1">IF(ISBLANK(HRDataset_v14[[#This Row],[DateofTermination]]),DATEDIF(HRDataset_v14[[#This Row],[DateofHire]],TODAY(),"Y"),DATEDIF(HRDataset_v14[[#This Row],[DateofHire]],HRDataset_v14[[#This Row],[DateofTermination]],"Y"))</f>
        <v>15</v>
      </c>
      <c r="AP272" t="str">
        <f ca="1">IF(HRDataset_v14[[#This Row],[Tenure in Years
]]&lt;1,"0-1 Year",IF(HRDataset_v14[[#This Row],[Tenure in Years
]]&lt;3,"1-3 Years",IF(HRDataset_v14[[#This Row],[Tenure in Years
]]&lt;5,"3-5 Years",IF(HRDataset_v14[[#This Row],[Tenure in Years
]]&lt;10,"5-10 Years","10+ Years"))))</f>
        <v>10+ Years</v>
      </c>
      <c r="AQ272" t="str">
        <f ca="1">IF(HRDataset_v14[[#This Row],[Age Calculation
]]&lt;26,"18-25",IF(HRDataset_v14[[#This Row],[Age Calculation
]]&lt;36,"26-35",IF(HRDataset_v14[[#This Row],[Age Calculation
]]&lt;46,"36-45",IF(HRDataset_v14[[#This Row],[Age Calculation
]]&lt;56,"46-55","55+"))))</f>
        <v>36-45</v>
      </c>
      <c r="AR272" t="str">
        <f>IF(HRDataset_v14[[#This Row],[Salary]]&lt;40000,"Entry (&lt;40K)",IF(HRDataset_v14[[#This Row],[Salary]]&lt;70000,"Mid (40-70K)",IF(HRDataset_v14[[#This Row],[Salary]]&lt;100000,"Senior (70-100K)","Executive (100K+)")))</f>
        <v>Mid (40-70K)</v>
      </c>
      <c r="AS272">
        <f>IF(HRDataset_v14[[#This Row],[EmploymentStatus]]="Active",1,0)</f>
        <v>1</v>
      </c>
      <c r="AT272">
        <f>YEAR(HRDataset_v14[[#This Row],[DateofHire]])</f>
        <v>2010</v>
      </c>
      <c r="AU272">
        <f>MONTH(HRDataset_v14[[#This Row],[DateofHire]])</f>
        <v>9</v>
      </c>
      <c r="AV272" t="str">
        <f>"Q"&amp;ROUNDUP(MONTH(HRDataset_v14[[#This Row],[DateofHire]])/3,0)</f>
        <v>Q3</v>
      </c>
      <c r="AW272" t="str">
        <f>TEXT(HRDataset_v14[[#This Row],[DateofHire]],"MMM")</f>
        <v>Sep</v>
      </c>
      <c r="AX272" t="str">
        <f>TEXT(HRDataset_v14[[#This Row],[DateofHire]],"YYYY-MM")</f>
        <v>2010-09</v>
      </c>
      <c r="AY272" t="str">
        <f>IF(ISBLANK(HRDataset_v14[[#This Row],[DateofTermination]]),"N/A",YEAR(HRDataset_v14[[#This Row],[DateofTermination]]))</f>
        <v>N/A</v>
      </c>
      <c r="AZ272" t="str" cm="1">
        <f t="array" ref="AZ272">INDEX(_xlfn.UNIQUE(Z272:Z582),MATCH(MAX(COUNTIF(Z272:Z582,_xlfn.UNIQUE(Z272:Z582))),COUNTIF(Z272:Z582,_xlfn.UNIQUE(Z272:Z582)),0))</f>
        <v xml:space="preserve">Production       </v>
      </c>
      <c r="BA272">
        <f t="shared" si="40"/>
        <v>0</v>
      </c>
      <c r="BB272">
        <f t="shared" si="41"/>
        <v>0</v>
      </c>
      <c r="BC272" t="str">
        <f t="shared" si="36"/>
        <v>Medium</v>
      </c>
      <c r="BD272">
        <f t="shared" si="37"/>
        <v>4.0999999999999996</v>
      </c>
      <c r="BE272" t="str">
        <f t="shared" si="38"/>
        <v/>
      </c>
      <c r="BT272">
        <f t="shared" si="39"/>
        <v>4.0999999999999996</v>
      </c>
    </row>
    <row r="273" spans="1:72" x14ac:dyDescent="0.3">
      <c r="A273" t="s">
        <v>566</v>
      </c>
      <c r="B273">
        <v>10158</v>
      </c>
      <c r="C273">
        <v>1</v>
      </c>
      <c r="D273">
        <v>1</v>
      </c>
      <c r="E273">
        <v>0</v>
      </c>
      <c r="F273">
        <v>1</v>
      </c>
      <c r="G273">
        <v>5</v>
      </c>
      <c r="H273">
        <v>3</v>
      </c>
      <c r="I273">
        <v>0</v>
      </c>
      <c r="J273">
        <v>63682</v>
      </c>
      <c r="K273">
        <v>0</v>
      </c>
      <c r="L273">
        <v>18</v>
      </c>
      <c r="M273" t="s">
        <v>154</v>
      </c>
      <c r="N273" t="s">
        <v>38</v>
      </c>
      <c r="O273">
        <v>1776</v>
      </c>
      <c r="P273">
        <v>28577</v>
      </c>
      <c r="Q273" t="s">
        <v>64</v>
      </c>
      <c r="R273" t="s">
        <v>53</v>
      </c>
      <c r="S273" t="s">
        <v>41</v>
      </c>
      <c r="T273" t="s">
        <v>42</v>
      </c>
      <c r="U273" t="s">
        <v>91</v>
      </c>
      <c r="V273">
        <v>39821</v>
      </c>
      <c r="X273" t="s">
        <v>44</v>
      </c>
      <c r="Y273" t="s">
        <v>45</v>
      </c>
      <c r="Z273" t="s">
        <v>46</v>
      </c>
      <c r="AA273" t="s">
        <v>156</v>
      </c>
      <c r="AB273">
        <v>2</v>
      </c>
      <c r="AC273" t="s">
        <v>59</v>
      </c>
      <c r="AD273" t="s">
        <v>60</v>
      </c>
      <c r="AE273">
        <v>3.73</v>
      </c>
      <c r="AF273">
        <v>4</v>
      </c>
      <c r="AG273">
        <v>0</v>
      </c>
      <c r="AH273" t="s">
        <v>229</v>
      </c>
      <c r="AI273">
        <v>0</v>
      </c>
      <c r="AJ273">
        <v>12</v>
      </c>
      <c r="AK273" t="str">
        <f t="shared" si="34"/>
        <v>Normal</v>
      </c>
      <c r="AL273" t="str">
        <f t="shared" si="35"/>
        <v>low Outlier</v>
      </c>
      <c r="AM273">
        <f ca="1">INT((TODAY()-HRDataset_v14[[#This Row],[DOB]])/365.25)</f>
        <v>48</v>
      </c>
      <c r="AN273">
        <f ca="1">DATEDIF(HRDataset_v14[[#This Row],[DateofHire]],TODAY(),"Y")</f>
        <v>17</v>
      </c>
      <c r="AO273">
        <f ca="1">IF(ISBLANK(HRDataset_v14[[#This Row],[DateofTermination]]),DATEDIF(HRDataset_v14[[#This Row],[DateofHire]],TODAY(),"Y"),DATEDIF(HRDataset_v14[[#This Row],[DateofHire]],HRDataset_v14[[#This Row],[DateofTermination]],"Y"))</f>
        <v>17</v>
      </c>
      <c r="AP273" t="str">
        <f ca="1">IF(HRDataset_v14[[#This Row],[Tenure in Years
]]&lt;1,"0-1 Year",IF(HRDataset_v14[[#This Row],[Tenure in Years
]]&lt;3,"1-3 Years",IF(HRDataset_v14[[#This Row],[Tenure in Years
]]&lt;5,"3-5 Years",IF(HRDataset_v14[[#This Row],[Tenure in Years
]]&lt;10,"5-10 Years","10+ Years"))))</f>
        <v>10+ Years</v>
      </c>
      <c r="AQ273" t="str">
        <f ca="1">IF(HRDataset_v14[[#This Row],[Age Calculation
]]&lt;26,"18-25",IF(HRDataset_v14[[#This Row],[Age Calculation
]]&lt;36,"26-35",IF(HRDataset_v14[[#This Row],[Age Calculation
]]&lt;46,"36-45",IF(HRDataset_v14[[#This Row],[Age Calculation
]]&lt;56,"46-55","55+"))))</f>
        <v>46-55</v>
      </c>
      <c r="AR273" t="str">
        <f>IF(HRDataset_v14[[#This Row],[Salary]]&lt;40000,"Entry (&lt;40K)",IF(HRDataset_v14[[#This Row],[Salary]]&lt;70000,"Mid (40-70K)",IF(HRDataset_v14[[#This Row],[Salary]]&lt;100000,"Senior (70-100K)","Executive (100K+)")))</f>
        <v>Mid (40-70K)</v>
      </c>
      <c r="AS273">
        <f>IF(HRDataset_v14[[#This Row],[EmploymentStatus]]="Active",1,0)</f>
        <v>1</v>
      </c>
      <c r="AT273">
        <f>YEAR(HRDataset_v14[[#This Row],[DateofHire]])</f>
        <v>2009</v>
      </c>
      <c r="AU273">
        <f>MONTH(HRDataset_v14[[#This Row],[DateofHire]])</f>
        <v>1</v>
      </c>
      <c r="AV273" t="str">
        <f>"Q"&amp;ROUNDUP(MONTH(HRDataset_v14[[#This Row],[DateofHire]])/3,0)</f>
        <v>Q1</v>
      </c>
      <c r="AW273" t="str">
        <f>TEXT(HRDataset_v14[[#This Row],[DateofHire]],"MMM")</f>
        <v>Jan</v>
      </c>
      <c r="AX273" t="str">
        <f>TEXT(HRDataset_v14[[#This Row],[DateofHire]],"YYYY-MM")</f>
        <v>2009-01</v>
      </c>
      <c r="AY273" t="str">
        <f>IF(ISBLANK(HRDataset_v14[[#This Row],[DateofTermination]]),"N/A",YEAR(HRDataset_v14[[#This Row],[DateofTermination]]))</f>
        <v>N/A</v>
      </c>
      <c r="AZ273" t="str" cm="1">
        <f t="array" ref="AZ273">INDEX(_xlfn.UNIQUE(Z273:Z583),MATCH(MAX(COUNTIF(Z273:Z583,_xlfn.UNIQUE(Z273:Z583))),COUNTIF(Z273:Z583,_xlfn.UNIQUE(Z273:Z583)),0))</f>
        <v xml:space="preserve">Production       </v>
      </c>
      <c r="BA273">
        <f t="shared" si="40"/>
        <v>25</v>
      </c>
      <c r="BB273">
        <f t="shared" si="41"/>
        <v>0</v>
      </c>
      <c r="BC273" t="str">
        <f t="shared" si="36"/>
        <v>Medium</v>
      </c>
      <c r="BD273">
        <f t="shared" si="37"/>
        <v>3.73</v>
      </c>
      <c r="BE273" t="str">
        <f t="shared" si="38"/>
        <v/>
      </c>
      <c r="BT273">
        <f t="shared" si="39"/>
        <v>3.73</v>
      </c>
    </row>
    <row r="274" spans="1:72" x14ac:dyDescent="0.3">
      <c r="A274" t="s">
        <v>567</v>
      </c>
      <c r="B274">
        <v>10117</v>
      </c>
      <c r="C274">
        <v>1</v>
      </c>
      <c r="D274">
        <v>1</v>
      </c>
      <c r="E274">
        <v>1</v>
      </c>
      <c r="F274">
        <v>1</v>
      </c>
      <c r="G274">
        <v>5</v>
      </c>
      <c r="H274">
        <v>3</v>
      </c>
      <c r="I274">
        <v>0</v>
      </c>
      <c r="J274">
        <v>63025</v>
      </c>
      <c r="K274">
        <v>0</v>
      </c>
      <c r="L274">
        <v>19</v>
      </c>
      <c r="M274" t="s">
        <v>37</v>
      </c>
      <c r="N274" t="s">
        <v>38</v>
      </c>
      <c r="O274">
        <v>2747</v>
      </c>
      <c r="P274">
        <v>30231</v>
      </c>
      <c r="Q274" t="s">
        <v>39</v>
      </c>
      <c r="R274" t="s">
        <v>53</v>
      </c>
      <c r="S274" t="s">
        <v>41</v>
      </c>
      <c r="T274" t="s">
        <v>100</v>
      </c>
      <c r="U274" t="s">
        <v>43</v>
      </c>
      <c r="V274">
        <v>42009</v>
      </c>
      <c r="X274" t="s">
        <v>44</v>
      </c>
      <c r="Y274" t="s">
        <v>45</v>
      </c>
      <c r="Z274" t="s">
        <v>46</v>
      </c>
      <c r="AA274" t="s">
        <v>47</v>
      </c>
      <c r="AB274">
        <v>22</v>
      </c>
      <c r="AC274" t="s">
        <v>75</v>
      </c>
      <c r="AD274" t="s">
        <v>60</v>
      </c>
      <c r="AE274">
        <v>4.3600000000000003</v>
      </c>
      <c r="AF274">
        <v>5</v>
      </c>
      <c r="AG274">
        <v>0</v>
      </c>
      <c r="AH274" t="s">
        <v>229</v>
      </c>
      <c r="AI274">
        <v>0</v>
      </c>
      <c r="AJ274">
        <v>10</v>
      </c>
      <c r="AK274" t="str">
        <f t="shared" si="34"/>
        <v>Normal</v>
      </c>
      <c r="AL274" t="str">
        <f t="shared" si="35"/>
        <v>low Outlier</v>
      </c>
      <c r="AM274">
        <f ca="1">INT((TODAY()-HRDataset_v14[[#This Row],[DOB]])/365.25)</f>
        <v>43</v>
      </c>
      <c r="AN274">
        <f ca="1">DATEDIF(HRDataset_v14[[#This Row],[DateofHire]],TODAY(),"Y")</f>
        <v>11</v>
      </c>
      <c r="AO274">
        <f ca="1">IF(ISBLANK(HRDataset_v14[[#This Row],[DateofTermination]]),DATEDIF(HRDataset_v14[[#This Row],[DateofHire]],TODAY(),"Y"),DATEDIF(HRDataset_v14[[#This Row],[DateofHire]],HRDataset_v14[[#This Row],[DateofTermination]],"Y"))</f>
        <v>11</v>
      </c>
      <c r="AP274" t="str">
        <f ca="1">IF(HRDataset_v14[[#This Row],[Tenure in Years
]]&lt;1,"0-1 Year",IF(HRDataset_v14[[#This Row],[Tenure in Years
]]&lt;3,"1-3 Years",IF(HRDataset_v14[[#This Row],[Tenure in Years
]]&lt;5,"3-5 Years",IF(HRDataset_v14[[#This Row],[Tenure in Years
]]&lt;10,"5-10 Years","10+ Years"))))</f>
        <v>10+ Years</v>
      </c>
      <c r="AQ274" t="str">
        <f ca="1">IF(HRDataset_v14[[#This Row],[Age Calculation
]]&lt;26,"18-25",IF(HRDataset_v14[[#This Row],[Age Calculation
]]&lt;36,"26-35",IF(HRDataset_v14[[#This Row],[Age Calculation
]]&lt;46,"36-45",IF(HRDataset_v14[[#This Row],[Age Calculation
]]&lt;56,"46-55","55+"))))</f>
        <v>36-45</v>
      </c>
      <c r="AR274" t="str">
        <f>IF(HRDataset_v14[[#This Row],[Salary]]&lt;40000,"Entry (&lt;40K)",IF(HRDataset_v14[[#This Row],[Salary]]&lt;70000,"Mid (40-70K)",IF(HRDataset_v14[[#This Row],[Salary]]&lt;100000,"Senior (70-100K)","Executive (100K+)")))</f>
        <v>Mid (40-70K)</v>
      </c>
      <c r="AS274">
        <f>IF(HRDataset_v14[[#This Row],[EmploymentStatus]]="Active",1,0)</f>
        <v>1</v>
      </c>
      <c r="AT274">
        <f>YEAR(HRDataset_v14[[#This Row],[DateofHire]])</f>
        <v>2015</v>
      </c>
      <c r="AU274">
        <f>MONTH(HRDataset_v14[[#This Row],[DateofHire]])</f>
        <v>1</v>
      </c>
      <c r="AV274" t="str">
        <f>"Q"&amp;ROUNDUP(MONTH(HRDataset_v14[[#This Row],[DateofHire]])/3,0)</f>
        <v>Q1</v>
      </c>
      <c r="AW274" t="str">
        <f>TEXT(HRDataset_v14[[#This Row],[DateofHire]],"MMM")</f>
        <v>Jan</v>
      </c>
      <c r="AX274" t="str">
        <f>TEXT(HRDataset_v14[[#This Row],[DateofHire]],"YYYY-MM")</f>
        <v>2015-01</v>
      </c>
      <c r="AY274" t="str">
        <f>IF(ISBLANK(HRDataset_v14[[#This Row],[DateofTermination]]),"N/A",YEAR(HRDataset_v14[[#This Row],[DateofTermination]]))</f>
        <v>N/A</v>
      </c>
      <c r="AZ274" t="str" cm="1">
        <f t="array" ref="AZ274">INDEX(_xlfn.UNIQUE(Z274:Z584),MATCH(MAX(COUNTIF(Z274:Z584,_xlfn.UNIQUE(Z274:Z584))),COUNTIF(Z274:Z584,_xlfn.UNIQUE(Z274:Z584)),0))</f>
        <v xml:space="preserve">Production       </v>
      </c>
      <c r="BA274">
        <f t="shared" si="40"/>
        <v>0</v>
      </c>
      <c r="BB274">
        <f t="shared" si="41"/>
        <v>0</v>
      </c>
      <c r="BC274" t="str">
        <f t="shared" si="36"/>
        <v>Medium</v>
      </c>
      <c r="BD274">
        <f t="shared" si="37"/>
        <v>4.3600000000000003</v>
      </c>
      <c r="BE274" t="str">
        <f t="shared" si="38"/>
        <v/>
      </c>
      <c r="BT274">
        <f t="shared" si="39"/>
        <v>4.3600000000000003</v>
      </c>
    </row>
    <row r="275" spans="1:72" x14ac:dyDescent="0.3">
      <c r="A275" t="s">
        <v>568</v>
      </c>
      <c r="B275">
        <v>10209</v>
      </c>
      <c r="C275">
        <v>0</v>
      </c>
      <c r="D275">
        <v>0</v>
      </c>
      <c r="E275">
        <v>0</v>
      </c>
      <c r="F275">
        <v>1</v>
      </c>
      <c r="G275">
        <v>5</v>
      </c>
      <c r="H275">
        <v>3</v>
      </c>
      <c r="I275">
        <v>0</v>
      </c>
      <c r="J275">
        <v>59238</v>
      </c>
      <c r="K275">
        <v>0</v>
      </c>
      <c r="L275">
        <v>19</v>
      </c>
      <c r="M275" t="s">
        <v>37</v>
      </c>
      <c r="N275" t="s">
        <v>38</v>
      </c>
      <c r="O275">
        <v>2718</v>
      </c>
      <c r="P275">
        <v>25065</v>
      </c>
      <c r="Q275" t="s">
        <v>64</v>
      </c>
      <c r="R275" t="s">
        <v>40</v>
      </c>
      <c r="S275" t="s">
        <v>126</v>
      </c>
      <c r="T275" t="s">
        <v>42</v>
      </c>
      <c r="U275" t="s">
        <v>132</v>
      </c>
      <c r="V275">
        <v>41043</v>
      </c>
      <c r="X275" t="s">
        <v>44</v>
      </c>
      <c r="Y275" t="s">
        <v>45</v>
      </c>
      <c r="Z275" t="s">
        <v>46</v>
      </c>
      <c r="AA275" t="s">
        <v>69</v>
      </c>
      <c r="AB275">
        <v>16</v>
      </c>
      <c r="AC275" t="s">
        <v>59</v>
      </c>
      <c r="AD275" t="s">
        <v>60</v>
      </c>
      <c r="AE275">
        <v>3.4</v>
      </c>
      <c r="AF275">
        <v>5</v>
      </c>
      <c r="AG275">
        <v>0</v>
      </c>
      <c r="AH275" t="s">
        <v>235</v>
      </c>
      <c r="AI275">
        <v>0</v>
      </c>
      <c r="AJ275">
        <v>13</v>
      </c>
      <c r="AK275" t="str">
        <f t="shared" si="34"/>
        <v>Normal</v>
      </c>
      <c r="AL275" t="str">
        <f t="shared" si="35"/>
        <v>low Outlier</v>
      </c>
      <c r="AM275">
        <f ca="1">INT((TODAY()-HRDataset_v14[[#This Row],[DOB]])/365.25)</f>
        <v>57</v>
      </c>
      <c r="AN275">
        <f ca="1">DATEDIF(HRDataset_v14[[#This Row],[DateofHire]],TODAY(),"Y")</f>
        <v>13</v>
      </c>
      <c r="AO275">
        <f ca="1">IF(ISBLANK(HRDataset_v14[[#This Row],[DateofTermination]]),DATEDIF(HRDataset_v14[[#This Row],[DateofHire]],TODAY(),"Y"),DATEDIF(HRDataset_v14[[#This Row],[DateofHire]],HRDataset_v14[[#This Row],[DateofTermination]],"Y"))</f>
        <v>13</v>
      </c>
      <c r="AP275" t="str">
        <f ca="1">IF(HRDataset_v14[[#This Row],[Tenure in Years
]]&lt;1,"0-1 Year",IF(HRDataset_v14[[#This Row],[Tenure in Years
]]&lt;3,"1-3 Years",IF(HRDataset_v14[[#This Row],[Tenure in Years
]]&lt;5,"3-5 Years",IF(HRDataset_v14[[#This Row],[Tenure in Years
]]&lt;10,"5-10 Years","10+ Years"))))</f>
        <v>10+ Years</v>
      </c>
      <c r="AQ275" t="str">
        <f ca="1">IF(HRDataset_v14[[#This Row],[Age Calculation
]]&lt;26,"18-25",IF(HRDataset_v14[[#This Row],[Age Calculation
]]&lt;36,"26-35",IF(HRDataset_v14[[#This Row],[Age Calculation
]]&lt;46,"36-45",IF(HRDataset_v14[[#This Row],[Age Calculation
]]&lt;56,"46-55","55+"))))</f>
        <v>55+</v>
      </c>
      <c r="AR275" t="str">
        <f>IF(HRDataset_v14[[#This Row],[Salary]]&lt;40000,"Entry (&lt;40K)",IF(HRDataset_v14[[#This Row],[Salary]]&lt;70000,"Mid (40-70K)",IF(HRDataset_v14[[#This Row],[Salary]]&lt;100000,"Senior (70-100K)","Executive (100K+)")))</f>
        <v>Mid (40-70K)</v>
      </c>
      <c r="AS275">
        <f>IF(HRDataset_v14[[#This Row],[EmploymentStatus]]="Active",1,0)</f>
        <v>1</v>
      </c>
      <c r="AT275">
        <f>YEAR(HRDataset_v14[[#This Row],[DateofHire]])</f>
        <v>2012</v>
      </c>
      <c r="AU275">
        <f>MONTH(HRDataset_v14[[#This Row],[DateofHire]])</f>
        <v>5</v>
      </c>
      <c r="AV275" t="str">
        <f>"Q"&amp;ROUNDUP(MONTH(HRDataset_v14[[#This Row],[DateofHire]])/3,0)</f>
        <v>Q2</v>
      </c>
      <c r="AW275" t="str">
        <f>TEXT(HRDataset_v14[[#This Row],[DateofHire]],"MMM")</f>
        <v>May</v>
      </c>
      <c r="AX275" t="str">
        <f>TEXT(HRDataset_v14[[#This Row],[DateofHire]],"YYYY-MM")</f>
        <v>2012-05</v>
      </c>
      <c r="AY275" t="str">
        <f>IF(ISBLANK(HRDataset_v14[[#This Row],[DateofTermination]]),"N/A",YEAR(HRDataset_v14[[#This Row],[DateofTermination]]))</f>
        <v>N/A</v>
      </c>
      <c r="AZ275" t="str" cm="1">
        <f t="array" ref="AZ275">INDEX(_xlfn.UNIQUE(Z275:Z585),MATCH(MAX(COUNTIF(Z275:Z585,_xlfn.UNIQUE(Z275:Z585))),COUNTIF(Z275:Z585,_xlfn.UNIQUE(Z275:Z585)),0))</f>
        <v xml:space="preserve">Production       </v>
      </c>
      <c r="BA275">
        <f t="shared" si="40"/>
        <v>66.666666666666657</v>
      </c>
      <c r="BB275">
        <f t="shared" si="41"/>
        <v>0</v>
      </c>
      <c r="BC275" t="str">
        <f t="shared" si="36"/>
        <v>Medium</v>
      </c>
      <c r="BD275">
        <f t="shared" si="37"/>
        <v>3.4</v>
      </c>
      <c r="BE275" t="str">
        <f t="shared" si="38"/>
        <v/>
      </c>
      <c r="BT275">
        <f t="shared" si="39"/>
        <v>3.4</v>
      </c>
    </row>
    <row r="276" spans="1:72" x14ac:dyDescent="0.3">
      <c r="A276" t="s">
        <v>569</v>
      </c>
      <c r="B276">
        <v>10024</v>
      </c>
      <c r="C276">
        <v>0</v>
      </c>
      <c r="D276">
        <v>0</v>
      </c>
      <c r="E276">
        <v>1</v>
      </c>
      <c r="F276">
        <v>1</v>
      </c>
      <c r="G276">
        <v>4</v>
      </c>
      <c r="H276">
        <v>4</v>
      </c>
      <c r="I276">
        <v>0</v>
      </c>
      <c r="J276">
        <v>92989</v>
      </c>
      <c r="K276">
        <v>0</v>
      </c>
      <c r="L276">
        <v>24</v>
      </c>
      <c r="M276" t="s">
        <v>81</v>
      </c>
      <c r="N276" t="s">
        <v>38</v>
      </c>
      <c r="O276">
        <v>2140</v>
      </c>
      <c r="P276">
        <v>30442</v>
      </c>
      <c r="Q276" t="s">
        <v>39</v>
      </c>
      <c r="R276" t="s">
        <v>40</v>
      </c>
      <c r="S276" t="s">
        <v>41</v>
      </c>
      <c r="T276" t="s">
        <v>42</v>
      </c>
      <c r="U276" t="s">
        <v>43</v>
      </c>
      <c r="V276">
        <v>41827</v>
      </c>
      <c r="X276" t="s">
        <v>44</v>
      </c>
      <c r="Y276" t="s">
        <v>45</v>
      </c>
      <c r="Z276" t="s">
        <v>82</v>
      </c>
      <c r="AA276" t="s">
        <v>83</v>
      </c>
      <c r="AB276">
        <v>10</v>
      </c>
      <c r="AC276" t="s">
        <v>48</v>
      </c>
      <c r="AD276" t="s">
        <v>49</v>
      </c>
      <c r="AE276">
        <v>4.5</v>
      </c>
      <c r="AF276">
        <v>5</v>
      </c>
      <c r="AG276">
        <v>5</v>
      </c>
      <c r="AH276" t="s">
        <v>98</v>
      </c>
      <c r="AI276">
        <v>0</v>
      </c>
      <c r="AJ276">
        <v>1</v>
      </c>
      <c r="AK276" t="str">
        <f t="shared" si="34"/>
        <v>Normal</v>
      </c>
      <c r="AL276" t="str">
        <f t="shared" si="35"/>
        <v>low Outlier</v>
      </c>
      <c r="AM276">
        <f ca="1">INT((TODAY()-HRDataset_v14[[#This Row],[DOB]])/365.25)</f>
        <v>42</v>
      </c>
      <c r="AN276">
        <f ca="1">DATEDIF(HRDataset_v14[[#This Row],[DateofHire]],TODAY(),"Y")</f>
        <v>11</v>
      </c>
      <c r="AO276">
        <f ca="1">IF(ISBLANK(HRDataset_v14[[#This Row],[DateofTermination]]),DATEDIF(HRDataset_v14[[#This Row],[DateofHire]],TODAY(),"Y"),DATEDIF(HRDataset_v14[[#This Row],[DateofHire]],HRDataset_v14[[#This Row],[DateofTermination]],"Y"))</f>
        <v>11</v>
      </c>
      <c r="AP276" t="str">
        <f ca="1">IF(HRDataset_v14[[#This Row],[Tenure in Years
]]&lt;1,"0-1 Year",IF(HRDataset_v14[[#This Row],[Tenure in Years
]]&lt;3,"1-3 Years",IF(HRDataset_v14[[#This Row],[Tenure in Years
]]&lt;5,"3-5 Years",IF(HRDataset_v14[[#This Row],[Tenure in Years
]]&lt;10,"5-10 Years","10+ Years"))))</f>
        <v>10+ Years</v>
      </c>
      <c r="AQ276" t="str">
        <f ca="1">IF(HRDataset_v14[[#This Row],[Age Calculation
]]&lt;26,"18-25",IF(HRDataset_v14[[#This Row],[Age Calculation
]]&lt;36,"26-35",IF(HRDataset_v14[[#This Row],[Age Calculation
]]&lt;46,"36-45",IF(HRDataset_v14[[#This Row],[Age Calculation
]]&lt;56,"46-55","55+"))))</f>
        <v>36-45</v>
      </c>
      <c r="AR276" t="str">
        <f>IF(HRDataset_v14[[#This Row],[Salary]]&lt;40000,"Entry (&lt;40K)",IF(HRDataset_v14[[#This Row],[Salary]]&lt;70000,"Mid (40-70K)",IF(HRDataset_v14[[#This Row],[Salary]]&lt;100000,"Senior (70-100K)","Executive (100K+)")))</f>
        <v>Senior (70-100K)</v>
      </c>
      <c r="AS276">
        <f>IF(HRDataset_v14[[#This Row],[EmploymentStatus]]="Active",1,0)</f>
        <v>1</v>
      </c>
      <c r="AT276">
        <f>YEAR(HRDataset_v14[[#This Row],[DateofHire]])</f>
        <v>2014</v>
      </c>
      <c r="AU276">
        <f>MONTH(HRDataset_v14[[#This Row],[DateofHire]])</f>
        <v>7</v>
      </c>
      <c r="AV276" t="str">
        <f>"Q"&amp;ROUNDUP(MONTH(HRDataset_v14[[#This Row],[DateofHire]])/3,0)</f>
        <v>Q3</v>
      </c>
      <c r="AW276" t="str">
        <f>TEXT(HRDataset_v14[[#This Row],[DateofHire]],"MMM")</f>
        <v>Jul</v>
      </c>
      <c r="AX276" t="str">
        <f>TEXT(HRDataset_v14[[#This Row],[DateofHire]],"YYYY-MM")</f>
        <v>2014-07</v>
      </c>
      <c r="AY276" t="str">
        <f>IF(ISBLANK(HRDataset_v14[[#This Row],[DateofTermination]]),"N/A",YEAR(HRDataset_v14[[#This Row],[DateofTermination]]))</f>
        <v>N/A</v>
      </c>
      <c r="AZ276" t="str" cm="1">
        <f t="array" ref="AZ276">INDEX(_xlfn.UNIQUE(Z276:Z586),MATCH(MAX(COUNTIF(Z276:Z586,_xlfn.UNIQUE(Z276:Z586))),COUNTIF(Z276:Z586,_xlfn.UNIQUE(Z276:Z586)),0))</f>
        <v xml:space="preserve">Production       </v>
      </c>
      <c r="BA276">
        <f t="shared" si="40"/>
        <v>50</v>
      </c>
      <c r="BB276">
        <f t="shared" si="41"/>
        <v>0</v>
      </c>
      <c r="BC276" t="str">
        <f t="shared" si="36"/>
        <v>Low</v>
      </c>
      <c r="BD276">
        <f t="shared" si="37"/>
        <v>4.5</v>
      </c>
      <c r="BE276" t="str">
        <f t="shared" si="38"/>
        <v/>
      </c>
      <c r="BT276">
        <f t="shared" si="39"/>
        <v>4.5</v>
      </c>
    </row>
    <row r="277" spans="1:72" x14ac:dyDescent="0.3">
      <c r="A277" t="s">
        <v>570</v>
      </c>
      <c r="B277">
        <v>10173</v>
      </c>
      <c r="C277">
        <v>1</v>
      </c>
      <c r="D277">
        <v>1</v>
      </c>
      <c r="E277">
        <v>1</v>
      </c>
      <c r="F277">
        <v>1</v>
      </c>
      <c r="G277">
        <v>3</v>
      </c>
      <c r="H277">
        <v>3</v>
      </c>
      <c r="I277">
        <v>0</v>
      </c>
      <c r="J277">
        <v>90100</v>
      </c>
      <c r="K277">
        <v>0</v>
      </c>
      <c r="L277">
        <v>4</v>
      </c>
      <c r="M277" t="s">
        <v>247</v>
      </c>
      <c r="N277" t="s">
        <v>38</v>
      </c>
      <c r="O277">
        <v>2134</v>
      </c>
      <c r="P277">
        <v>32074</v>
      </c>
      <c r="Q277" t="s">
        <v>39</v>
      </c>
      <c r="R277" t="s">
        <v>53</v>
      </c>
      <c r="S277" t="s">
        <v>41</v>
      </c>
      <c r="T277" t="s">
        <v>42</v>
      </c>
      <c r="U277" t="s">
        <v>43</v>
      </c>
      <c r="V277">
        <v>42845</v>
      </c>
      <c r="X277" t="s">
        <v>44</v>
      </c>
      <c r="Y277" t="s">
        <v>45</v>
      </c>
      <c r="Z277" t="s">
        <v>57</v>
      </c>
      <c r="AA277" t="s">
        <v>249</v>
      </c>
      <c r="AB277">
        <v>13</v>
      </c>
      <c r="AC277" t="s">
        <v>59</v>
      </c>
      <c r="AD277" t="s">
        <v>60</v>
      </c>
      <c r="AE277">
        <v>3.4</v>
      </c>
      <c r="AF277">
        <v>3</v>
      </c>
      <c r="AG277">
        <v>6</v>
      </c>
      <c r="AH277" t="s">
        <v>84</v>
      </c>
      <c r="AI277">
        <v>0</v>
      </c>
      <c r="AJ277">
        <v>14</v>
      </c>
      <c r="AK277" t="str">
        <f t="shared" si="34"/>
        <v>Normal</v>
      </c>
      <c r="AL277" t="str">
        <f t="shared" si="35"/>
        <v>low Outlier</v>
      </c>
      <c r="AM277">
        <f ca="1">INT((TODAY()-HRDataset_v14[[#This Row],[DOB]])/365.25)</f>
        <v>38</v>
      </c>
      <c r="AN277">
        <f ca="1">DATEDIF(HRDataset_v14[[#This Row],[DateofHire]],TODAY(),"Y")</f>
        <v>8</v>
      </c>
      <c r="AO277">
        <f ca="1">IF(ISBLANK(HRDataset_v14[[#This Row],[DateofTermination]]),DATEDIF(HRDataset_v14[[#This Row],[DateofHire]],TODAY(),"Y"),DATEDIF(HRDataset_v14[[#This Row],[DateofHire]],HRDataset_v14[[#This Row],[DateofTermination]],"Y"))</f>
        <v>8</v>
      </c>
      <c r="AP277" t="str">
        <f ca="1">IF(HRDataset_v14[[#This Row],[Tenure in Years
]]&lt;1,"0-1 Year",IF(HRDataset_v14[[#This Row],[Tenure in Years
]]&lt;3,"1-3 Years",IF(HRDataset_v14[[#This Row],[Tenure in Years
]]&lt;5,"3-5 Years",IF(HRDataset_v14[[#This Row],[Tenure in Years
]]&lt;10,"5-10 Years","10+ Years"))))</f>
        <v>5-10 Years</v>
      </c>
      <c r="AQ277" t="str">
        <f ca="1">IF(HRDataset_v14[[#This Row],[Age Calculation
]]&lt;26,"18-25",IF(HRDataset_v14[[#This Row],[Age Calculation
]]&lt;36,"26-35",IF(HRDataset_v14[[#This Row],[Age Calculation
]]&lt;46,"36-45",IF(HRDataset_v14[[#This Row],[Age Calculation
]]&lt;56,"46-55","55+"))))</f>
        <v>36-45</v>
      </c>
      <c r="AR277" t="str">
        <f>IF(HRDataset_v14[[#This Row],[Salary]]&lt;40000,"Entry (&lt;40K)",IF(HRDataset_v14[[#This Row],[Salary]]&lt;70000,"Mid (40-70K)",IF(HRDataset_v14[[#This Row],[Salary]]&lt;100000,"Senior (70-100K)","Executive (100K+)")))</f>
        <v>Senior (70-100K)</v>
      </c>
      <c r="AS277">
        <f>IF(HRDataset_v14[[#This Row],[EmploymentStatus]]="Active",1,0)</f>
        <v>1</v>
      </c>
      <c r="AT277">
        <f>YEAR(HRDataset_v14[[#This Row],[DateofHire]])</f>
        <v>2017</v>
      </c>
      <c r="AU277">
        <f>MONTH(HRDataset_v14[[#This Row],[DateofHire]])</f>
        <v>4</v>
      </c>
      <c r="AV277" t="str">
        <f>"Q"&amp;ROUNDUP(MONTH(HRDataset_v14[[#This Row],[DateofHire]])/3,0)</f>
        <v>Q2</v>
      </c>
      <c r="AW277" t="str">
        <f>TEXT(HRDataset_v14[[#This Row],[DateofHire]],"MMM")</f>
        <v>Apr</v>
      </c>
      <c r="AX277" t="str">
        <f>TEXT(HRDataset_v14[[#This Row],[DateofHire]],"YYYY-MM")</f>
        <v>2017-04</v>
      </c>
      <c r="AY277" t="str">
        <f>IF(ISBLANK(HRDataset_v14[[#This Row],[DateofTermination]]),"N/A",YEAR(HRDataset_v14[[#This Row],[DateofTermination]]))</f>
        <v>N/A</v>
      </c>
      <c r="AZ277" t="str" cm="1">
        <f t="array" ref="AZ277">INDEX(_xlfn.UNIQUE(Z277:Z587),MATCH(MAX(COUNTIF(Z277:Z587,_xlfn.UNIQUE(Z277:Z587))),COUNTIF(Z277:Z587,_xlfn.UNIQUE(Z277:Z587)),0))</f>
        <v xml:space="preserve">Production       </v>
      </c>
      <c r="BA277">
        <f t="shared" si="40"/>
        <v>0</v>
      </c>
      <c r="BB277">
        <f t="shared" si="41"/>
        <v>0</v>
      </c>
      <c r="BC277" t="str">
        <f t="shared" si="36"/>
        <v>Medium</v>
      </c>
      <c r="BD277">
        <f t="shared" si="37"/>
        <v>3.4</v>
      </c>
      <c r="BE277" t="str">
        <f t="shared" si="38"/>
        <v/>
      </c>
      <c r="BT277">
        <f t="shared" si="39"/>
        <v>3.4</v>
      </c>
    </row>
    <row r="278" spans="1:72" x14ac:dyDescent="0.3">
      <c r="A278" t="s">
        <v>571</v>
      </c>
      <c r="B278">
        <v>10221</v>
      </c>
      <c r="C278">
        <v>1</v>
      </c>
      <c r="D278">
        <v>1</v>
      </c>
      <c r="E278">
        <v>0</v>
      </c>
      <c r="F278">
        <v>5</v>
      </c>
      <c r="G278">
        <v>5</v>
      </c>
      <c r="H278">
        <v>3</v>
      </c>
      <c r="I278">
        <v>1</v>
      </c>
      <c r="J278">
        <v>60754</v>
      </c>
      <c r="K278">
        <v>1</v>
      </c>
      <c r="L278">
        <v>19</v>
      </c>
      <c r="M278" t="s">
        <v>37</v>
      </c>
      <c r="N278" t="s">
        <v>38</v>
      </c>
      <c r="O278">
        <v>1801</v>
      </c>
      <c r="P278">
        <v>27487</v>
      </c>
      <c r="Q278" t="s">
        <v>64</v>
      </c>
      <c r="R278" t="s">
        <v>53</v>
      </c>
      <c r="S278" t="s">
        <v>203</v>
      </c>
      <c r="T278" t="s">
        <v>42</v>
      </c>
      <c r="U278" t="s">
        <v>91</v>
      </c>
      <c r="V278">
        <v>39930</v>
      </c>
      <c r="W278">
        <v>41365</v>
      </c>
      <c r="X278" t="s">
        <v>101</v>
      </c>
      <c r="Y278" t="s">
        <v>56</v>
      </c>
      <c r="Z278" t="s">
        <v>46</v>
      </c>
      <c r="AA278" t="s">
        <v>74</v>
      </c>
      <c r="AB278">
        <v>39</v>
      </c>
      <c r="AC278" t="s">
        <v>93</v>
      </c>
      <c r="AD278" t="s">
        <v>60</v>
      </c>
      <c r="AE278">
        <v>4.5</v>
      </c>
      <c r="AF278">
        <v>5</v>
      </c>
      <c r="AG278">
        <v>0</v>
      </c>
      <c r="AH278" t="s">
        <v>447</v>
      </c>
      <c r="AI278">
        <v>0</v>
      </c>
      <c r="AJ278">
        <v>11</v>
      </c>
      <c r="AK278" t="str">
        <f t="shared" si="34"/>
        <v>Normal</v>
      </c>
      <c r="AL278" t="str">
        <f t="shared" si="35"/>
        <v>low Outlier</v>
      </c>
      <c r="AM278">
        <f ca="1">INT((TODAY()-HRDataset_v14[[#This Row],[DOB]])/365.25)</f>
        <v>51</v>
      </c>
      <c r="AN278">
        <f ca="1">DATEDIF(HRDataset_v14[[#This Row],[DateofHire]],TODAY(),"Y")</f>
        <v>16</v>
      </c>
      <c r="AO278">
        <f ca="1">IF(ISBLANK(HRDataset_v14[[#This Row],[DateofTermination]]),DATEDIF(HRDataset_v14[[#This Row],[DateofHire]],TODAY(),"Y"),DATEDIF(HRDataset_v14[[#This Row],[DateofHire]],HRDataset_v14[[#This Row],[DateofTermination]],"Y"))</f>
        <v>3</v>
      </c>
      <c r="AP278" t="str">
        <f ca="1">IF(HRDataset_v14[[#This Row],[Tenure in Years
]]&lt;1,"0-1 Year",IF(HRDataset_v14[[#This Row],[Tenure in Years
]]&lt;3,"1-3 Years",IF(HRDataset_v14[[#This Row],[Tenure in Years
]]&lt;5,"3-5 Years",IF(HRDataset_v14[[#This Row],[Tenure in Years
]]&lt;10,"5-10 Years","10+ Years"))))</f>
        <v>10+ Years</v>
      </c>
      <c r="AQ278" t="str">
        <f ca="1">IF(HRDataset_v14[[#This Row],[Age Calculation
]]&lt;26,"18-25",IF(HRDataset_v14[[#This Row],[Age Calculation
]]&lt;36,"26-35",IF(HRDataset_v14[[#This Row],[Age Calculation
]]&lt;46,"36-45",IF(HRDataset_v14[[#This Row],[Age Calculation
]]&lt;56,"46-55","55+"))))</f>
        <v>46-55</v>
      </c>
      <c r="AR278" t="str">
        <f>IF(HRDataset_v14[[#This Row],[Salary]]&lt;40000,"Entry (&lt;40K)",IF(HRDataset_v14[[#This Row],[Salary]]&lt;70000,"Mid (40-70K)",IF(HRDataset_v14[[#This Row],[Salary]]&lt;100000,"Senior (70-100K)","Executive (100K+)")))</f>
        <v>Mid (40-70K)</v>
      </c>
      <c r="AS278">
        <f>IF(HRDataset_v14[[#This Row],[EmploymentStatus]]="Active",1,0)</f>
        <v>0</v>
      </c>
      <c r="AT278">
        <f>YEAR(HRDataset_v14[[#This Row],[DateofHire]])</f>
        <v>2009</v>
      </c>
      <c r="AU278">
        <f>MONTH(HRDataset_v14[[#This Row],[DateofHire]])</f>
        <v>4</v>
      </c>
      <c r="AV278" t="str">
        <f>"Q"&amp;ROUNDUP(MONTH(HRDataset_v14[[#This Row],[DateofHire]])/3,0)</f>
        <v>Q2</v>
      </c>
      <c r="AW278" t="str">
        <f>TEXT(HRDataset_v14[[#This Row],[DateofHire]],"MMM")</f>
        <v>Apr</v>
      </c>
      <c r="AX278" t="str">
        <f>TEXT(HRDataset_v14[[#This Row],[DateofHire]],"YYYY-MM")</f>
        <v>2009-04</v>
      </c>
      <c r="AY278">
        <f>IF(ISBLANK(HRDataset_v14[[#This Row],[DateofTermination]]),"N/A",YEAR(HRDataset_v14[[#This Row],[DateofTermination]]))</f>
        <v>2013</v>
      </c>
      <c r="AZ278" t="str" cm="1">
        <f t="array" ref="AZ278">INDEX(_xlfn.UNIQUE(Z278:Z588),MATCH(MAX(COUNTIF(Z278:Z588,_xlfn.UNIQUE(Z278:Z588))),COUNTIF(Z278:Z588,_xlfn.UNIQUE(Z278:Z588)),0))</f>
        <v xml:space="preserve">Production       </v>
      </c>
      <c r="BA278">
        <f t="shared" si="40"/>
        <v>100</v>
      </c>
      <c r="BB278">
        <f t="shared" si="41"/>
        <v>5</v>
      </c>
      <c r="BC278" t="str">
        <f t="shared" si="36"/>
        <v>Medium</v>
      </c>
      <c r="BD278" t="str">
        <f t="shared" si="37"/>
        <v/>
      </c>
      <c r="BE278">
        <f t="shared" si="38"/>
        <v>4.5</v>
      </c>
      <c r="BT278" t="str">
        <f t="shared" si="39"/>
        <v/>
      </c>
    </row>
    <row r="279" spans="1:72" x14ac:dyDescent="0.3">
      <c r="A279" t="s">
        <v>572</v>
      </c>
      <c r="B279">
        <v>10146</v>
      </c>
      <c r="C279">
        <v>1</v>
      </c>
      <c r="D279">
        <v>1</v>
      </c>
      <c r="E279">
        <v>0</v>
      </c>
      <c r="F279">
        <v>5</v>
      </c>
      <c r="G279">
        <v>5</v>
      </c>
      <c r="H279">
        <v>3</v>
      </c>
      <c r="I279">
        <v>0</v>
      </c>
      <c r="J279">
        <v>72202</v>
      </c>
      <c r="K279">
        <v>1</v>
      </c>
      <c r="L279">
        <v>20</v>
      </c>
      <c r="M279" t="s">
        <v>63</v>
      </c>
      <c r="N279" t="s">
        <v>38</v>
      </c>
      <c r="O279">
        <v>2129</v>
      </c>
      <c r="P279">
        <v>19503</v>
      </c>
      <c r="Q279" t="s">
        <v>64</v>
      </c>
      <c r="R279" t="s">
        <v>53</v>
      </c>
      <c r="S279" t="s">
        <v>41</v>
      </c>
      <c r="T279" t="s">
        <v>42</v>
      </c>
      <c r="U279" t="s">
        <v>43</v>
      </c>
      <c r="V279">
        <v>40679</v>
      </c>
      <c r="W279">
        <v>42924</v>
      </c>
      <c r="X279" t="s">
        <v>101</v>
      </c>
      <c r="Y279" t="s">
        <v>56</v>
      </c>
      <c r="Z279" t="s">
        <v>46</v>
      </c>
      <c r="AA279" t="s">
        <v>69</v>
      </c>
      <c r="AB279">
        <v>16</v>
      </c>
      <c r="AC279" t="s">
        <v>75</v>
      </c>
      <c r="AD279" t="s">
        <v>60</v>
      </c>
      <c r="AE279">
        <v>3.93</v>
      </c>
      <c r="AF279">
        <v>3</v>
      </c>
      <c r="AG279">
        <v>0</v>
      </c>
      <c r="AH279" t="s">
        <v>573</v>
      </c>
      <c r="AI279">
        <v>0</v>
      </c>
      <c r="AJ279">
        <v>3</v>
      </c>
      <c r="AK279" t="str">
        <f t="shared" si="34"/>
        <v>Normal</v>
      </c>
      <c r="AL279" t="str">
        <f t="shared" si="35"/>
        <v>low Outlier</v>
      </c>
      <c r="AM279">
        <f ca="1">INT((TODAY()-HRDataset_v14[[#This Row],[DOB]])/365.25)</f>
        <v>72</v>
      </c>
      <c r="AN279">
        <f ca="1">DATEDIF(HRDataset_v14[[#This Row],[DateofHire]],TODAY(),"Y")</f>
        <v>14</v>
      </c>
      <c r="AO279">
        <f ca="1">IF(ISBLANK(HRDataset_v14[[#This Row],[DateofTermination]]),DATEDIF(HRDataset_v14[[#This Row],[DateofHire]],TODAY(),"Y"),DATEDIF(HRDataset_v14[[#This Row],[DateofHire]],HRDataset_v14[[#This Row],[DateofTermination]],"Y"))</f>
        <v>6</v>
      </c>
      <c r="AP279" t="str">
        <f ca="1">IF(HRDataset_v14[[#This Row],[Tenure in Years
]]&lt;1,"0-1 Year",IF(HRDataset_v14[[#This Row],[Tenure in Years
]]&lt;3,"1-3 Years",IF(HRDataset_v14[[#This Row],[Tenure in Years
]]&lt;5,"3-5 Years",IF(HRDataset_v14[[#This Row],[Tenure in Years
]]&lt;10,"5-10 Years","10+ Years"))))</f>
        <v>10+ Years</v>
      </c>
      <c r="AQ279" t="str">
        <f ca="1">IF(HRDataset_v14[[#This Row],[Age Calculation
]]&lt;26,"18-25",IF(HRDataset_v14[[#This Row],[Age Calculation
]]&lt;36,"26-35",IF(HRDataset_v14[[#This Row],[Age Calculation
]]&lt;46,"36-45",IF(HRDataset_v14[[#This Row],[Age Calculation
]]&lt;56,"46-55","55+"))))</f>
        <v>55+</v>
      </c>
      <c r="AR279" t="str">
        <f>IF(HRDataset_v14[[#This Row],[Salary]]&lt;40000,"Entry (&lt;40K)",IF(HRDataset_v14[[#This Row],[Salary]]&lt;70000,"Mid (40-70K)",IF(HRDataset_v14[[#This Row],[Salary]]&lt;100000,"Senior (70-100K)","Executive (100K+)")))</f>
        <v>Senior (70-100K)</v>
      </c>
      <c r="AS279">
        <f>IF(HRDataset_v14[[#This Row],[EmploymentStatus]]="Active",1,0)</f>
        <v>0</v>
      </c>
      <c r="AT279">
        <f>YEAR(HRDataset_v14[[#This Row],[DateofHire]])</f>
        <v>2011</v>
      </c>
      <c r="AU279">
        <f>MONTH(HRDataset_v14[[#This Row],[DateofHire]])</f>
        <v>5</v>
      </c>
      <c r="AV279" t="str">
        <f>"Q"&amp;ROUNDUP(MONTH(HRDataset_v14[[#This Row],[DateofHire]])/3,0)</f>
        <v>Q2</v>
      </c>
      <c r="AW279" t="str">
        <f>TEXT(HRDataset_v14[[#This Row],[DateofHire]],"MMM")</f>
        <v>May</v>
      </c>
      <c r="AX279" t="str">
        <f>TEXT(HRDataset_v14[[#This Row],[DateofHire]],"YYYY-MM")</f>
        <v>2011-05</v>
      </c>
      <c r="AY279">
        <f>IF(ISBLANK(HRDataset_v14[[#This Row],[DateofTermination]]),"N/A",YEAR(HRDataset_v14[[#This Row],[DateofTermination]]))</f>
        <v>2017</v>
      </c>
      <c r="AZ279" t="str" cm="1">
        <f t="array" ref="AZ279">INDEX(_xlfn.UNIQUE(Z279:Z589),MATCH(MAX(COUNTIF(Z279:Z589,_xlfn.UNIQUE(Z279:Z589))),COUNTIF(Z279:Z589,_xlfn.UNIQUE(Z279:Z589)),0))</f>
        <v xml:space="preserve">Production       </v>
      </c>
      <c r="BA279">
        <f t="shared" si="40"/>
        <v>100</v>
      </c>
      <c r="BB279">
        <f t="shared" si="41"/>
        <v>4</v>
      </c>
      <c r="BC279" t="str">
        <f t="shared" si="36"/>
        <v>Medium</v>
      </c>
      <c r="BD279" t="str">
        <f t="shared" si="37"/>
        <v/>
      </c>
      <c r="BE279">
        <f t="shared" si="38"/>
        <v>3.93</v>
      </c>
      <c r="BT279" t="str">
        <f t="shared" si="39"/>
        <v/>
      </c>
    </row>
    <row r="280" spans="1:72" x14ac:dyDescent="0.3">
      <c r="A280" t="s">
        <v>574</v>
      </c>
      <c r="B280">
        <v>10161</v>
      </c>
      <c r="C280">
        <v>0</v>
      </c>
      <c r="D280">
        <v>0</v>
      </c>
      <c r="E280">
        <v>0</v>
      </c>
      <c r="F280">
        <v>1</v>
      </c>
      <c r="G280">
        <v>6</v>
      </c>
      <c r="H280">
        <v>3</v>
      </c>
      <c r="I280">
        <v>0</v>
      </c>
      <c r="J280">
        <v>58370</v>
      </c>
      <c r="K280">
        <v>0</v>
      </c>
      <c r="L280">
        <v>3</v>
      </c>
      <c r="M280" t="s">
        <v>169</v>
      </c>
      <c r="N280" t="s">
        <v>575</v>
      </c>
      <c r="O280">
        <v>97756</v>
      </c>
      <c r="P280">
        <v>23869</v>
      </c>
      <c r="Q280" t="s">
        <v>64</v>
      </c>
      <c r="R280" t="s">
        <v>40</v>
      </c>
      <c r="S280" t="s">
        <v>41</v>
      </c>
      <c r="T280" t="s">
        <v>42</v>
      </c>
      <c r="U280" t="s">
        <v>91</v>
      </c>
      <c r="V280">
        <v>41911</v>
      </c>
      <c r="X280" t="s">
        <v>44</v>
      </c>
      <c r="Y280" t="s">
        <v>45</v>
      </c>
      <c r="Z280" t="s">
        <v>171</v>
      </c>
      <c r="AA280" t="s">
        <v>197</v>
      </c>
      <c r="AB280">
        <v>21</v>
      </c>
      <c r="AC280" t="s">
        <v>59</v>
      </c>
      <c r="AD280" t="s">
        <v>60</v>
      </c>
      <c r="AE280">
        <v>3.69</v>
      </c>
      <c r="AF280">
        <v>3</v>
      </c>
      <c r="AG280">
        <v>0</v>
      </c>
      <c r="AH280" t="s">
        <v>223</v>
      </c>
      <c r="AI280">
        <v>0</v>
      </c>
      <c r="AJ280">
        <v>18</v>
      </c>
      <c r="AK280" t="str">
        <f t="shared" si="34"/>
        <v>Normal</v>
      </c>
      <c r="AL280" t="str">
        <f t="shared" si="35"/>
        <v>low Outlier</v>
      </c>
      <c r="AM280">
        <f ca="1">INT((TODAY()-HRDataset_v14[[#This Row],[DOB]])/365.25)</f>
        <v>60</v>
      </c>
      <c r="AN280">
        <f ca="1">DATEDIF(HRDataset_v14[[#This Row],[DateofHire]],TODAY(),"Y")</f>
        <v>11</v>
      </c>
      <c r="AO280">
        <f ca="1">IF(ISBLANK(HRDataset_v14[[#This Row],[DateofTermination]]),DATEDIF(HRDataset_v14[[#This Row],[DateofHire]],TODAY(),"Y"),DATEDIF(HRDataset_v14[[#This Row],[DateofHire]],HRDataset_v14[[#This Row],[DateofTermination]],"Y"))</f>
        <v>11</v>
      </c>
      <c r="AP280" t="str">
        <f ca="1">IF(HRDataset_v14[[#This Row],[Tenure in Years
]]&lt;1,"0-1 Year",IF(HRDataset_v14[[#This Row],[Tenure in Years
]]&lt;3,"1-3 Years",IF(HRDataset_v14[[#This Row],[Tenure in Years
]]&lt;5,"3-5 Years",IF(HRDataset_v14[[#This Row],[Tenure in Years
]]&lt;10,"5-10 Years","10+ Years"))))</f>
        <v>10+ Years</v>
      </c>
      <c r="AQ280" t="str">
        <f ca="1">IF(HRDataset_v14[[#This Row],[Age Calculation
]]&lt;26,"18-25",IF(HRDataset_v14[[#This Row],[Age Calculation
]]&lt;36,"26-35",IF(HRDataset_v14[[#This Row],[Age Calculation
]]&lt;46,"36-45",IF(HRDataset_v14[[#This Row],[Age Calculation
]]&lt;56,"46-55","55+"))))</f>
        <v>55+</v>
      </c>
      <c r="AR280" t="str">
        <f>IF(HRDataset_v14[[#This Row],[Salary]]&lt;40000,"Entry (&lt;40K)",IF(HRDataset_v14[[#This Row],[Salary]]&lt;70000,"Mid (40-70K)",IF(HRDataset_v14[[#This Row],[Salary]]&lt;100000,"Senior (70-100K)","Executive (100K+)")))</f>
        <v>Mid (40-70K)</v>
      </c>
      <c r="AS280">
        <f>IF(HRDataset_v14[[#This Row],[EmploymentStatus]]="Active",1,0)</f>
        <v>1</v>
      </c>
      <c r="AT280">
        <f>YEAR(HRDataset_v14[[#This Row],[DateofHire]])</f>
        <v>2014</v>
      </c>
      <c r="AU280">
        <f>MONTH(HRDataset_v14[[#This Row],[DateofHire]])</f>
        <v>9</v>
      </c>
      <c r="AV280" t="str">
        <f>"Q"&amp;ROUNDUP(MONTH(HRDataset_v14[[#This Row],[DateofHire]])/3,0)</f>
        <v>Q3</v>
      </c>
      <c r="AW280" t="str">
        <f>TEXT(HRDataset_v14[[#This Row],[DateofHire]],"MMM")</f>
        <v>Sep</v>
      </c>
      <c r="AX280" t="str">
        <f>TEXT(HRDataset_v14[[#This Row],[DateofHire]],"YYYY-MM")</f>
        <v>2014-09</v>
      </c>
      <c r="AY280" t="str">
        <f>IF(ISBLANK(HRDataset_v14[[#This Row],[DateofTermination]]),"N/A",YEAR(HRDataset_v14[[#This Row],[DateofTermination]]))</f>
        <v>N/A</v>
      </c>
      <c r="AZ280" t="str" cm="1">
        <f t="array" ref="AZ280">INDEX(_xlfn.UNIQUE(Z280:Z590),MATCH(MAX(COUNTIF(Z280:Z590,_xlfn.UNIQUE(Z280:Z590))),COUNTIF(Z280:Z590,_xlfn.UNIQUE(Z280:Z590)),0))</f>
        <v xml:space="preserve">Production       </v>
      </c>
      <c r="BA280">
        <f t="shared" si="40"/>
        <v>0</v>
      </c>
      <c r="BB280">
        <f t="shared" si="41"/>
        <v>0</v>
      </c>
      <c r="BC280" t="str">
        <f t="shared" si="36"/>
        <v>Medium</v>
      </c>
      <c r="BD280">
        <f t="shared" si="37"/>
        <v>3.69</v>
      </c>
      <c r="BE280" t="str">
        <f t="shared" si="38"/>
        <v/>
      </c>
      <c r="BT280">
        <f t="shared" si="39"/>
        <v>3.69</v>
      </c>
    </row>
    <row r="281" spans="1:72" x14ac:dyDescent="0.3">
      <c r="A281" t="s">
        <v>576</v>
      </c>
      <c r="B281">
        <v>10141</v>
      </c>
      <c r="C281">
        <v>0</v>
      </c>
      <c r="D281">
        <v>0</v>
      </c>
      <c r="E281">
        <v>0</v>
      </c>
      <c r="F281">
        <v>5</v>
      </c>
      <c r="G281">
        <v>5</v>
      </c>
      <c r="H281">
        <v>3</v>
      </c>
      <c r="I281">
        <v>0</v>
      </c>
      <c r="J281">
        <v>48413</v>
      </c>
      <c r="K281">
        <v>1</v>
      </c>
      <c r="L281">
        <v>19</v>
      </c>
      <c r="M281" t="s">
        <v>37</v>
      </c>
      <c r="N281" t="s">
        <v>38</v>
      </c>
      <c r="O281">
        <v>2066</v>
      </c>
      <c r="P281">
        <v>23871</v>
      </c>
      <c r="Q281" t="s">
        <v>64</v>
      </c>
      <c r="R281" t="s">
        <v>40</v>
      </c>
      <c r="S281" t="s">
        <v>41</v>
      </c>
      <c r="T281" t="s">
        <v>42</v>
      </c>
      <c r="U281" t="s">
        <v>43</v>
      </c>
      <c r="V281">
        <v>40729</v>
      </c>
      <c r="W281">
        <v>42618</v>
      </c>
      <c r="X281" t="s">
        <v>73</v>
      </c>
      <c r="Y281" t="s">
        <v>56</v>
      </c>
      <c r="Z281" t="s">
        <v>46</v>
      </c>
      <c r="AA281" t="s">
        <v>78</v>
      </c>
      <c r="AB281">
        <v>11</v>
      </c>
      <c r="AC281" t="s">
        <v>59</v>
      </c>
      <c r="AD281" t="s">
        <v>60</v>
      </c>
      <c r="AE281">
        <v>3.98</v>
      </c>
      <c r="AF281">
        <v>4</v>
      </c>
      <c r="AG281">
        <v>0</v>
      </c>
      <c r="AH281" t="s">
        <v>577</v>
      </c>
      <c r="AI281">
        <v>0</v>
      </c>
      <c r="AJ281">
        <v>1</v>
      </c>
      <c r="AK281" t="str">
        <f t="shared" si="34"/>
        <v>Normal</v>
      </c>
      <c r="AL281" t="str">
        <f t="shared" si="35"/>
        <v>low Outlier</v>
      </c>
      <c r="AM281">
        <f ca="1">INT((TODAY()-HRDataset_v14[[#This Row],[DOB]])/365.25)</f>
        <v>60</v>
      </c>
      <c r="AN281">
        <f ca="1">DATEDIF(HRDataset_v14[[#This Row],[DateofHire]],TODAY(),"Y")</f>
        <v>14</v>
      </c>
      <c r="AO281">
        <f ca="1">IF(ISBLANK(HRDataset_v14[[#This Row],[DateofTermination]]),DATEDIF(HRDataset_v14[[#This Row],[DateofHire]],TODAY(),"Y"),DATEDIF(HRDataset_v14[[#This Row],[DateofHire]],HRDataset_v14[[#This Row],[DateofTermination]],"Y"))</f>
        <v>5</v>
      </c>
      <c r="AP281" t="str">
        <f ca="1">IF(HRDataset_v14[[#This Row],[Tenure in Years
]]&lt;1,"0-1 Year",IF(HRDataset_v14[[#This Row],[Tenure in Years
]]&lt;3,"1-3 Years",IF(HRDataset_v14[[#This Row],[Tenure in Years
]]&lt;5,"3-5 Years",IF(HRDataset_v14[[#This Row],[Tenure in Years
]]&lt;10,"5-10 Years","10+ Years"))))</f>
        <v>10+ Years</v>
      </c>
      <c r="AQ281" t="str">
        <f ca="1">IF(HRDataset_v14[[#This Row],[Age Calculation
]]&lt;26,"18-25",IF(HRDataset_v14[[#This Row],[Age Calculation
]]&lt;36,"26-35",IF(HRDataset_v14[[#This Row],[Age Calculation
]]&lt;46,"36-45",IF(HRDataset_v14[[#This Row],[Age Calculation
]]&lt;56,"46-55","55+"))))</f>
        <v>55+</v>
      </c>
      <c r="AR281" t="str">
        <f>IF(HRDataset_v14[[#This Row],[Salary]]&lt;40000,"Entry (&lt;40K)",IF(HRDataset_v14[[#This Row],[Salary]]&lt;70000,"Mid (40-70K)",IF(HRDataset_v14[[#This Row],[Salary]]&lt;100000,"Senior (70-100K)","Executive (100K+)")))</f>
        <v>Mid (40-70K)</v>
      </c>
      <c r="AS281">
        <f>IF(HRDataset_v14[[#This Row],[EmploymentStatus]]="Active",1,0)</f>
        <v>0</v>
      </c>
      <c r="AT281">
        <f>YEAR(HRDataset_v14[[#This Row],[DateofHire]])</f>
        <v>2011</v>
      </c>
      <c r="AU281">
        <f>MONTH(HRDataset_v14[[#This Row],[DateofHire]])</f>
        <v>7</v>
      </c>
      <c r="AV281" t="str">
        <f>"Q"&amp;ROUNDUP(MONTH(HRDataset_v14[[#This Row],[DateofHire]])/3,0)</f>
        <v>Q3</v>
      </c>
      <c r="AW281" t="str">
        <f>TEXT(HRDataset_v14[[#This Row],[DateofHire]],"MMM")</f>
        <v>Jul</v>
      </c>
      <c r="AX281" t="str">
        <f>TEXT(HRDataset_v14[[#This Row],[DateofHire]],"YYYY-MM")</f>
        <v>2011-07</v>
      </c>
      <c r="AY281">
        <f>IF(ISBLANK(HRDataset_v14[[#This Row],[DateofTermination]]),"N/A",YEAR(HRDataset_v14[[#This Row],[DateofTermination]]))</f>
        <v>2016</v>
      </c>
      <c r="AZ281" t="str" cm="1">
        <f t="array" ref="AZ281">INDEX(_xlfn.UNIQUE(Z281:Z591),MATCH(MAX(COUNTIF(Z281:Z591,_xlfn.UNIQUE(Z281:Z591))),COUNTIF(Z281:Z591,_xlfn.UNIQUE(Z281:Z591)),0))</f>
        <v xml:space="preserve">Production       </v>
      </c>
      <c r="BA281">
        <f t="shared" si="40"/>
        <v>100</v>
      </c>
      <c r="BB281">
        <f t="shared" si="41"/>
        <v>1</v>
      </c>
      <c r="BC281" t="str">
        <f t="shared" si="36"/>
        <v>Medium</v>
      </c>
      <c r="BD281" t="str">
        <f t="shared" si="37"/>
        <v/>
      </c>
      <c r="BE281">
        <f t="shared" si="38"/>
        <v>3.98</v>
      </c>
      <c r="BT281" t="str">
        <f t="shared" si="39"/>
        <v/>
      </c>
    </row>
    <row r="282" spans="1:72" x14ac:dyDescent="0.3">
      <c r="A282" t="s">
        <v>578</v>
      </c>
      <c r="B282">
        <v>10268</v>
      </c>
      <c r="C282">
        <v>0</v>
      </c>
      <c r="D282">
        <v>4</v>
      </c>
      <c r="E282">
        <v>1</v>
      </c>
      <c r="F282">
        <v>5</v>
      </c>
      <c r="G282">
        <v>5</v>
      </c>
      <c r="H282">
        <v>3</v>
      </c>
      <c r="I282">
        <v>0</v>
      </c>
      <c r="J282">
        <v>67176</v>
      </c>
      <c r="K282">
        <v>1</v>
      </c>
      <c r="L282">
        <v>20</v>
      </c>
      <c r="M282" t="s">
        <v>63</v>
      </c>
      <c r="N282" t="s">
        <v>38</v>
      </c>
      <c r="O282">
        <v>2472</v>
      </c>
      <c r="P282">
        <v>27653</v>
      </c>
      <c r="Q282" t="s">
        <v>39</v>
      </c>
      <c r="R282" t="s">
        <v>86</v>
      </c>
      <c r="S282" t="s">
        <v>41</v>
      </c>
      <c r="T282" t="s">
        <v>42</v>
      </c>
      <c r="U282" t="s">
        <v>43</v>
      </c>
      <c r="V282">
        <v>39258</v>
      </c>
      <c r="W282">
        <v>40420</v>
      </c>
      <c r="X282" t="s">
        <v>270</v>
      </c>
      <c r="Y282" t="s">
        <v>56</v>
      </c>
      <c r="Z282" t="s">
        <v>46</v>
      </c>
      <c r="AA282" t="s">
        <v>74</v>
      </c>
      <c r="AB282">
        <v>39</v>
      </c>
      <c r="AC282" t="s">
        <v>302</v>
      </c>
      <c r="AD282" t="s">
        <v>60</v>
      </c>
      <c r="AE282">
        <v>4.0999999999999996</v>
      </c>
      <c r="AF282">
        <v>4</v>
      </c>
      <c r="AG282">
        <v>0</v>
      </c>
      <c r="AH282" t="s">
        <v>579</v>
      </c>
      <c r="AI282">
        <v>0</v>
      </c>
      <c r="AJ282">
        <v>15</v>
      </c>
      <c r="AK282" t="str">
        <f t="shared" si="34"/>
        <v>Normal</v>
      </c>
      <c r="AL282" t="str">
        <f t="shared" si="35"/>
        <v>low Outlier</v>
      </c>
      <c r="AM282">
        <f ca="1">INT((TODAY()-HRDataset_v14[[#This Row],[DOB]])/365.25)</f>
        <v>50</v>
      </c>
      <c r="AN282">
        <f ca="1">DATEDIF(HRDataset_v14[[#This Row],[DateofHire]],TODAY(),"Y")</f>
        <v>18</v>
      </c>
      <c r="AO282">
        <f ca="1">IF(ISBLANK(HRDataset_v14[[#This Row],[DateofTermination]]),DATEDIF(HRDataset_v14[[#This Row],[DateofHire]],TODAY(),"Y"),DATEDIF(HRDataset_v14[[#This Row],[DateofHire]],HRDataset_v14[[#This Row],[DateofTermination]],"Y"))</f>
        <v>3</v>
      </c>
      <c r="AP282" t="str">
        <f ca="1">IF(HRDataset_v14[[#This Row],[Tenure in Years
]]&lt;1,"0-1 Year",IF(HRDataset_v14[[#This Row],[Tenure in Years
]]&lt;3,"1-3 Years",IF(HRDataset_v14[[#This Row],[Tenure in Years
]]&lt;5,"3-5 Years",IF(HRDataset_v14[[#This Row],[Tenure in Years
]]&lt;10,"5-10 Years","10+ Years"))))</f>
        <v>10+ Years</v>
      </c>
      <c r="AQ282" t="str">
        <f ca="1">IF(HRDataset_v14[[#This Row],[Age Calculation
]]&lt;26,"18-25",IF(HRDataset_v14[[#This Row],[Age Calculation
]]&lt;36,"26-35",IF(HRDataset_v14[[#This Row],[Age Calculation
]]&lt;46,"36-45",IF(HRDataset_v14[[#This Row],[Age Calculation
]]&lt;56,"46-55","55+"))))</f>
        <v>46-55</v>
      </c>
      <c r="AR282" t="str">
        <f>IF(HRDataset_v14[[#This Row],[Salary]]&lt;40000,"Entry (&lt;40K)",IF(HRDataset_v14[[#This Row],[Salary]]&lt;70000,"Mid (40-70K)",IF(HRDataset_v14[[#This Row],[Salary]]&lt;100000,"Senior (70-100K)","Executive (100K+)")))</f>
        <v>Mid (40-70K)</v>
      </c>
      <c r="AS282">
        <f>IF(HRDataset_v14[[#This Row],[EmploymentStatus]]="Active",1,0)</f>
        <v>0</v>
      </c>
      <c r="AT282">
        <f>YEAR(HRDataset_v14[[#This Row],[DateofHire]])</f>
        <v>2007</v>
      </c>
      <c r="AU282">
        <f>MONTH(HRDataset_v14[[#This Row],[DateofHire]])</f>
        <v>6</v>
      </c>
      <c r="AV282" t="str">
        <f>"Q"&amp;ROUNDUP(MONTH(HRDataset_v14[[#This Row],[DateofHire]])/3,0)</f>
        <v>Q2</v>
      </c>
      <c r="AW282" t="str">
        <f>TEXT(HRDataset_v14[[#This Row],[DateofHire]],"MMM")</f>
        <v>Jun</v>
      </c>
      <c r="AX282" t="str">
        <f>TEXT(HRDataset_v14[[#This Row],[DateofHire]],"YYYY-MM")</f>
        <v>2007-06</v>
      </c>
      <c r="AY282">
        <f>IF(ISBLANK(HRDataset_v14[[#This Row],[DateofTermination]]),"N/A",YEAR(HRDataset_v14[[#This Row],[DateofTermination]]))</f>
        <v>2010</v>
      </c>
      <c r="AZ282" t="str" cm="1">
        <f t="array" ref="AZ282">INDEX(_xlfn.UNIQUE(Z282:Z592),MATCH(MAX(COUNTIF(Z282:Z592,_xlfn.UNIQUE(Z282:Z592))),COUNTIF(Z282:Z592,_xlfn.UNIQUE(Z282:Z592)),0))</f>
        <v xml:space="preserve">Production       </v>
      </c>
      <c r="BA282">
        <f t="shared" si="40"/>
        <v>100</v>
      </c>
      <c r="BB282">
        <f t="shared" si="41"/>
        <v>1</v>
      </c>
      <c r="BC282" t="str">
        <f t="shared" si="36"/>
        <v>Medium</v>
      </c>
      <c r="BD282" t="str">
        <f t="shared" si="37"/>
        <v/>
      </c>
      <c r="BE282">
        <f t="shared" si="38"/>
        <v>4.0999999999999996</v>
      </c>
      <c r="BT282" t="str">
        <f t="shared" si="39"/>
        <v/>
      </c>
    </row>
    <row r="283" spans="1:72" x14ac:dyDescent="0.3">
      <c r="A283" t="s">
        <v>580</v>
      </c>
      <c r="B283">
        <v>10123</v>
      </c>
      <c r="C283">
        <v>0</v>
      </c>
      <c r="D283">
        <v>2</v>
      </c>
      <c r="E283">
        <v>0</v>
      </c>
      <c r="F283">
        <v>1</v>
      </c>
      <c r="G283">
        <v>5</v>
      </c>
      <c r="H283">
        <v>3</v>
      </c>
      <c r="I283">
        <v>0</v>
      </c>
      <c r="J283">
        <v>56339</v>
      </c>
      <c r="K283">
        <v>0</v>
      </c>
      <c r="L283">
        <v>19</v>
      </c>
      <c r="M283" t="s">
        <v>37</v>
      </c>
      <c r="N283" t="s">
        <v>38</v>
      </c>
      <c r="O283">
        <v>2093</v>
      </c>
      <c r="P283">
        <v>24628</v>
      </c>
      <c r="Q283" t="s">
        <v>64</v>
      </c>
      <c r="R283" t="s">
        <v>72</v>
      </c>
      <c r="S283" t="s">
        <v>41</v>
      </c>
      <c r="T283" t="s">
        <v>42</v>
      </c>
      <c r="U283" t="s">
        <v>91</v>
      </c>
      <c r="V283">
        <v>41323</v>
      </c>
      <c r="X283" t="s">
        <v>44</v>
      </c>
      <c r="Y283" t="s">
        <v>45</v>
      </c>
      <c r="Z283" t="s">
        <v>46</v>
      </c>
      <c r="AA283" t="s">
        <v>92</v>
      </c>
      <c r="AB283">
        <v>12</v>
      </c>
      <c r="AC283" t="s">
        <v>59</v>
      </c>
      <c r="AD283" t="s">
        <v>60</v>
      </c>
      <c r="AE283">
        <v>4.21</v>
      </c>
      <c r="AF283">
        <v>5</v>
      </c>
      <c r="AG283">
        <v>0</v>
      </c>
      <c r="AH283" t="s">
        <v>124</v>
      </c>
      <c r="AI283">
        <v>0</v>
      </c>
      <c r="AJ283">
        <v>4</v>
      </c>
      <c r="AK283" t="str">
        <f t="shared" si="34"/>
        <v>Normal</v>
      </c>
      <c r="AL283" t="str">
        <f t="shared" si="35"/>
        <v>low Outlier</v>
      </c>
      <c r="AM283">
        <f ca="1">INT((TODAY()-HRDataset_v14[[#This Row],[DOB]])/365.25)</f>
        <v>58</v>
      </c>
      <c r="AN283">
        <f ca="1">DATEDIF(HRDataset_v14[[#This Row],[DateofHire]],TODAY(),"Y")</f>
        <v>13</v>
      </c>
      <c r="AO283">
        <f ca="1">IF(ISBLANK(HRDataset_v14[[#This Row],[DateofTermination]]),DATEDIF(HRDataset_v14[[#This Row],[DateofHire]],TODAY(),"Y"),DATEDIF(HRDataset_v14[[#This Row],[DateofHire]],HRDataset_v14[[#This Row],[DateofTermination]],"Y"))</f>
        <v>13</v>
      </c>
      <c r="AP283" t="str">
        <f ca="1">IF(HRDataset_v14[[#This Row],[Tenure in Years
]]&lt;1,"0-1 Year",IF(HRDataset_v14[[#This Row],[Tenure in Years
]]&lt;3,"1-3 Years",IF(HRDataset_v14[[#This Row],[Tenure in Years
]]&lt;5,"3-5 Years",IF(HRDataset_v14[[#This Row],[Tenure in Years
]]&lt;10,"5-10 Years","10+ Years"))))</f>
        <v>10+ Years</v>
      </c>
      <c r="AQ283" t="str">
        <f ca="1">IF(HRDataset_v14[[#This Row],[Age Calculation
]]&lt;26,"18-25",IF(HRDataset_v14[[#This Row],[Age Calculation
]]&lt;36,"26-35",IF(HRDataset_v14[[#This Row],[Age Calculation
]]&lt;46,"36-45",IF(HRDataset_v14[[#This Row],[Age Calculation
]]&lt;56,"46-55","55+"))))</f>
        <v>55+</v>
      </c>
      <c r="AR283" t="str">
        <f>IF(HRDataset_v14[[#This Row],[Salary]]&lt;40000,"Entry (&lt;40K)",IF(HRDataset_v14[[#This Row],[Salary]]&lt;70000,"Mid (40-70K)",IF(HRDataset_v14[[#This Row],[Salary]]&lt;100000,"Senior (70-100K)","Executive (100K+)")))</f>
        <v>Mid (40-70K)</v>
      </c>
      <c r="AS283">
        <f>IF(HRDataset_v14[[#This Row],[EmploymentStatus]]="Active",1,0)</f>
        <v>1</v>
      </c>
      <c r="AT283">
        <f>YEAR(HRDataset_v14[[#This Row],[DateofHire]])</f>
        <v>2013</v>
      </c>
      <c r="AU283">
        <f>MONTH(HRDataset_v14[[#This Row],[DateofHire]])</f>
        <v>2</v>
      </c>
      <c r="AV283" t="str">
        <f>"Q"&amp;ROUNDUP(MONTH(HRDataset_v14[[#This Row],[DateofHire]])/3,0)</f>
        <v>Q1</v>
      </c>
      <c r="AW283" t="str">
        <f>TEXT(HRDataset_v14[[#This Row],[DateofHire]],"MMM")</f>
        <v>Feb</v>
      </c>
      <c r="AX283" t="str">
        <f>TEXT(HRDataset_v14[[#This Row],[DateofHire]],"YYYY-MM")</f>
        <v>2013-02</v>
      </c>
      <c r="AY283" t="str">
        <f>IF(ISBLANK(HRDataset_v14[[#This Row],[DateofTermination]]),"N/A",YEAR(HRDataset_v14[[#This Row],[DateofTermination]]))</f>
        <v>N/A</v>
      </c>
      <c r="AZ283" t="str" cm="1">
        <f t="array" ref="AZ283">INDEX(_xlfn.UNIQUE(Z283:Z593),MATCH(MAX(COUNTIF(Z283:Z593,_xlfn.UNIQUE(Z283:Z593))),COUNTIF(Z283:Z593,_xlfn.UNIQUE(Z283:Z593)),0))</f>
        <v xml:space="preserve">Production       </v>
      </c>
      <c r="BA283">
        <f t="shared" si="40"/>
        <v>66.666666666666657</v>
      </c>
      <c r="BB283">
        <f t="shared" si="41"/>
        <v>0</v>
      </c>
      <c r="BC283" t="str">
        <f t="shared" si="36"/>
        <v>Medium</v>
      </c>
      <c r="BD283">
        <f t="shared" si="37"/>
        <v>4.21</v>
      </c>
      <c r="BE283" t="str">
        <f t="shared" si="38"/>
        <v/>
      </c>
      <c r="BT283">
        <f t="shared" si="39"/>
        <v>4.21</v>
      </c>
    </row>
    <row r="284" spans="1:72" x14ac:dyDescent="0.3">
      <c r="A284" t="s">
        <v>581</v>
      </c>
      <c r="B284">
        <v>10013</v>
      </c>
      <c r="C284">
        <v>0</v>
      </c>
      <c r="D284">
        <v>3</v>
      </c>
      <c r="E284">
        <v>1</v>
      </c>
      <c r="F284">
        <v>1</v>
      </c>
      <c r="G284">
        <v>6</v>
      </c>
      <c r="H284">
        <v>4</v>
      </c>
      <c r="I284">
        <v>0</v>
      </c>
      <c r="J284">
        <v>64397</v>
      </c>
      <c r="K284">
        <v>0</v>
      </c>
      <c r="L284">
        <v>3</v>
      </c>
      <c r="M284" t="s">
        <v>169</v>
      </c>
      <c r="N284" t="s">
        <v>582</v>
      </c>
      <c r="O284">
        <v>58782</v>
      </c>
      <c r="P284">
        <v>24852</v>
      </c>
      <c r="Q284" t="s">
        <v>39</v>
      </c>
      <c r="R284" t="s">
        <v>166</v>
      </c>
      <c r="S284" t="s">
        <v>41</v>
      </c>
      <c r="T284" t="s">
        <v>42</v>
      </c>
      <c r="U284" t="s">
        <v>43</v>
      </c>
      <c r="V284">
        <v>38726</v>
      </c>
      <c r="X284" t="s">
        <v>44</v>
      </c>
      <c r="Y284" t="s">
        <v>45</v>
      </c>
      <c r="Z284" t="s">
        <v>171</v>
      </c>
      <c r="AA284" t="s">
        <v>197</v>
      </c>
      <c r="AB284">
        <v>21</v>
      </c>
      <c r="AC284" t="s">
        <v>59</v>
      </c>
      <c r="AD284" t="s">
        <v>49</v>
      </c>
      <c r="AE284">
        <v>4.0999999999999996</v>
      </c>
      <c r="AF284">
        <v>3</v>
      </c>
      <c r="AG284">
        <v>0</v>
      </c>
      <c r="AH284" t="s">
        <v>263</v>
      </c>
      <c r="AI284">
        <v>0</v>
      </c>
      <c r="AJ284">
        <v>6</v>
      </c>
      <c r="AK284" t="str">
        <f t="shared" si="34"/>
        <v>Normal</v>
      </c>
      <c r="AL284" t="str">
        <f t="shared" si="35"/>
        <v>low Outlier</v>
      </c>
      <c r="AM284">
        <f ca="1">INT((TODAY()-HRDataset_v14[[#This Row],[DOB]])/365.25)</f>
        <v>58</v>
      </c>
      <c r="AN284">
        <f ca="1">DATEDIF(HRDataset_v14[[#This Row],[DateofHire]],TODAY(),"Y")</f>
        <v>20</v>
      </c>
      <c r="AO284">
        <f ca="1">IF(ISBLANK(HRDataset_v14[[#This Row],[DateofTermination]]),DATEDIF(HRDataset_v14[[#This Row],[DateofHire]],TODAY(),"Y"),DATEDIF(HRDataset_v14[[#This Row],[DateofHire]],HRDataset_v14[[#This Row],[DateofTermination]],"Y"))</f>
        <v>20</v>
      </c>
      <c r="AP284" t="str">
        <f ca="1">IF(HRDataset_v14[[#This Row],[Tenure in Years
]]&lt;1,"0-1 Year",IF(HRDataset_v14[[#This Row],[Tenure in Years
]]&lt;3,"1-3 Years",IF(HRDataset_v14[[#This Row],[Tenure in Years
]]&lt;5,"3-5 Years",IF(HRDataset_v14[[#This Row],[Tenure in Years
]]&lt;10,"5-10 Years","10+ Years"))))</f>
        <v>10+ Years</v>
      </c>
      <c r="AQ284" t="str">
        <f ca="1">IF(HRDataset_v14[[#This Row],[Age Calculation
]]&lt;26,"18-25",IF(HRDataset_v14[[#This Row],[Age Calculation
]]&lt;36,"26-35",IF(HRDataset_v14[[#This Row],[Age Calculation
]]&lt;46,"36-45",IF(HRDataset_v14[[#This Row],[Age Calculation
]]&lt;56,"46-55","55+"))))</f>
        <v>55+</v>
      </c>
      <c r="AR284" t="str">
        <f>IF(HRDataset_v14[[#This Row],[Salary]]&lt;40000,"Entry (&lt;40K)",IF(HRDataset_v14[[#This Row],[Salary]]&lt;70000,"Mid (40-70K)",IF(HRDataset_v14[[#This Row],[Salary]]&lt;100000,"Senior (70-100K)","Executive (100K+)")))</f>
        <v>Mid (40-70K)</v>
      </c>
      <c r="AS284">
        <f>IF(HRDataset_v14[[#This Row],[EmploymentStatus]]="Active",1,0)</f>
        <v>1</v>
      </c>
      <c r="AT284">
        <f>YEAR(HRDataset_v14[[#This Row],[DateofHire]])</f>
        <v>2006</v>
      </c>
      <c r="AU284">
        <f>MONTH(HRDataset_v14[[#This Row],[DateofHire]])</f>
        <v>1</v>
      </c>
      <c r="AV284" t="str">
        <f>"Q"&amp;ROUNDUP(MONTH(HRDataset_v14[[#This Row],[DateofHire]])/3,0)</f>
        <v>Q1</v>
      </c>
      <c r="AW284" t="str">
        <f>TEXT(HRDataset_v14[[#This Row],[DateofHire]],"MMM")</f>
        <v>Jan</v>
      </c>
      <c r="AX284" t="str">
        <f>TEXT(HRDataset_v14[[#This Row],[DateofHire]],"YYYY-MM")</f>
        <v>2006-01</v>
      </c>
      <c r="AY284" t="str">
        <f>IF(ISBLANK(HRDataset_v14[[#This Row],[DateofTermination]]),"N/A",YEAR(HRDataset_v14[[#This Row],[DateofTermination]]))</f>
        <v>N/A</v>
      </c>
      <c r="AZ284" t="str" cm="1">
        <f t="array" ref="AZ284">INDEX(_xlfn.UNIQUE(Z284:Z594),MATCH(MAX(COUNTIF(Z284:Z594,_xlfn.UNIQUE(Z284:Z594))),COUNTIF(Z284:Z594,_xlfn.UNIQUE(Z284:Z594)),0))</f>
        <v xml:space="preserve">Production       </v>
      </c>
      <c r="BA284">
        <f t="shared" si="40"/>
        <v>0</v>
      </c>
      <c r="BB284">
        <f t="shared" si="41"/>
        <v>0</v>
      </c>
      <c r="BC284" t="str">
        <f t="shared" si="36"/>
        <v>Low</v>
      </c>
      <c r="BD284">
        <f t="shared" si="37"/>
        <v>4.0999999999999996</v>
      </c>
      <c r="BE284" t="str">
        <f t="shared" si="38"/>
        <v/>
      </c>
      <c r="BT284">
        <f t="shared" si="39"/>
        <v>4.0999999999999996</v>
      </c>
    </row>
    <row r="285" spans="1:72" x14ac:dyDescent="0.3">
      <c r="A285" t="s">
        <v>583</v>
      </c>
      <c r="B285">
        <v>10287</v>
      </c>
      <c r="C285">
        <v>0</v>
      </c>
      <c r="D285">
        <v>0</v>
      </c>
      <c r="E285">
        <v>0</v>
      </c>
      <c r="F285">
        <v>1</v>
      </c>
      <c r="G285">
        <v>5</v>
      </c>
      <c r="H285">
        <v>2</v>
      </c>
      <c r="I285">
        <v>0</v>
      </c>
      <c r="J285">
        <v>63025</v>
      </c>
      <c r="K285">
        <v>0</v>
      </c>
      <c r="L285">
        <v>19</v>
      </c>
      <c r="M285" t="s">
        <v>37</v>
      </c>
      <c r="N285" t="s">
        <v>38</v>
      </c>
      <c r="O285">
        <v>2021</v>
      </c>
      <c r="P285">
        <v>30452</v>
      </c>
      <c r="Q285" t="s">
        <v>64</v>
      </c>
      <c r="R285" t="s">
        <v>40</v>
      </c>
      <c r="S285" t="s">
        <v>41</v>
      </c>
      <c r="T285" t="s">
        <v>42</v>
      </c>
      <c r="U285" t="s">
        <v>43</v>
      </c>
      <c r="V285">
        <v>41687</v>
      </c>
      <c r="X285" t="s">
        <v>44</v>
      </c>
      <c r="Y285" t="s">
        <v>45</v>
      </c>
      <c r="Z285" t="s">
        <v>46</v>
      </c>
      <c r="AA285" t="s">
        <v>102</v>
      </c>
      <c r="AB285">
        <v>14</v>
      </c>
      <c r="AC285" t="s">
        <v>48</v>
      </c>
      <c r="AD285" t="s">
        <v>141</v>
      </c>
      <c r="AE285">
        <v>2.44</v>
      </c>
      <c r="AF285">
        <v>5</v>
      </c>
      <c r="AG285">
        <v>0</v>
      </c>
      <c r="AH285" t="s">
        <v>349</v>
      </c>
      <c r="AI285">
        <v>4</v>
      </c>
      <c r="AJ285">
        <v>18</v>
      </c>
      <c r="AK285" t="str">
        <f t="shared" si="34"/>
        <v>Normal</v>
      </c>
      <c r="AL285" t="str">
        <f t="shared" si="35"/>
        <v>low Outlier</v>
      </c>
      <c r="AM285">
        <f ca="1">INT((TODAY()-HRDataset_v14[[#This Row],[DOB]])/365.25)</f>
        <v>42</v>
      </c>
      <c r="AN285">
        <f ca="1">DATEDIF(HRDataset_v14[[#This Row],[DateofHire]],TODAY(),"Y")</f>
        <v>12</v>
      </c>
      <c r="AO285">
        <f ca="1">IF(ISBLANK(HRDataset_v14[[#This Row],[DateofTermination]]),DATEDIF(HRDataset_v14[[#This Row],[DateofHire]],TODAY(),"Y"),DATEDIF(HRDataset_v14[[#This Row],[DateofHire]],HRDataset_v14[[#This Row],[DateofTermination]],"Y"))</f>
        <v>12</v>
      </c>
      <c r="AP285" t="str">
        <f ca="1">IF(HRDataset_v14[[#This Row],[Tenure in Years
]]&lt;1,"0-1 Year",IF(HRDataset_v14[[#This Row],[Tenure in Years
]]&lt;3,"1-3 Years",IF(HRDataset_v14[[#This Row],[Tenure in Years
]]&lt;5,"3-5 Years",IF(HRDataset_v14[[#This Row],[Tenure in Years
]]&lt;10,"5-10 Years","10+ Years"))))</f>
        <v>10+ Years</v>
      </c>
      <c r="AQ285" t="str">
        <f ca="1">IF(HRDataset_v14[[#This Row],[Age Calculation
]]&lt;26,"18-25",IF(HRDataset_v14[[#This Row],[Age Calculation
]]&lt;36,"26-35",IF(HRDataset_v14[[#This Row],[Age Calculation
]]&lt;46,"36-45",IF(HRDataset_v14[[#This Row],[Age Calculation
]]&lt;56,"46-55","55+"))))</f>
        <v>36-45</v>
      </c>
      <c r="AR285" t="str">
        <f>IF(HRDataset_v14[[#This Row],[Salary]]&lt;40000,"Entry (&lt;40K)",IF(HRDataset_v14[[#This Row],[Salary]]&lt;70000,"Mid (40-70K)",IF(HRDataset_v14[[#This Row],[Salary]]&lt;100000,"Senior (70-100K)","Executive (100K+)")))</f>
        <v>Mid (40-70K)</v>
      </c>
      <c r="AS285">
        <f>IF(HRDataset_v14[[#This Row],[EmploymentStatus]]="Active",1,0)</f>
        <v>1</v>
      </c>
      <c r="AT285">
        <f>YEAR(HRDataset_v14[[#This Row],[DateofHire]])</f>
        <v>2014</v>
      </c>
      <c r="AU285">
        <f>MONTH(HRDataset_v14[[#This Row],[DateofHire]])</f>
        <v>2</v>
      </c>
      <c r="AV285" t="str">
        <f>"Q"&amp;ROUNDUP(MONTH(HRDataset_v14[[#This Row],[DateofHire]])/3,0)</f>
        <v>Q1</v>
      </c>
      <c r="AW285" t="str">
        <f>TEXT(HRDataset_v14[[#This Row],[DateofHire]],"MMM")</f>
        <v>Feb</v>
      </c>
      <c r="AX285" t="str">
        <f>TEXT(HRDataset_v14[[#This Row],[DateofHire]],"YYYY-MM")</f>
        <v>2014-02</v>
      </c>
      <c r="AY285" t="str">
        <f>IF(ISBLANK(HRDataset_v14[[#This Row],[DateofTermination]]),"N/A",YEAR(HRDataset_v14[[#This Row],[DateofTermination]]))</f>
        <v>N/A</v>
      </c>
      <c r="AZ285" t="str" cm="1">
        <f t="array" ref="AZ285">INDEX(_xlfn.UNIQUE(Z285:Z595),MATCH(MAX(COUNTIF(Z285:Z595,_xlfn.UNIQUE(Z285:Z595))),COUNTIF(Z285:Z595,_xlfn.UNIQUE(Z285:Z595)),0))</f>
        <v xml:space="preserve">Production       </v>
      </c>
      <c r="BA285">
        <f t="shared" si="40"/>
        <v>0</v>
      </c>
      <c r="BB285">
        <f t="shared" si="41"/>
        <v>0</v>
      </c>
      <c r="BC285" t="str">
        <f t="shared" si="36"/>
        <v>High</v>
      </c>
      <c r="BD285">
        <f t="shared" si="37"/>
        <v>2.44</v>
      </c>
      <c r="BE285" t="str">
        <f t="shared" si="38"/>
        <v/>
      </c>
      <c r="BT285">
        <f t="shared" si="39"/>
        <v>2.44</v>
      </c>
    </row>
    <row r="286" spans="1:72" x14ac:dyDescent="0.3">
      <c r="A286" t="s">
        <v>584</v>
      </c>
      <c r="B286">
        <v>10044</v>
      </c>
      <c r="C286">
        <v>1</v>
      </c>
      <c r="D286">
        <v>1</v>
      </c>
      <c r="E286">
        <v>1</v>
      </c>
      <c r="F286">
        <v>5</v>
      </c>
      <c r="G286">
        <v>3</v>
      </c>
      <c r="H286">
        <v>3</v>
      </c>
      <c r="I286">
        <v>0</v>
      </c>
      <c r="J286">
        <v>75281</v>
      </c>
      <c r="K286">
        <v>1</v>
      </c>
      <c r="L286">
        <v>15</v>
      </c>
      <c r="M286" t="s">
        <v>289</v>
      </c>
      <c r="N286" t="s">
        <v>38</v>
      </c>
      <c r="O286">
        <v>1420</v>
      </c>
      <c r="P286">
        <v>32268</v>
      </c>
      <c r="Q286" t="s">
        <v>39</v>
      </c>
      <c r="R286" t="s">
        <v>53</v>
      </c>
      <c r="S286" t="s">
        <v>41</v>
      </c>
      <c r="T286" t="s">
        <v>42</v>
      </c>
      <c r="U286" t="s">
        <v>43</v>
      </c>
      <c r="V286">
        <v>42009</v>
      </c>
      <c r="W286">
        <v>42412</v>
      </c>
      <c r="X286" t="s">
        <v>484</v>
      </c>
      <c r="Y286" t="s">
        <v>56</v>
      </c>
      <c r="Z286" t="s">
        <v>57</v>
      </c>
      <c r="AA286" t="s">
        <v>97</v>
      </c>
      <c r="AB286">
        <v>7</v>
      </c>
      <c r="AC286" t="s">
        <v>140</v>
      </c>
      <c r="AD286" t="s">
        <v>60</v>
      </c>
      <c r="AE286">
        <v>5</v>
      </c>
      <c r="AF286">
        <v>3</v>
      </c>
      <c r="AG286">
        <v>5</v>
      </c>
      <c r="AH286" t="s">
        <v>361</v>
      </c>
      <c r="AI286">
        <v>0</v>
      </c>
      <c r="AJ286">
        <v>11</v>
      </c>
      <c r="AK286" t="str">
        <f t="shared" si="34"/>
        <v>Normal</v>
      </c>
      <c r="AL286" t="str">
        <f t="shared" si="35"/>
        <v>low Outlier</v>
      </c>
      <c r="AM286">
        <f ca="1">INT((TODAY()-HRDataset_v14[[#This Row],[DOB]])/365.25)</f>
        <v>37</v>
      </c>
      <c r="AN286">
        <f ca="1">DATEDIF(HRDataset_v14[[#This Row],[DateofHire]],TODAY(),"Y")</f>
        <v>11</v>
      </c>
      <c r="AO286">
        <f ca="1">IF(ISBLANK(HRDataset_v14[[#This Row],[DateofTermination]]),DATEDIF(HRDataset_v14[[#This Row],[DateofHire]],TODAY(),"Y"),DATEDIF(HRDataset_v14[[#This Row],[DateofHire]],HRDataset_v14[[#This Row],[DateofTermination]],"Y"))</f>
        <v>1</v>
      </c>
      <c r="AP286" t="str">
        <f ca="1">IF(HRDataset_v14[[#This Row],[Tenure in Years
]]&lt;1,"0-1 Year",IF(HRDataset_v14[[#This Row],[Tenure in Years
]]&lt;3,"1-3 Years",IF(HRDataset_v14[[#This Row],[Tenure in Years
]]&lt;5,"3-5 Years",IF(HRDataset_v14[[#This Row],[Tenure in Years
]]&lt;10,"5-10 Years","10+ Years"))))</f>
        <v>10+ Years</v>
      </c>
      <c r="AQ286" t="str">
        <f ca="1">IF(HRDataset_v14[[#This Row],[Age Calculation
]]&lt;26,"18-25",IF(HRDataset_v14[[#This Row],[Age Calculation
]]&lt;36,"26-35",IF(HRDataset_v14[[#This Row],[Age Calculation
]]&lt;46,"36-45",IF(HRDataset_v14[[#This Row],[Age Calculation
]]&lt;56,"46-55","55+"))))</f>
        <v>36-45</v>
      </c>
      <c r="AR286" t="str">
        <f>IF(HRDataset_v14[[#This Row],[Salary]]&lt;40000,"Entry (&lt;40K)",IF(HRDataset_v14[[#This Row],[Salary]]&lt;70000,"Mid (40-70K)",IF(HRDataset_v14[[#This Row],[Salary]]&lt;100000,"Senior (70-100K)","Executive (100K+)")))</f>
        <v>Senior (70-100K)</v>
      </c>
      <c r="AS286">
        <f>IF(HRDataset_v14[[#This Row],[EmploymentStatus]]="Active",1,0)</f>
        <v>0</v>
      </c>
      <c r="AT286">
        <f>YEAR(HRDataset_v14[[#This Row],[DateofHire]])</f>
        <v>2015</v>
      </c>
      <c r="AU286">
        <f>MONTH(HRDataset_v14[[#This Row],[DateofHire]])</f>
        <v>1</v>
      </c>
      <c r="AV286" t="str">
        <f>"Q"&amp;ROUNDUP(MONTH(HRDataset_v14[[#This Row],[DateofHire]])/3,0)</f>
        <v>Q1</v>
      </c>
      <c r="AW286" t="str">
        <f>TEXT(HRDataset_v14[[#This Row],[DateofHire]],"MMM")</f>
        <v>Jan</v>
      </c>
      <c r="AX286" t="str">
        <f>TEXT(HRDataset_v14[[#This Row],[DateofHire]],"YYYY-MM")</f>
        <v>2015-01</v>
      </c>
      <c r="AY286">
        <f>IF(ISBLANK(HRDataset_v14[[#This Row],[DateofTermination]]),"N/A",YEAR(HRDataset_v14[[#This Row],[DateofTermination]]))</f>
        <v>2016</v>
      </c>
      <c r="AZ286" t="str" cm="1">
        <f t="array" ref="AZ286">INDEX(_xlfn.UNIQUE(Z286:Z596),MATCH(MAX(COUNTIF(Z286:Z596,_xlfn.UNIQUE(Z286:Z596))),COUNTIF(Z286:Z596,_xlfn.UNIQUE(Z286:Z596)),0))</f>
        <v xml:space="preserve">Production       </v>
      </c>
      <c r="BA286">
        <f t="shared" si="40"/>
        <v>33.333333333333329</v>
      </c>
      <c r="BB286">
        <f t="shared" si="41"/>
        <v>2</v>
      </c>
      <c r="BC286" t="str">
        <f t="shared" si="36"/>
        <v>Medium</v>
      </c>
      <c r="BD286" t="str">
        <f t="shared" si="37"/>
        <v/>
      </c>
      <c r="BE286">
        <f t="shared" si="38"/>
        <v>5</v>
      </c>
      <c r="BT286" t="str">
        <f t="shared" si="39"/>
        <v/>
      </c>
    </row>
    <row r="287" spans="1:72" x14ac:dyDescent="0.3">
      <c r="A287" t="s">
        <v>585</v>
      </c>
      <c r="B287">
        <v>10102</v>
      </c>
      <c r="C287">
        <v>0</v>
      </c>
      <c r="D287">
        <v>0</v>
      </c>
      <c r="E287">
        <v>1</v>
      </c>
      <c r="F287">
        <v>5</v>
      </c>
      <c r="G287">
        <v>4</v>
      </c>
      <c r="H287">
        <v>3</v>
      </c>
      <c r="I287">
        <v>1</v>
      </c>
      <c r="J287">
        <v>100416</v>
      </c>
      <c r="K287">
        <v>1</v>
      </c>
      <c r="L287">
        <v>24</v>
      </c>
      <c r="M287" t="s">
        <v>81</v>
      </c>
      <c r="N287" t="s">
        <v>38</v>
      </c>
      <c r="O287">
        <v>2451</v>
      </c>
      <c r="P287">
        <v>30481</v>
      </c>
      <c r="Q287" t="s">
        <v>39</v>
      </c>
      <c r="R287" t="s">
        <v>40</v>
      </c>
      <c r="S287" t="s">
        <v>203</v>
      </c>
      <c r="T287" t="s">
        <v>42</v>
      </c>
      <c r="U287" t="s">
        <v>91</v>
      </c>
      <c r="V287">
        <v>41323</v>
      </c>
      <c r="W287">
        <v>43205</v>
      </c>
      <c r="X287" t="s">
        <v>484</v>
      </c>
      <c r="Y287" t="s">
        <v>56</v>
      </c>
      <c r="Z287" t="s">
        <v>82</v>
      </c>
      <c r="AA287" t="s">
        <v>83</v>
      </c>
      <c r="AB287">
        <v>10</v>
      </c>
      <c r="AC287" t="s">
        <v>93</v>
      </c>
      <c r="AD287" t="s">
        <v>60</v>
      </c>
      <c r="AE287">
        <v>4.5999999999999996</v>
      </c>
      <c r="AF287">
        <v>3</v>
      </c>
      <c r="AG287">
        <v>4</v>
      </c>
      <c r="AH287" t="s">
        <v>586</v>
      </c>
      <c r="AI287">
        <v>0</v>
      </c>
      <c r="AJ287">
        <v>9</v>
      </c>
      <c r="AK287" t="str">
        <f t="shared" si="34"/>
        <v>Normal</v>
      </c>
      <c r="AL287" t="str">
        <f t="shared" si="35"/>
        <v>low Outlier</v>
      </c>
      <c r="AM287">
        <f ca="1">INT((TODAY()-HRDataset_v14[[#This Row],[DOB]])/365.25)</f>
        <v>42</v>
      </c>
      <c r="AN287">
        <f ca="1">DATEDIF(HRDataset_v14[[#This Row],[DateofHire]],TODAY(),"Y")</f>
        <v>13</v>
      </c>
      <c r="AO287">
        <f ca="1">IF(ISBLANK(HRDataset_v14[[#This Row],[DateofTermination]]),DATEDIF(HRDataset_v14[[#This Row],[DateofHire]],TODAY(),"Y"),DATEDIF(HRDataset_v14[[#This Row],[DateofHire]],HRDataset_v14[[#This Row],[DateofTermination]],"Y"))</f>
        <v>5</v>
      </c>
      <c r="AP287" t="str">
        <f ca="1">IF(HRDataset_v14[[#This Row],[Tenure in Years
]]&lt;1,"0-1 Year",IF(HRDataset_v14[[#This Row],[Tenure in Years
]]&lt;3,"1-3 Years",IF(HRDataset_v14[[#This Row],[Tenure in Years
]]&lt;5,"3-5 Years",IF(HRDataset_v14[[#This Row],[Tenure in Years
]]&lt;10,"5-10 Years","10+ Years"))))</f>
        <v>10+ Years</v>
      </c>
      <c r="AQ287" t="str">
        <f ca="1">IF(HRDataset_v14[[#This Row],[Age Calculation
]]&lt;26,"18-25",IF(HRDataset_v14[[#This Row],[Age Calculation
]]&lt;36,"26-35",IF(HRDataset_v14[[#This Row],[Age Calculation
]]&lt;46,"36-45",IF(HRDataset_v14[[#This Row],[Age Calculation
]]&lt;56,"46-55","55+"))))</f>
        <v>36-45</v>
      </c>
      <c r="AR287" t="str">
        <f>IF(HRDataset_v14[[#This Row],[Salary]]&lt;40000,"Entry (&lt;40K)",IF(HRDataset_v14[[#This Row],[Salary]]&lt;70000,"Mid (40-70K)",IF(HRDataset_v14[[#This Row],[Salary]]&lt;100000,"Senior (70-100K)","Executive (100K+)")))</f>
        <v>Executive (100K+)</v>
      </c>
      <c r="AS287">
        <f>IF(HRDataset_v14[[#This Row],[EmploymentStatus]]="Active",1,0)</f>
        <v>0</v>
      </c>
      <c r="AT287">
        <f>YEAR(HRDataset_v14[[#This Row],[DateofHire]])</f>
        <v>2013</v>
      </c>
      <c r="AU287">
        <f>MONTH(HRDataset_v14[[#This Row],[DateofHire]])</f>
        <v>2</v>
      </c>
      <c r="AV287" t="str">
        <f>"Q"&amp;ROUNDUP(MONTH(HRDataset_v14[[#This Row],[DateofHire]])/3,0)</f>
        <v>Q1</v>
      </c>
      <c r="AW287" t="str">
        <f>TEXT(HRDataset_v14[[#This Row],[DateofHire]],"MMM")</f>
        <v>Feb</v>
      </c>
      <c r="AX287" t="str">
        <f>TEXT(HRDataset_v14[[#This Row],[DateofHire]],"YYYY-MM")</f>
        <v>2013-02</v>
      </c>
      <c r="AY287">
        <f>IF(ISBLANK(HRDataset_v14[[#This Row],[DateofTermination]]),"N/A",YEAR(HRDataset_v14[[#This Row],[DateofTermination]]))</f>
        <v>2018</v>
      </c>
      <c r="AZ287" t="str" cm="1">
        <f t="array" ref="AZ287">INDEX(_xlfn.UNIQUE(Z287:Z597),MATCH(MAX(COUNTIF(Z287:Z597,_xlfn.UNIQUE(Z287:Z597))),COUNTIF(Z287:Z597,_xlfn.UNIQUE(Z287:Z597)),0))</f>
        <v xml:space="preserve">Production       </v>
      </c>
      <c r="BA287">
        <f t="shared" si="40"/>
        <v>100</v>
      </c>
      <c r="BB287">
        <f t="shared" si="41"/>
        <v>1</v>
      </c>
      <c r="BC287" t="str">
        <f t="shared" si="36"/>
        <v>Medium</v>
      </c>
      <c r="BD287" t="str">
        <f t="shared" si="37"/>
        <v/>
      </c>
      <c r="BE287">
        <f t="shared" si="38"/>
        <v>4.5999999999999996</v>
      </c>
      <c r="BT287" t="str">
        <f t="shared" si="39"/>
        <v/>
      </c>
    </row>
    <row r="288" spans="1:72" x14ac:dyDescent="0.3">
      <c r="A288" t="s">
        <v>587</v>
      </c>
      <c r="B288">
        <v>10270</v>
      </c>
      <c r="C288">
        <v>0</v>
      </c>
      <c r="D288">
        <v>0</v>
      </c>
      <c r="E288">
        <v>0</v>
      </c>
      <c r="F288">
        <v>5</v>
      </c>
      <c r="G288">
        <v>5</v>
      </c>
      <c r="H288">
        <v>3</v>
      </c>
      <c r="I288">
        <v>0</v>
      </c>
      <c r="J288">
        <v>74813</v>
      </c>
      <c r="K288">
        <v>1</v>
      </c>
      <c r="L288">
        <v>20</v>
      </c>
      <c r="M288" t="s">
        <v>63</v>
      </c>
      <c r="N288" t="s">
        <v>38</v>
      </c>
      <c r="O288">
        <v>1778</v>
      </c>
      <c r="P288">
        <v>31121</v>
      </c>
      <c r="Q288" t="s">
        <v>64</v>
      </c>
      <c r="R288" t="s">
        <v>40</v>
      </c>
      <c r="S288" t="s">
        <v>41</v>
      </c>
      <c r="T288" t="s">
        <v>42</v>
      </c>
      <c r="U288" t="s">
        <v>43</v>
      </c>
      <c r="V288">
        <v>40553</v>
      </c>
      <c r="W288">
        <v>41822</v>
      </c>
      <c r="X288" t="s">
        <v>105</v>
      </c>
      <c r="Y288" t="s">
        <v>56</v>
      </c>
      <c r="Z288" t="s">
        <v>46</v>
      </c>
      <c r="AA288" t="s">
        <v>78</v>
      </c>
      <c r="AB288">
        <v>11</v>
      </c>
      <c r="AC288" t="s">
        <v>48</v>
      </c>
      <c r="AD288" t="s">
        <v>60</v>
      </c>
      <c r="AE288">
        <v>4.4000000000000004</v>
      </c>
      <c r="AF288">
        <v>3</v>
      </c>
      <c r="AG288">
        <v>0</v>
      </c>
      <c r="AH288" t="s">
        <v>262</v>
      </c>
      <c r="AI288">
        <v>0</v>
      </c>
      <c r="AJ288">
        <v>5</v>
      </c>
      <c r="AK288" t="str">
        <f t="shared" si="34"/>
        <v>Normal</v>
      </c>
      <c r="AL288" t="str">
        <f t="shared" si="35"/>
        <v>low Outlier</v>
      </c>
      <c r="AM288">
        <f ca="1">INT((TODAY()-HRDataset_v14[[#This Row],[DOB]])/365.25)</f>
        <v>41</v>
      </c>
      <c r="AN288">
        <f ca="1">DATEDIF(HRDataset_v14[[#This Row],[DateofHire]],TODAY(),"Y")</f>
        <v>15</v>
      </c>
      <c r="AO288">
        <f ca="1">IF(ISBLANK(HRDataset_v14[[#This Row],[DateofTermination]]),DATEDIF(HRDataset_v14[[#This Row],[DateofHire]],TODAY(),"Y"),DATEDIF(HRDataset_v14[[#This Row],[DateofHire]],HRDataset_v14[[#This Row],[DateofTermination]],"Y"))</f>
        <v>3</v>
      </c>
      <c r="AP288" t="str">
        <f ca="1">IF(HRDataset_v14[[#This Row],[Tenure in Years
]]&lt;1,"0-1 Year",IF(HRDataset_v14[[#This Row],[Tenure in Years
]]&lt;3,"1-3 Years",IF(HRDataset_v14[[#This Row],[Tenure in Years
]]&lt;5,"3-5 Years",IF(HRDataset_v14[[#This Row],[Tenure in Years
]]&lt;10,"5-10 Years","10+ Years"))))</f>
        <v>10+ Years</v>
      </c>
      <c r="AQ288" t="str">
        <f ca="1">IF(HRDataset_v14[[#This Row],[Age Calculation
]]&lt;26,"18-25",IF(HRDataset_v14[[#This Row],[Age Calculation
]]&lt;36,"26-35",IF(HRDataset_v14[[#This Row],[Age Calculation
]]&lt;46,"36-45",IF(HRDataset_v14[[#This Row],[Age Calculation
]]&lt;56,"46-55","55+"))))</f>
        <v>36-45</v>
      </c>
      <c r="AR288" t="str">
        <f>IF(HRDataset_v14[[#This Row],[Salary]]&lt;40000,"Entry (&lt;40K)",IF(HRDataset_v14[[#This Row],[Salary]]&lt;70000,"Mid (40-70K)",IF(HRDataset_v14[[#This Row],[Salary]]&lt;100000,"Senior (70-100K)","Executive (100K+)")))</f>
        <v>Senior (70-100K)</v>
      </c>
      <c r="AS288">
        <f>IF(HRDataset_v14[[#This Row],[EmploymentStatus]]="Active",1,0)</f>
        <v>0</v>
      </c>
      <c r="AT288">
        <f>YEAR(HRDataset_v14[[#This Row],[DateofHire]])</f>
        <v>2011</v>
      </c>
      <c r="AU288">
        <f>MONTH(HRDataset_v14[[#This Row],[DateofHire]])</f>
        <v>1</v>
      </c>
      <c r="AV288" t="str">
        <f>"Q"&amp;ROUNDUP(MONTH(HRDataset_v14[[#This Row],[DateofHire]])/3,0)</f>
        <v>Q1</v>
      </c>
      <c r="AW288" t="str">
        <f>TEXT(HRDataset_v14[[#This Row],[DateofHire]],"MMM")</f>
        <v>Jan</v>
      </c>
      <c r="AX288" t="str">
        <f>TEXT(HRDataset_v14[[#This Row],[DateofHire]],"YYYY-MM")</f>
        <v>2011-01</v>
      </c>
      <c r="AY288">
        <f>IF(ISBLANK(HRDataset_v14[[#This Row],[DateofTermination]]),"N/A",YEAR(HRDataset_v14[[#This Row],[DateofTermination]]))</f>
        <v>2014</v>
      </c>
      <c r="AZ288" t="str" cm="1">
        <f t="array" ref="AZ288">INDEX(_xlfn.UNIQUE(Z288:Z598),MATCH(MAX(COUNTIF(Z288:Z598,_xlfn.UNIQUE(Z288:Z598))),COUNTIF(Z288:Z598,_xlfn.UNIQUE(Z288:Z598)),0))</f>
        <v xml:space="preserve">Production       </v>
      </c>
      <c r="BA288">
        <f t="shared" si="40"/>
        <v>100</v>
      </c>
      <c r="BB288">
        <f t="shared" si="41"/>
        <v>2</v>
      </c>
      <c r="BC288" t="str">
        <f t="shared" si="36"/>
        <v>Medium</v>
      </c>
      <c r="BD288" t="str">
        <f t="shared" si="37"/>
        <v/>
      </c>
      <c r="BE288">
        <f t="shared" si="38"/>
        <v>4.4000000000000004</v>
      </c>
      <c r="BT288" t="str">
        <f t="shared" si="39"/>
        <v/>
      </c>
    </row>
    <row r="289" spans="1:72" x14ac:dyDescent="0.3">
      <c r="A289" t="s">
        <v>588</v>
      </c>
      <c r="B289">
        <v>10045</v>
      </c>
      <c r="C289">
        <v>1</v>
      </c>
      <c r="D289">
        <v>1</v>
      </c>
      <c r="E289">
        <v>1</v>
      </c>
      <c r="F289">
        <v>1</v>
      </c>
      <c r="G289">
        <v>3</v>
      </c>
      <c r="H289">
        <v>3</v>
      </c>
      <c r="I289">
        <v>0</v>
      </c>
      <c r="J289">
        <v>76029</v>
      </c>
      <c r="K289">
        <v>0</v>
      </c>
      <c r="L289">
        <v>15</v>
      </c>
      <c r="M289" t="s">
        <v>289</v>
      </c>
      <c r="N289" t="s">
        <v>38</v>
      </c>
      <c r="O289">
        <v>2343</v>
      </c>
      <c r="P289">
        <v>25293</v>
      </c>
      <c r="Q289" t="s">
        <v>39</v>
      </c>
      <c r="R289" t="s">
        <v>53</v>
      </c>
      <c r="S289" t="s">
        <v>126</v>
      </c>
      <c r="T289" t="s">
        <v>42</v>
      </c>
      <c r="U289" t="s">
        <v>43</v>
      </c>
      <c r="V289">
        <v>42093</v>
      </c>
      <c r="X289" t="s">
        <v>44</v>
      </c>
      <c r="Y289" t="s">
        <v>45</v>
      </c>
      <c r="Z289" t="s">
        <v>57</v>
      </c>
      <c r="AA289" t="s">
        <v>97</v>
      </c>
      <c r="AB289">
        <v>7</v>
      </c>
      <c r="AC289" t="s">
        <v>88</v>
      </c>
      <c r="AD289" t="s">
        <v>60</v>
      </c>
      <c r="AE289">
        <v>5</v>
      </c>
      <c r="AF289">
        <v>4</v>
      </c>
      <c r="AG289">
        <v>7</v>
      </c>
      <c r="AH289" t="s">
        <v>124</v>
      </c>
      <c r="AI289">
        <v>0</v>
      </c>
      <c r="AJ289">
        <v>8</v>
      </c>
      <c r="AK289" t="str">
        <f t="shared" si="34"/>
        <v>Normal</v>
      </c>
      <c r="AL289" t="str">
        <f t="shared" si="35"/>
        <v>low Outlier</v>
      </c>
      <c r="AM289">
        <f ca="1">INT((TODAY()-HRDataset_v14[[#This Row],[DOB]])/365.25)</f>
        <v>57</v>
      </c>
      <c r="AN289">
        <f ca="1">DATEDIF(HRDataset_v14[[#This Row],[DateofHire]],TODAY(),"Y")</f>
        <v>11</v>
      </c>
      <c r="AO289">
        <f ca="1">IF(ISBLANK(HRDataset_v14[[#This Row],[DateofTermination]]),DATEDIF(HRDataset_v14[[#This Row],[DateofHire]],TODAY(),"Y"),DATEDIF(HRDataset_v14[[#This Row],[DateofHire]],HRDataset_v14[[#This Row],[DateofTermination]],"Y"))</f>
        <v>11</v>
      </c>
      <c r="AP289" t="str">
        <f ca="1">IF(HRDataset_v14[[#This Row],[Tenure in Years
]]&lt;1,"0-1 Year",IF(HRDataset_v14[[#This Row],[Tenure in Years
]]&lt;3,"1-3 Years",IF(HRDataset_v14[[#This Row],[Tenure in Years
]]&lt;5,"3-5 Years",IF(HRDataset_v14[[#This Row],[Tenure in Years
]]&lt;10,"5-10 Years","10+ Years"))))</f>
        <v>10+ Years</v>
      </c>
      <c r="AQ289" t="str">
        <f ca="1">IF(HRDataset_v14[[#This Row],[Age Calculation
]]&lt;26,"18-25",IF(HRDataset_v14[[#This Row],[Age Calculation
]]&lt;36,"26-35",IF(HRDataset_v14[[#This Row],[Age Calculation
]]&lt;46,"36-45",IF(HRDataset_v14[[#This Row],[Age Calculation
]]&lt;56,"46-55","55+"))))</f>
        <v>55+</v>
      </c>
      <c r="AR289" t="str">
        <f>IF(HRDataset_v14[[#This Row],[Salary]]&lt;40000,"Entry (&lt;40K)",IF(HRDataset_v14[[#This Row],[Salary]]&lt;70000,"Mid (40-70K)",IF(HRDataset_v14[[#This Row],[Salary]]&lt;100000,"Senior (70-100K)","Executive (100K+)")))</f>
        <v>Senior (70-100K)</v>
      </c>
      <c r="AS289">
        <f>IF(HRDataset_v14[[#This Row],[EmploymentStatus]]="Active",1,0)</f>
        <v>1</v>
      </c>
      <c r="AT289">
        <f>YEAR(HRDataset_v14[[#This Row],[DateofHire]])</f>
        <v>2015</v>
      </c>
      <c r="AU289">
        <f>MONTH(HRDataset_v14[[#This Row],[DateofHire]])</f>
        <v>3</v>
      </c>
      <c r="AV289" t="str">
        <f>"Q"&amp;ROUNDUP(MONTH(HRDataset_v14[[#This Row],[DateofHire]])/3,0)</f>
        <v>Q1</v>
      </c>
      <c r="AW289" t="str">
        <f>TEXT(HRDataset_v14[[#This Row],[DateofHire]],"MMM")</f>
        <v>Mar</v>
      </c>
      <c r="AX289" t="str">
        <f>TEXT(HRDataset_v14[[#This Row],[DateofHire]],"YYYY-MM")</f>
        <v>2015-03</v>
      </c>
      <c r="AY289" t="str">
        <f>IF(ISBLANK(HRDataset_v14[[#This Row],[DateofTermination]]),"N/A",YEAR(HRDataset_v14[[#This Row],[DateofTermination]]))</f>
        <v>N/A</v>
      </c>
      <c r="AZ289" t="str" cm="1">
        <f t="array" ref="AZ289">INDEX(_xlfn.UNIQUE(Z289:Z599),MATCH(MAX(COUNTIF(Z289:Z599,_xlfn.UNIQUE(Z289:Z599))),COUNTIF(Z289:Z599,_xlfn.UNIQUE(Z289:Z599)),0))</f>
        <v xml:space="preserve">Production       </v>
      </c>
      <c r="BA289">
        <f t="shared" si="40"/>
        <v>0</v>
      </c>
      <c r="BB289">
        <f t="shared" si="41"/>
        <v>0</v>
      </c>
      <c r="BC289" t="str">
        <f t="shared" si="36"/>
        <v>Medium</v>
      </c>
      <c r="BD289">
        <f t="shared" si="37"/>
        <v>5</v>
      </c>
      <c r="BE289" t="str">
        <f t="shared" si="38"/>
        <v/>
      </c>
      <c r="BT289">
        <f t="shared" si="39"/>
        <v>5</v>
      </c>
    </row>
    <row r="290" spans="1:72" x14ac:dyDescent="0.3">
      <c r="A290" t="s">
        <v>589</v>
      </c>
      <c r="B290">
        <v>10205</v>
      </c>
      <c r="C290">
        <v>1</v>
      </c>
      <c r="D290">
        <v>1</v>
      </c>
      <c r="E290">
        <v>0</v>
      </c>
      <c r="F290">
        <v>1</v>
      </c>
      <c r="G290">
        <v>6</v>
      </c>
      <c r="H290">
        <v>3</v>
      </c>
      <c r="I290">
        <v>0</v>
      </c>
      <c r="J290">
        <v>57859</v>
      </c>
      <c r="K290">
        <v>0</v>
      </c>
      <c r="L290">
        <v>3</v>
      </c>
      <c r="M290" t="s">
        <v>169</v>
      </c>
      <c r="N290" t="s">
        <v>590</v>
      </c>
      <c r="O290">
        <v>85006</v>
      </c>
      <c r="P290">
        <v>33381</v>
      </c>
      <c r="Q290" t="s">
        <v>64</v>
      </c>
      <c r="R290" t="s">
        <v>53</v>
      </c>
      <c r="S290" t="s">
        <v>41</v>
      </c>
      <c r="T290" t="s">
        <v>42</v>
      </c>
      <c r="U290" t="s">
        <v>111</v>
      </c>
      <c r="V290">
        <v>40729</v>
      </c>
      <c r="X290" t="s">
        <v>44</v>
      </c>
      <c r="Y290" t="s">
        <v>45</v>
      </c>
      <c r="Z290" t="s">
        <v>171</v>
      </c>
      <c r="AA290" t="s">
        <v>172</v>
      </c>
      <c r="AB290">
        <v>17</v>
      </c>
      <c r="AC290" t="s">
        <v>59</v>
      </c>
      <c r="AD290" t="s">
        <v>60</v>
      </c>
      <c r="AE290">
        <v>2.81</v>
      </c>
      <c r="AF290">
        <v>3</v>
      </c>
      <c r="AG290">
        <v>0</v>
      </c>
      <c r="AH290" t="s">
        <v>50</v>
      </c>
      <c r="AI290">
        <v>0</v>
      </c>
      <c r="AJ290">
        <v>16</v>
      </c>
      <c r="AK290" t="str">
        <f t="shared" si="34"/>
        <v>Normal</v>
      </c>
      <c r="AL290" t="str">
        <f t="shared" si="35"/>
        <v>low Outlier</v>
      </c>
      <c r="AM290">
        <f ca="1">INT((TODAY()-HRDataset_v14[[#This Row],[DOB]])/365.25)</f>
        <v>34</v>
      </c>
      <c r="AN290">
        <f ca="1">DATEDIF(HRDataset_v14[[#This Row],[DateofHire]],TODAY(),"Y")</f>
        <v>14</v>
      </c>
      <c r="AO290">
        <f ca="1">IF(ISBLANK(HRDataset_v14[[#This Row],[DateofTermination]]),DATEDIF(HRDataset_v14[[#This Row],[DateofHire]],TODAY(),"Y"),DATEDIF(HRDataset_v14[[#This Row],[DateofHire]],HRDataset_v14[[#This Row],[DateofTermination]],"Y"))</f>
        <v>14</v>
      </c>
      <c r="AP290" t="str">
        <f ca="1">IF(HRDataset_v14[[#This Row],[Tenure in Years
]]&lt;1,"0-1 Year",IF(HRDataset_v14[[#This Row],[Tenure in Years
]]&lt;3,"1-3 Years",IF(HRDataset_v14[[#This Row],[Tenure in Years
]]&lt;5,"3-5 Years",IF(HRDataset_v14[[#This Row],[Tenure in Years
]]&lt;10,"5-10 Years","10+ Years"))))</f>
        <v>10+ Years</v>
      </c>
      <c r="AQ290" t="str">
        <f ca="1">IF(HRDataset_v14[[#This Row],[Age Calculation
]]&lt;26,"18-25",IF(HRDataset_v14[[#This Row],[Age Calculation
]]&lt;36,"26-35",IF(HRDataset_v14[[#This Row],[Age Calculation
]]&lt;46,"36-45",IF(HRDataset_v14[[#This Row],[Age Calculation
]]&lt;56,"46-55","55+"))))</f>
        <v>26-35</v>
      </c>
      <c r="AR290" t="str">
        <f>IF(HRDataset_v14[[#This Row],[Salary]]&lt;40000,"Entry (&lt;40K)",IF(HRDataset_v14[[#This Row],[Salary]]&lt;70000,"Mid (40-70K)",IF(HRDataset_v14[[#This Row],[Salary]]&lt;100000,"Senior (70-100K)","Executive (100K+)")))</f>
        <v>Mid (40-70K)</v>
      </c>
      <c r="AS290">
        <f>IF(HRDataset_v14[[#This Row],[EmploymentStatus]]="Active",1,0)</f>
        <v>1</v>
      </c>
      <c r="AT290">
        <f>YEAR(HRDataset_v14[[#This Row],[DateofHire]])</f>
        <v>2011</v>
      </c>
      <c r="AU290">
        <f>MONTH(HRDataset_v14[[#This Row],[DateofHire]])</f>
        <v>7</v>
      </c>
      <c r="AV290" t="str">
        <f>"Q"&amp;ROUNDUP(MONTH(HRDataset_v14[[#This Row],[DateofHire]])/3,0)</f>
        <v>Q3</v>
      </c>
      <c r="AW290" t="str">
        <f>TEXT(HRDataset_v14[[#This Row],[DateofHire]],"MMM")</f>
        <v>Jul</v>
      </c>
      <c r="AX290" t="str">
        <f>TEXT(HRDataset_v14[[#This Row],[DateofHire]],"YYYY-MM")</f>
        <v>2011-07</v>
      </c>
      <c r="AY290" t="str">
        <f>IF(ISBLANK(HRDataset_v14[[#This Row],[DateofTermination]]),"N/A",YEAR(HRDataset_v14[[#This Row],[DateofTermination]]))</f>
        <v>N/A</v>
      </c>
      <c r="AZ290" t="str" cm="1">
        <f t="array" ref="AZ290">INDEX(_xlfn.UNIQUE(Z290:Z600),MATCH(MAX(COUNTIF(Z290:Z600,_xlfn.UNIQUE(Z290:Z600))),COUNTIF(Z290:Z600,_xlfn.UNIQUE(Z290:Z600)),0))</f>
        <v xml:space="preserve">Production       </v>
      </c>
      <c r="BA290">
        <f t="shared" si="40"/>
        <v>0</v>
      </c>
      <c r="BB290">
        <f t="shared" si="41"/>
        <v>0</v>
      </c>
      <c r="BC290" t="str">
        <f t="shared" si="36"/>
        <v>Medium</v>
      </c>
      <c r="BD290">
        <f t="shared" si="37"/>
        <v>2.81</v>
      </c>
      <c r="BE290" t="str">
        <f t="shared" si="38"/>
        <v/>
      </c>
      <c r="BT290">
        <f t="shared" si="39"/>
        <v>2.81</v>
      </c>
    </row>
    <row r="291" spans="1:72" x14ac:dyDescent="0.3">
      <c r="A291" t="s">
        <v>591</v>
      </c>
      <c r="B291">
        <v>10014</v>
      </c>
      <c r="C291">
        <v>0</v>
      </c>
      <c r="D291">
        <v>2</v>
      </c>
      <c r="E291">
        <v>1</v>
      </c>
      <c r="F291">
        <v>5</v>
      </c>
      <c r="G291">
        <v>5</v>
      </c>
      <c r="H291">
        <v>4</v>
      </c>
      <c r="I291">
        <v>0</v>
      </c>
      <c r="J291">
        <v>58523</v>
      </c>
      <c r="K291">
        <v>1</v>
      </c>
      <c r="L291">
        <v>19</v>
      </c>
      <c r="M291" t="s">
        <v>37</v>
      </c>
      <c r="N291" t="s">
        <v>38</v>
      </c>
      <c r="O291">
        <v>2171</v>
      </c>
      <c r="P291">
        <v>31808</v>
      </c>
      <c r="Q291" t="s">
        <v>39</v>
      </c>
      <c r="R291" t="s">
        <v>72</v>
      </c>
      <c r="S291" t="s">
        <v>41</v>
      </c>
      <c r="T291" t="s">
        <v>42</v>
      </c>
      <c r="U291" t="s">
        <v>43</v>
      </c>
      <c r="V291">
        <v>41134</v>
      </c>
      <c r="W291">
        <v>42405</v>
      </c>
      <c r="X291" t="s">
        <v>381</v>
      </c>
      <c r="Y291" t="s">
        <v>56</v>
      </c>
      <c r="Z291" t="s">
        <v>46</v>
      </c>
      <c r="AA291" t="s">
        <v>66</v>
      </c>
      <c r="AB291">
        <v>20</v>
      </c>
      <c r="AC291" t="s">
        <v>48</v>
      </c>
      <c r="AD291" t="s">
        <v>49</v>
      </c>
      <c r="AE291">
        <v>4.5</v>
      </c>
      <c r="AF291">
        <v>5</v>
      </c>
      <c r="AG291">
        <v>0</v>
      </c>
      <c r="AH291" t="s">
        <v>76</v>
      </c>
      <c r="AI291">
        <v>0</v>
      </c>
      <c r="AJ291">
        <v>15</v>
      </c>
      <c r="AK291" t="str">
        <f t="shared" si="34"/>
        <v>Normal</v>
      </c>
      <c r="AL291" t="str">
        <f t="shared" si="35"/>
        <v>low Outlier</v>
      </c>
      <c r="AM291">
        <f ca="1">INT((TODAY()-HRDataset_v14[[#This Row],[DOB]])/365.25)</f>
        <v>39</v>
      </c>
      <c r="AN291">
        <f ca="1">DATEDIF(HRDataset_v14[[#This Row],[DateofHire]],TODAY(),"Y")</f>
        <v>13</v>
      </c>
      <c r="AO291">
        <f ca="1">IF(ISBLANK(HRDataset_v14[[#This Row],[DateofTermination]]),DATEDIF(HRDataset_v14[[#This Row],[DateofHire]],TODAY(),"Y"),DATEDIF(HRDataset_v14[[#This Row],[DateofHire]],HRDataset_v14[[#This Row],[DateofTermination]],"Y"))</f>
        <v>3</v>
      </c>
      <c r="AP291" t="str">
        <f ca="1">IF(HRDataset_v14[[#This Row],[Tenure in Years
]]&lt;1,"0-1 Year",IF(HRDataset_v14[[#This Row],[Tenure in Years
]]&lt;3,"1-3 Years",IF(HRDataset_v14[[#This Row],[Tenure in Years
]]&lt;5,"3-5 Years",IF(HRDataset_v14[[#This Row],[Tenure in Years
]]&lt;10,"5-10 Years","10+ Years"))))</f>
        <v>10+ Years</v>
      </c>
      <c r="AQ291" t="str">
        <f ca="1">IF(HRDataset_v14[[#This Row],[Age Calculation
]]&lt;26,"18-25",IF(HRDataset_v14[[#This Row],[Age Calculation
]]&lt;36,"26-35",IF(HRDataset_v14[[#This Row],[Age Calculation
]]&lt;46,"36-45",IF(HRDataset_v14[[#This Row],[Age Calculation
]]&lt;56,"46-55","55+"))))</f>
        <v>36-45</v>
      </c>
      <c r="AR291" t="str">
        <f>IF(HRDataset_v14[[#This Row],[Salary]]&lt;40000,"Entry (&lt;40K)",IF(HRDataset_v14[[#This Row],[Salary]]&lt;70000,"Mid (40-70K)",IF(HRDataset_v14[[#This Row],[Salary]]&lt;100000,"Senior (70-100K)","Executive (100K+)")))</f>
        <v>Mid (40-70K)</v>
      </c>
      <c r="AS291">
        <f>IF(HRDataset_v14[[#This Row],[EmploymentStatus]]="Active",1,0)</f>
        <v>0</v>
      </c>
      <c r="AT291">
        <f>YEAR(HRDataset_v14[[#This Row],[DateofHire]])</f>
        <v>2012</v>
      </c>
      <c r="AU291">
        <f>MONTH(HRDataset_v14[[#This Row],[DateofHire]])</f>
        <v>8</v>
      </c>
      <c r="AV291" t="str">
        <f>"Q"&amp;ROUNDUP(MONTH(HRDataset_v14[[#This Row],[DateofHire]])/3,0)</f>
        <v>Q3</v>
      </c>
      <c r="AW291" t="str">
        <f>TEXT(HRDataset_v14[[#This Row],[DateofHire]],"MMM")</f>
        <v>Aug</v>
      </c>
      <c r="AX291" t="str">
        <f>TEXT(HRDataset_v14[[#This Row],[DateofHire]],"YYYY-MM")</f>
        <v>2012-08</v>
      </c>
      <c r="AY291">
        <f>IF(ISBLANK(HRDataset_v14[[#This Row],[DateofTermination]]),"N/A",YEAR(HRDataset_v14[[#This Row],[DateofTermination]]))</f>
        <v>2016</v>
      </c>
      <c r="AZ291" t="str" cm="1">
        <f t="array" ref="AZ291">INDEX(_xlfn.UNIQUE(Z291:Z601),MATCH(MAX(COUNTIF(Z291:Z601,_xlfn.UNIQUE(Z291:Z601))),COUNTIF(Z291:Z601,_xlfn.UNIQUE(Z291:Z601)),0))</f>
        <v xml:space="preserve">Production       </v>
      </c>
      <c r="BA291">
        <f t="shared" si="40"/>
        <v>50</v>
      </c>
      <c r="BB291">
        <f t="shared" si="41"/>
        <v>1</v>
      </c>
      <c r="BC291" t="str">
        <f t="shared" si="36"/>
        <v>Low</v>
      </c>
      <c r="BD291" t="str">
        <f t="shared" si="37"/>
        <v/>
      </c>
      <c r="BE291">
        <f t="shared" si="38"/>
        <v>4.5</v>
      </c>
      <c r="BT291" t="str">
        <f t="shared" si="39"/>
        <v/>
      </c>
    </row>
    <row r="292" spans="1:72" x14ac:dyDescent="0.3">
      <c r="A292" t="s">
        <v>592</v>
      </c>
      <c r="B292">
        <v>10144</v>
      </c>
      <c r="C292">
        <v>0</v>
      </c>
      <c r="D292">
        <v>2</v>
      </c>
      <c r="E292">
        <v>1</v>
      </c>
      <c r="F292">
        <v>1</v>
      </c>
      <c r="G292">
        <v>5</v>
      </c>
      <c r="H292">
        <v>3</v>
      </c>
      <c r="I292">
        <v>0</v>
      </c>
      <c r="J292">
        <v>88976</v>
      </c>
      <c r="K292">
        <v>0</v>
      </c>
      <c r="L292">
        <v>17</v>
      </c>
      <c r="M292" t="s">
        <v>154</v>
      </c>
      <c r="N292" t="s">
        <v>38</v>
      </c>
      <c r="O292">
        <v>2169</v>
      </c>
      <c r="P292">
        <v>25121</v>
      </c>
      <c r="Q292" t="s">
        <v>39</v>
      </c>
      <c r="R292" t="s">
        <v>72</v>
      </c>
      <c r="S292" t="s">
        <v>41</v>
      </c>
      <c r="T292" t="s">
        <v>42</v>
      </c>
      <c r="U292" t="s">
        <v>43</v>
      </c>
      <c r="V292">
        <v>40756</v>
      </c>
      <c r="X292" t="s">
        <v>44</v>
      </c>
      <c r="Y292" t="s">
        <v>45</v>
      </c>
      <c r="Z292" t="s">
        <v>46</v>
      </c>
      <c r="AA292" t="s">
        <v>156</v>
      </c>
      <c r="AB292">
        <v>2</v>
      </c>
      <c r="AC292" t="s">
        <v>88</v>
      </c>
      <c r="AD292" t="s">
        <v>60</v>
      </c>
      <c r="AE292">
        <v>3.93</v>
      </c>
      <c r="AF292">
        <v>3</v>
      </c>
      <c r="AG292">
        <v>0</v>
      </c>
      <c r="AH292" t="s">
        <v>138</v>
      </c>
      <c r="AI292">
        <v>0</v>
      </c>
      <c r="AJ292">
        <v>19</v>
      </c>
      <c r="AK292" t="str">
        <f t="shared" si="34"/>
        <v>Normal</v>
      </c>
      <c r="AL292" t="str">
        <f t="shared" si="35"/>
        <v>low Outlier</v>
      </c>
      <c r="AM292">
        <f ca="1">INT((TODAY()-HRDataset_v14[[#This Row],[DOB]])/365.25)</f>
        <v>57</v>
      </c>
      <c r="AN292">
        <f ca="1">DATEDIF(HRDataset_v14[[#This Row],[DateofHire]],TODAY(),"Y")</f>
        <v>14</v>
      </c>
      <c r="AO292">
        <f ca="1">IF(ISBLANK(HRDataset_v14[[#This Row],[DateofTermination]]),DATEDIF(HRDataset_v14[[#This Row],[DateofHire]],TODAY(),"Y"),DATEDIF(HRDataset_v14[[#This Row],[DateofHire]],HRDataset_v14[[#This Row],[DateofTermination]],"Y"))</f>
        <v>14</v>
      </c>
      <c r="AP292" t="str">
        <f ca="1">IF(HRDataset_v14[[#This Row],[Tenure in Years
]]&lt;1,"0-1 Year",IF(HRDataset_v14[[#This Row],[Tenure in Years
]]&lt;3,"1-3 Years",IF(HRDataset_v14[[#This Row],[Tenure in Years
]]&lt;5,"3-5 Years",IF(HRDataset_v14[[#This Row],[Tenure in Years
]]&lt;10,"5-10 Years","10+ Years"))))</f>
        <v>10+ Years</v>
      </c>
      <c r="AQ292" t="str">
        <f ca="1">IF(HRDataset_v14[[#This Row],[Age Calculation
]]&lt;26,"18-25",IF(HRDataset_v14[[#This Row],[Age Calculation
]]&lt;36,"26-35",IF(HRDataset_v14[[#This Row],[Age Calculation
]]&lt;46,"36-45",IF(HRDataset_v14[[#This Row],[Age Calculation
]]&lt;56,"46-55","55+"))))</f>
        <v>55+</v>
      </c>
      <c r="AR292" t="str">
        <f>IF(HRDataset_v14[[#This Row],[Salary]]&lt;40000,"Entry (&lt;40K)",IF(HRDataset_v14[[#This Row],[Salary]]&lt;70000,"Mid (40-70K)",IF(HRDataset_v14[[#This Row],[Salary]]&lt;100000,"Senior (70-100K)","Executive (100K+)")))</f>
        <v>Senior (70-100K)</v>
      </c>
      <c r="AS292">
        <f>IF(HRDataset_v14[[#This Row],[EmploymentStatus]]="Active",1,0)</f>
        <v>1</v>
      </c>
      <c r="AT292">
        <f>YEAR(HRDataset_v14[[#This Row],[DateofHire]])</f>
        <v>2011</v>
      </c>
      <c r="AU292">
        <f>MONTH(HRDataset_v14[[#This Row],[DateofHire]])</f>
        <v>8</v>
      </c>
      <c r="AV292" t="str">
        <f>"Q"&amp;ROUNDUP(MONTH(HRDataset_v14[[#This Row],[DateofHire]])/3,0)</f>
        <v>Q3</v>
      </c>
      <c r="AW292" t="str">
        <f>TEXT(HRDataset_v14[[#This Row],[DateofHire]],"MMM")</f>
        <v>Aug</v>
      </c>
      <c r="AX292" t="str">
        <f>TEXT(HRDataset_v14[[#This Row],[DateofHire]],"YYYY-MM")</f>
        <v>2011-08</v>
      </c>
      <c r="AY292" t="str">
        <f>IF(ISBLANK(HRDataset_v14[[#This Row],[DateofTermination]]),"N/A",YEAR(HRDataset_v14[[#This Row],[DateofTermination]]))</f>
        <v>N/A</v>
      </c>
      <c r="AZ292" t="str" cm="1">
        <f t="array" ref="AZ292">INDEX(_xlfn.UNIQUE(Z292:Z602),MATCH(MAX(COUNTIF(Z292:Z602,_xlfn.UNIQUE(Z292:Z602))),COUNTIF(Z292:Z602,_xlfn.UNIQUE(Z292:Z602)),0))</f>
        <v xml:space="preserve">Production       </v>
      </c>
      <c r="BA292">
        <f t="shared" si="40"/>
        <v>33.333333333333329</v>
      </c>
      <c r="BB292">
        <f t="shared" si="41"/>
        <v>0</v>
      </c>
      <c r="BC292" t="str">
        <f t="shared" si="36"/>
        <v>Medium</v>
      </c>
      <c r="BD292">
        <f t="shared" si="37"/>
        <v>3.93</v>
      </c>
      <c r="BE292" t="str">
        <f t="shared" si="38"/>
        <v/>
      </c>
      <c r="BT292">
        <f t="shared" si="39"/>
        <v>3.93</v>
      </c>
    </row>
    <row r="293" spans="1:72" x14ac:dyDescent="0.3">
      <c r="A293" t="s">
        <v>593</v>
      </c>
      <c r="B293">
        <v>10253</v>
      </c>
      <c r="C293">
        <v>0</v>
      </c>
      <c r="D293">
        <v>0</v>
      </c>
      <c r="E293">
        <v>1</v>
      </c>
      <c r="F293">
        <v>1</v>
      </c>
      <c r="G293">
        <v>6</v>
      </c>
      <c r="H293">
        <v>3</v>
      </c>
      <c r="I293">
        <v>0</v>
      </c>
      <c r="J293">
        <v>55875</v>
      </c>
      <c r="K293">
        <v>0</v>
      </c>
      <c r="L293">
        <v>3</v>
      </c>
      <c r="M293" t="s">
        <v>169</v>
      </c>
      <c r="N293" t="s">
        <v>594</v>
      </c>
      <c r="O293">
        <v>4063</v>
      </c>
      <c r="P293">
        <v>32700</v>
      </c>
      <c r="Q293" t="s">
        <v>39</v>
      </c>
      <c r="R293" t="s">
        <v>40</v>
      </c>
      <c r="S293" t="s">
        <v>41</v>
      </c>
      <c r="T293" t="s">
        <v>42</v>
      </c>
      <c r="U293" t="s">
        <v>132</v>
      </c>
      <c r="V293">
        <v>40973</v>
      </c>
      <c r="X293" t="s">
        <v>44</v>
      </c>
      <c r="Y293" t="s">
        <v>45</v>
      </c>
      <c r="Z293" t="s">
        <v>171</v>
      </c>
      <c r="AA293" t="s">
        <v>172</v>
      </c>
      <c r="AB293">
        <v>17</v>
      </c>
      <c r="AC293" t="s">
        <v>254</v>
      </c>
      <c r="AD293" t="s">
        <v>60</v>
      </c>
      <c r="AE293">
        <v>4.5</v>
      </c>
      <c r="AF293">
        <v>4</v>
      </c>
      <c r="AG293">
        <v>0</v>
      </c>
      <c r="AH293" t="s">
        <v>257</v>
      </c>
      <c r="AI293">
        <v>0</v>
      </c>
      <c r="AJ293">
        <v>11</v>
      </c>
      <c r="AK293" t="str">
        <f t="shared" si="34"/>
        <v>Normal</v>
      </c>
      <c r="AL293" t="str">
        <f t="shared" si="35"/>
        <v>low Outlier</v>
      </c>
      <c r="AM293">
        <f ca="1">INT((TODAY()-HRDataset_v14[[#This Row],[DOB]])/365.25)</f>
        <v>36</v>
      </c>
      <c r="AN293">
        <f ca="1">DATEDIF(HRDataset_v14[[#This Row],[DateofHire]],TODAY(),"Y")</f>
        <v>14</v>
      </c>
      <c r="AO293">
        <f ca="1">IF(ISBLANK(HRDataset_v14[[#This Row],[DateofTermination]]),DATEDIF(HRDataset_v14[[#This Row],[DateofHire]],TODAY(),"Y"),DATEDIF(HRDataset_v14[[#This Row],[DateofHire]],HRDataset_v14[[#This Row],[DateofTermination]],"Y"))</f>
        <v>14</v>
      </c>
      <c r="AP293" t="str">
        <f ca="1">IF(HRDataset_v14[[#This Row],[Tenure in Years
]]&lt;1,"0-1 Year",IF(HRDataset_v14[[#This Row],[Tenure in Years
]]&lt;3,"1-3 Years",IF(HRDataset_v14[[#This Row],[Tenure in Years
]]&lt;5,"3-5 Years",IF(HRDataset_v14[[#This Row],[Tenure in Years
]]&lt;10,"5-10 Years","10+ Years"))))</f>
        <v>10+ Years</v>
      </c>
      <c r="AQ293" t="str">
        <f ca="1">IF(HRDataset_v14[[#This Row],[Age Calculation
]]&lt;26,"18-25",IF(HRDataset_v14[[#This Row],[Age Calculation
]]&lt;36,"26-35",IF(HRDataset_v14[[#This Row],[Age Calculation
]]&lt;46,"36-45",IF(HRDataset_v14[[#This Row],[Age Calculation
]]&lt;56,"46-55","55+"))))</f>
        <v>36-45</v>
      </c>
      <c r="AR293" t="str">
        <f>IF(HRDataset_v14[[#This Row],[Salary]]&lt;40000,"Entry (&lt;40K)",IF(HRDataset_v14[[#This Row],[Salary]]&lt;70000,"Mid (40-70K)",IF(HRDataset_v14[[#This Row],[Salary]]&lt;100000,"Senior (70-100K)","Executive (100K+)")))</f>
        <v>Mid (40-70K)</v>
      </c>
      <c r="AS293">
        <f>IF(HRDataset_v14[[#This Row],[EmploymentStatus]]="Active",1,0)</f>
        <v>1</v>
      </c>
      <c r="AT293">
        <f>YEAR(HRDataset_v14[[#This Row],[DateofHire]])</f>
        <v>2012</v>
      </c>
      <c r="AU293">
        <f>MONTH(HRDataset_v14[[#This Row],[DateofHire]])</f>
        <v>3</v>
      </c>
      <c r="AV293" t="str">
        <f>"Q"&amp;ROUNDUP(MONTH(HRDataset_v14[[#This Row],[DateofHire]])/3,0)</f>
        <v>Q1</v>
      </c>
      <c r="AW293" t="str">
        <f>TEXT(HRDataset_v14[[#This Row],[DateofHire]],"MMM")</f>
        <v>Mar</v>
      </c>
      <c r="AX293" t="str">
        <f>TEXT(HRDataset_v14[[#This Row],[DateofHire]],"YYYY-MM")</f>
        <v>2012-03</v>
      </c>
      <c r="AY293" t="str">
        <f>IF(ISBLANK(HRDataset_v14[[#This Row],[DateofTermination]]),"N/A",YEAR(HRDataset_v14[[#This Row],[DateofTermination]]))</f>
        <v>N/A</v>
      </c>
      <c r="AZ293" t="str" cm="1">
        <f t="array" ref="AZ293">INDEX(_xlfn.UNIQUE(Z293:Z603),MATCH(MAX(COUNTIF(Z293:Z603,_xlfn.UNIQUE(Z293:Z603))),COUNTIF(Z293:Z603,_xlfn.UNIQUE(Z293:Z603)),0))</f>
        <v xml:space="preserve">Production       </v>
      </c>
      <c r="BA293">
        <f t="shared" si="40"/>
        <v>0</v>
      </c>
      <c r="BB293">
        <f t="shared" si="41"/>
        <v>0</v>
      </c>
      <c r="BC293" t="str">
        <f t="shared" si="36"/>
        <v>Medium</v>
      </c>
      <c r="BD293">
        <f t="shared" si="37"/>
        <v>4.5</v>
      </c>
      <c r="BE293" t="str">
        <f t="shared" si="38"/>
        <v/>
      </c>
      <c r="BT293">
        <f t="shared" si="39"/>
        <v>4.5</v>
      </c>
    </row>
    <row r="294" spans="1:72" x14ac:dyDescent="0.3">
      <c r="A294" t="s">
        <v>595</v>
      </c>
      <c r="B294">
        <v>10118</v>
      </c>
      <c r="C294">
        <v>1</v>
      </c>
      <c r="D294">
        <v>1</v>
      </c>
      <c r="E294">
        <v>1</v>
      </c>
      <c r="F294">
        <v>4</v>
      </c>
      <c r="G294">
        <v>3</v>
      </c>
      <c r="H294">
        <v>3</v>
      </c>
      <c r="I294">
        <v>0</v>
      </c>
      <c r="J294">
        <v>113999</v>
      </c>
      <c r="K294">
        <v>1</v>
      </c>
      <c r="L294">
        <v>8</v>
      </c>
      <c r="M294" t="s">
        <v>128</v>
      </c>
      <c r="N294" t="s">
        <v>38</v>
      </c>
      <c r="O294">
        <v>1960</v>
      </c>
      <c r="P294">
        <v>31631</v>
      </c>
      <c r="Q294" t="s">
        <v>39</v>
      </c>
      <c r="R294" t="s">
        <v>53</v>
      </c>
      <c r="S294" t="s">
        <v>41</v>
      </c>
      <c r="T294" t="s">
        <v>42</v>
      </c>
      <c r="U294" t="s">
        <v>91</v>
      </c>
      <c r="V294">
        <v>42051</v>
      </c>
      <c r="W294">
        <v>42788</v>
      </c>
      <c r="X294" t="s">
        <v>279</v>
      </c>
      <c r="Y294" t="s">
        <v>121</v>
      </c>
      <c r="Z294" t="s">
        <v>57</v>
      </c>
      <c r="AA294" t="s">
        <v>58</v>
      </c>
      <c r="AB294">
        <v>4</v>
      </c>
      <c r="AC294" t="s">
        <v>88</v>
      </c>
      <c r="AD294" t="s">
        <v>60</v>
      </c>
      <c r="AE294">
        <v>4.33</v>
      </c>
      <c r="AF294">
        <v>3</v>
      </c>
      <c r="AG294">
        <v>7</v>
      </c>
      <c r="AH294" t="s">
        <v>248</v>
      </c>
      <c r="AI294">
        <v>0</v>
      </c>
      <c r="AJ294">
        <v>9</v>
      </c>
      <c r="AK294" t="str">
        <f t="shared" si="34"/>
        <v>Normal</v>
      </c>
      <c r="AL294" t="str">
        <f t="shared" si="35"/>
        <v>low Outlier</v>
      </c>
      <c r="AM294">
        <f ca="1">INT((TODAY()-HRDataset_v14[[#This Row],[DOB]])/365.25)</f>
        <v>39</v>
      </c>
      <c r="AN294">
        <f ca="1">DATEDIF(HRDataset_v14[[#This Row],[DateofHire]],TODAY(),"Y")</f>
        <v>11</v>
      </c>
      <c r="AO294">
        <f ca="1">IF(ISBLANK(HRDataset_v14[[#This Row],[DateofTermination]]),DATEDIF(HRDataset_v14[[#This Row],[DateofHire]],TODAY(),"Y"),DATEDIF(HRDataset_v14[[#This Row],[DateofHire]],HRDataset_v14[[#This Row],[DateofTermination]],"Y"))</f>
        <v>2</v>
      </c>
      <c r="AP294" t="str">
        <f ca="1">IF(HRDataset_v14[[#This Row],[Tenure in Years
]]&lt;1,"0-1 Year",IF(HRDataset_v14[[#This Row],[Tenure in Years
]]&lt;3,"1-3 Years",IF(HRDataset_v14[[#This Row],[Tenure in Years
]]&lt;5,"3-5 Years",IF(HRDataset_v14[[#This Row],[Tenure in Years
]]&lt;10,"5-10 Years","10+ Years"))))</f>
        <v>10+ Years</v>
      </c>
      <c r="AQ294" t="str">
        <f ca="1">IF(HRDataset_v14[[#This Row],[Age Calculation
]]&lt;26,"18-25",IF(HRDataset_v14[[#This Row],[Age Calculation
]]&lt;36,"26-35",IF(HRDataset_v14[[#This Row],[Age Calculation
]]&lt;46,"36-45",IF(HRDataset_v14[[#This Row],[Age Calculation
]]&lt;56,"46-55","55+"))))</f>
        <v>36-45</v>
      </c>
      <c r="AR294" t="str">
        <f>IF(HRDataset_v14[[#This Row],[Salary]]&lt;40000,"Entry (&lt;40K)",IF(HRDataset_v14[[#This Row],[Salary]]&lt;70000,"Mid (40-70K)",IF(HRDataset_v14[[#This Row],[Salary]]&lt;100000,"Senior (70-100K)","Executive (100K+)")))</f>
        <v>Executive (100K+)</v>
      </c>
      <c r="AS294">
        <f>IF(HRDataset_v14[[#This Row],[EmploymentStatus]]="Active",1,0)</f>
        <v>0</v>
      </c>
      <c r="AT294">
        <f>YEAR(HRDataset_v14[[#This Row],[DateofHire]])</f>
        <v>2015</v>
      </c>
      <c r="AU294">
        <f>MONTH(HRDataset_v14[[#This Row],[DateofHire]])</f>
        <v>2</v>
      </c>
      <c r="AV294" t="str">
        <f>"Q"&amp;ROUNDUP(MONTH(HRDataset_v14[[#This Row],[DateofHire]])/3,0)</f>
        <v>Q1</v>
      </c>
      <c r="AW294" t="str">
        <f>TEXT(HRDataset_v14[[#This Row],[DateofHire]],"MMM")</f>
        <v>Feb</v>
      </c>
      <c r="AX294" t="str">
        <f>TEXT(HRDataset_v14[[#This Row],[DateofHire]],"YYYY-MM")</f>
        <v>2015-02</v>
      </c>
      <c r="AY294">
        <f>IF(ISBLANK(HRDataset_v14[[#This Row],[DateofTermination]]),"N/A",YEAR(HRDataset_v14[[#This Row],[DateofTermination]]))</f>
        <v>2017</v>
      </c>
      <c r="AZ294" t="str" cm="1">
        <f t="array" ref="AZ294">INDEX(_xlfn.UNIQUE(Z294:Z604),MATCH(MAX(COUNTIF(Z294:Z604,_xlfn.UNIQUE(Z294:Z604))),COUNTIF(Z294:Z604,_xlfn.UNIQUE(Z294:Z604)),0))</f>
        <v xml:space="preserve">Production       </v>
      </c>
      <c r="BA294">
        <f t="shared" si="40"/>
        <v>50</v>
      </c>
      <c r="BB294">
        <f t="shared" si="41"/>
        <v>1</v>
      </c>
      <c r="BC294" t="str">
        <f t="shared" si="36"/>
        <v>Medium</v>
      </c>
      <c r="BD294" t="str">
        <f t="shared" si="37"/>
        <v/>
      </c>
      <c r="BE294">
        <f t="shared" si="38"/>
        <v>4.33</v>
      </c>
      <c r="BT294" t="str">
        <f t="shared" si="39"/>
        <v/>
      </c>
    </row>
    <row r="295" spans="1:72" x14ac:dyDescent="0.3">
      <c r="A295" t="s">
        <v>596</v>
      </c>
      <c r="B295">
        <v>10022</v>
      </c>
      <c r="C295">
        <v>1</v>
      </c>
      <c r="D295">
        <v>1</v>
      </c>
      <c r="E295">
        <v>0</v>
      </c>
      <c r="F295">
        <v>4</v>
      </c>
      <c r="G295">
        <v>5</v>
      </c>
      <c r="H295">
        <v>4</v>
      </c>
      <c r="I295">
        <v>0</v>
      </c>
      <c r="J295">
        <v>49773</v>
      </c>
      <c r="K295">
        <v>1</v>
      </c>
      <c r="L295">
        <v>19</v>
      </c>
      <c r="M295" t="s">
        <v>37</v>
      </c>
      <c r="N295" t="s">
        <v>38</v>
      </c>
      <c r="O295">
        <v>2747</v>
      </c>
      <c r="P295">
        <v>31566</v>
      </c>
      <c r="Q295" t="s">
        <v>64</v>
      </c>
      <c r="R295" t="s">
        <v>53</v>
      </c>
      <c r="S295" t="s">
        <v>41</v>
      </c>
      <c r="T295" t="s">
        <v>42</v>
      </c>
      <c r="U295" t="s">
        <v>43</v>
      </c>
      <c r="V295">
        <v>40812</v>
      </c>
      <c r="W295">
        <v>42408</v>
      </c>
      <c r="X295" t="s">
        <v>597</v>
      </c>
      <c r="Y295" t="s">
        <v>121</v>
      </c>
      <c r="Z295" t="s">
        <v>46</v>
      </c>
      <c r="AA295" t="s">
        <v>113</v>
      </c>
      <c r="AB295">
        <v>18</v>
      </c>
      <c r="AC295" t="s">
        <v>75</v>
      </c>
      <c r="AD295" t="s">
        <v>49</v>
      </c>
      <c r="AE295">
        <v>4.3</v>
      </c>
      <c r="AF295">
        <v>5</v>
      </c>
      <c r="AG295">
        <v>0</v>
      </c>
      <c r="AH295" t="s">
        <v>598</v>
      </c>
      <c r="AI295">
        <v>0</v>
      </c>
      <c r="AJ295">
        <v>18</v>
      </c>
      <c r="AK295" t="str">
        <f t="shared" si="34"/>
        <v>Normal</v>
      </c>
      <c r="AL295" t="str">
        <f t="shared" si="35"/>
        <v>low Outlier</v>
      </c>
      <c r="AM295">
        <f ca="1">INT((TODAY()-HRDataset_v14[[#This Row],[DOB]])/365.25)</f>
        <v>39</v>
      </c>
      <c r="AN295">
        <f ca="1">DATEDIF(HRDataset_v14[[#This Row],[DateofHire]],TODAY(),"Y")</f>
        <v>14</v>
      </c>
      <c r="AO295">
        <f ca="1">IF(ISBLANK(HRDataset_v14[[#This Row],[DateofTermination]]),DATEDIF(HRDataset_v14[[#This Row],[DateofHire]],TODAY(),"Y"),DATEDIF(HRDataset_v14[[#This Row],[DateofHire]],HRDataset_v14[[#This Row],[DateofTermination]],"Y"))</f>
        <v>4</v>
      </c>
      <c r="AP295" t="str">
        <f ca="1">IF(HRDataset_v14[[#This Row],[Tenure in Years
]]&lt;1,"0-1 Year",IF(HRDataset_v14[[#This Row],[Tenure in Years
]]&lt;3,"1-3 Years",IF(HRDataset_v14[[#This Row],[Tenure in Years
]]&lt;5,"3-5 Years",IF(HRDataset_v14[[#This Row],[Tenure in Years
]]&lt;10,"5-10 Years","10+ Years"))))</f>
        <v>10+ Years</v>
      </c>
      <c r="AQ295" t="str">
        <f ca="1">IF(HRDataset_v14[[#This Row],[Age Calculation
]]&lt;26,"18-25",IF(HRDataset_v14[[#This Row],[Age Calculation
]]&lt;36,"26-35",IF(HRDataset_v14[[#This Row],[Age Calculation
]]&lt;46,"36-45",IF(HRDataset_v14[[#This Row],[Age Calculation
]]&lt;56,"46-55","55+"))))</f>
        <v>36-45</v>
      </c>
      <c r="AR295" t="str">
        <f>IF(HRDataset_v14[[#This Row],[Salary]]&lt;40000,"Entry (&lt;40K)",IF(HRDataset_v14[[#This Row],[Salary]]&lt;70000,"Mid (40-70K)",IF(HRDataset_v14[[#This Row],[Salary]]&lt;100000,"Senior (70-100K)","Executive (100K+)")))</f>
        <v>Mid (40-70K)</v>
      </c>
      <c r="AS295">
        <f>IF(HRDataset_v14[[#This Row],[EmploymentStatus]]="Active",1,0)</f>
        <v>0</v>
      </c>
      <c r="AT295">
        <f>YEAR(HRDataset_v14[[#This Row],[DateofHire]])</f>
        <v>2011</v>
      </c>
      <c r="AU295">
        <f>MONTH(HRDataset_v14[[#This Row],[DateofHire]])</f>
        <v>9</v>
      </c>
      <c r="AV295" t="str">
        <f>"Q"&amp;ROUNDUP(MONTH(HRDataset_v14[[#This Row],[DateofHire]])/3,0)</f>
        <v>Q3</v>
      </c>
      <c r="AW295" t="str">
        <f>TEXT(HRDataset_v14[[#This Row],[DateofHire]],"MMM")</f>
        <v>Sep</v>
      </c>
      <c r="AX295" t="str">
        <f>TEXT(HRDataset_v14[[#This Row],[DateofHire]],"YYYY-MM")</f>
        <v>2011-09</v>
      </c>
      <c r="AY295">
        <f>IF(ISBLANK(HRDataset_v14[[#This Row],[DateofTermination]]),"N/A",YEAR(HRDataset_v14[[#This Row],[DateofTermination]]))</f>
        <v>2016</v>
      </c>
      <c r="AZ295" t="str" cm="1">
        <f t="array" ref="AZ295">INDEX(_xlfn.UNIQUE(Z295:Z605),MATCH(MAX(COUNTIF(Z295:Z605,_xlfn.UNIQUE(Z295:Z605))),COUNTIF(Z295:Z605,_xlfn.UNIQUE(Z295:Z605)),0))</f>
        <v xml:space="preserve">Production       </v>
      </c>
      <c r="BA295">
        <f t="shared" si="40"/>
        <v>100</v>
      </c>
      <c r="BB295">
        <f t="shared" si="41"/>
        <v>1</v>
      </c>
      <c r="BC295" t="str">
        <f t="shared" si="36"/>
        <v>Low</v>
      </c>
      <c r="BD295" t="str">
        <f t="shared" si="37"/>
        <v/>
      </c>
      <c r="BE295">
        <f t="shared" si="38"/>
        <v>4.3</v>
      </c>
      <c r="BT295" t="str">
        <f t="shared" si="39"/>
        <v/>
      </c>
    </row>
    <row r="296" spans="1:72" x14ac:dyDescent="0.3">
      <c r="A296" t="s">
        <v>599</v>
      </c>
      <c r="B296">
        <v>10183</v>
      </c>
      <c r="C296">
        <v>0</v>
      </c>
      <c r="D296">
        <v>0</v>
      </c>
      <c r="E296">
        <v>0</v>
      </c>
      <c r="F296">
        <v>2</v>
      </c>
      <c r="G296">
        <v>5</v>
      </c>
      <c r="H296">
        <v>3</v>
      </c>
      <c r="I296">
        <v>0</v>
      </c>
      <c r="J296">
        <v>62068</v>
      </c>
      <c r="K296">
        <v>0</v>
      </c>
      <c r="L296">
        <v>19</v>
      </c>
      <c r="M296" t="s">
        <v>37</v>
      </c>
      <c r="N296" t="s">
        <v>38</v>
      </c>
      <c r="O296">
        <v>2124</v>
      </c>
      <c r="P296">
        <v>31143</v>
      </c>
      <c r="Q296" t="s">
        <v>64</v>
      </c>
      <c r="R296" t="s">
        <v>40</v>
      </c>
      <c r="S296" t="s">
        <v>41</v>
      </c>
      <c r="T296" t="s">
        <v>42</v>
      </c>
      <c r="U296" t="s">
        <v>43</v>
      </c>
      <c r="V296">
        <v>42190</v>
      </c>
      <c r="X296" t="s">
        <v>44</v>
      </c>
      <c r="Y296" t="s">
        <v>45</v>
      </c>
      <c r="Z296" t="s">
        <v>46</v>
      </c>
      <c r="AA296" t="s">
        <v>47</v>
      </c>
      <c r="AB296">
        <v>22</v>
      </c>
      <c r="AC296" t="s">
        <v>48</v>
      </c>
      <c r="AD296" t="s">
        <v>60</v>
      </c>
      <c r="AE296">
        <v>3.21</v>
      </c>
      <c r="AF296">
        <v>3</v>
      </c>
      <c r="AG296">
        <v>0</v>
      </c>
      <c r="AH296" t="s">
        <v>255</v>
      </c>
      <c r="AI296">
        <v>0</v>
      </c>
      <c r="AJ296">
        <v>7</v>
      </c>
      <c r="AK296" t="str">
        <f t="shared" si="34"/>
        <v>Normal</v>
      </c>
      <c r="AL296" t="str">
        <f t="shared" si="35"/>
        <v>low Outlier</v>
      </c>
      <c r="AM296">
        <f ca="1">INT((TODAY()-HRDataset_v14[[#This Row],[DOB]])/365.25)</f>
        <v>40</v>
      </c>
      <c r="AN296">
        <f ca="1">DATEDIF(HRDataset_v14[[#This Row],[DateofHire]],TODAY(),"Y")</f>
        <v>10</v>
      </c>
      <c r="AO296">
        <f ca="1">IF(ISBLANK(HRDataset_v14[[#This Row],[DateofTermination]]),DATEDIF(HRDataset_v14[[#This Row],[DateofHire]],TODAY(),"Y"),DATEDIF(HRDataset_v14[[#This Row],[DateofHire]],HRDataset_v14[[#This Row],[DateofTermination]],"Y"))</f>
        <v>10</v>
      </c>
      <c r="AP296" t="str">
        <f ca="1">IF(HRDataset_v14[[#This Row],[Tenure in Years
]]&lt;1,"0-1 Year",IF(HRDataset_v14[[#This Row],[Tenure in Years
]]&lt;3,"1-3 Years",IF(HRDataset_v14[[#This Row],[Tenure in Years
]]&lt;5,"3-5 Years",IF(HRDataset_v14[[#This Row],[Tenure in Years
]]&lt;10,"5-10 Years","10+ Years"))))</f>
        <v>10+ Years</v>
      </c>
      <c r="AQ296" t="str">
        <f ca="1">IF(HRDataset_v14[[#This Row],[Age Calculation
]]&lt;26,"18-25",IF(HRDataset_v14[[#This Row],[Age Calculation
]]&lt;36,"26-35",IF(HRDataset_v14[[#This Row],[Age Calculation
]]&lt;46,"36-45",IF(HRDataset_v14[[#This Row],[Age Calculation
]]&lt;56,"46-55","55+"))))</f>
        <v>36-45</v>
      </c>
      <c r="AR296" t="str">
        <f>IF(HRDataset_v14[[#This Row],[Salary]]&lt;40000,"Entry (&lt;40K)",IF(HRDataset_v14[[#This Row],[Salary]]&lt;70000,"Mid (40-70K)",IF(HRDataset_v14[[#This Row],[Salary]]&lt;100000,"Senior (70-100K)","Executive (100K+)")))</f>
        <v>Mid (40-70K)</v>
      </c>
      <c r="AS296">
        <f>IF(HRDataset_v14[[#This Row],[EmploymentStatus]]="Active",1,0)</f>
        <v>1</v>
      </c>
      <c r="AT296">
        <f>YEAR(HRDataset_v14[[#This Row],[DateofHire]])</f>
        <v>2015</v>
      </c>
      <c r="AU296">
        <f>MONTH(HRDataset_v14[[#This Row],[DateofHire]])</f>
        <v>7</v>
      </c>
      <c r="AV296" t="str">
        <f>"Q"&amp;ROUNDUP(MONTH(HRDataset_v14[[#This Row],[DateofHire]])/3,0)</f>
        <v>Q3</v>
      </c>
      <c r="AW296" t="str">
        <f>TEXT(HRDataset_v14[[#This Row],[DateofHire]],"MMM")</f>
        <v>Jul</v>
      </c>
      <c r="AX296" t="str">
        <f>TEXT(HRDataset_v14[[#This Row],[DateofHire]],"YYYY-MM")</f>
        <v>2015-07</v>
      </c>
      <c r="AY296" t="str">
        <f>IF(ISBLANK(HRDataset_v14[[#This Row],[DateofTermination]]),"N/A",YEAR(HRDataset_v14[[#This Row],[DateofTermination]]))</f>
        <v>N/A</v>
      </c>
      <c r="AZ296" t="str" cm="1">
        <f t="array" ref="AZ296">INDEX(_xlfn.UNIQUE(Z296:Z606),MATCH(MAX(COUNTIF(Z296:Z606,_xlfn.UNIQUE(Z296:Z606))),COUNTIF(Z296:Z606,_xlfn.UNIQUE(Z296:Z606)),0))</f>
        <v xml:space="preserve">Production       </v>
      </c>
      <c r="BA296">
        <f t="shared" si="40"/>
        <v>0</v>
      </c>
      <c r="BB296">
        <f t="shared" si="41"/>
        <v>0</v>
      </c>
      <c r="BC296" t="str">
        <f t="shared" si="36"/>
        <v>Medium</v>
      </c>
      <c r="BD296">
        <f t="shared" si="37"/>
        <v>3.21</v>
      </c>
      <c r="BE296" t="str">
        <f t="shared" si="38"/>
        <v/>
      </c>
      <c r="BT296">
        <f t="shared" si="39"/>
        <v>3.21</v>
      </c>
    </row>
    <row r="297" spans="1:72" x14ac:dyDescent="0.3">
      <c r="A297" t="s">
        <v>600</v>
      </c>
      <c r="B297">
        <v>10190</v>
      </c>
      <c r="C297">
        <v>0</v>
      </c>
      <c r="D297">
        <v>0</v>
      </c>
      <c r="E297">
        <v>1</v>
      </c>
      <c r="F297">
        <v>1</v>
      </c>
      <c r="G297">
        <v>5</v>
      </c>
      <c r="H297">
        <v>3</v>
      </c>
      <c r="I297">
        <v>0</v>
      </c>
      <c r="J297">
        <v>66541</v>
      </c>
      <c r="K297">
        <v>0</v>
      </c>
      <c r="L297">
        <v>20</v>
      </c>
      <c r="M297" t="s">
        <v>63</v>
      </c>
      <c r="N297" t="s">
        <v>38</v>
      </c>
      <c r="O297">
        <v>2459</v>
      </c>
      <c r="P297">
        <v>27800</v>
      </c>
      <c r="Q297" t="s">
        <v>39</v>
      </c>
      <c r="R297" t="s">
        <v>40</v>
      </c>
      <c r="S297" t="s">
        <v>41</v>
      </c>
      <c r="T297" t="s">
        <v>42</v>
      </c>
      <c r="U297" t="s">
        <v>91</v>
      </c>
      <c r="V297">
        <v>41869</v>
      </c>
      <c r="X297" t="s">
        <v>44</v>
      </c>
      <c r="Y297" t="s">
        <v>45</v>
      </c>
      <c r="Z297" t="s">
        <v>46</v>
      </c>
      <c r="AA297" t="s">
        <v>87</v>
      </c>
      <c r="AB297">
        <v>19</v>
      </c>
      <c r="AC297" t="s">
        <v>88</v>
      </c>
      <c r="AD297" t="s">
        <v>60</v>
      </c>
      <c r="AE297">
        <v>3.11</v>
      </c>
      <c r="AF297">
        <v>5</v>
      </c>
      <c r="AG297">
        <v>0</v>
      </c>
      <c r="AH297" t="s">
        <v>190</v>
      </c>
      <c r="AI297">
        <v>0</v>
      </c>
      <c r="AJ297">
        <v>4</v>
      </c>
      <c r="AK297" t="str">
        <f t="shared" si="34"/>
        <v>Normal</v>
      </c>
      <c r="AL297" t="str">
        <f t="shared" si="35"/>
        <v>low Outlier</v>
      </c>
      <c r="AM297">
        <f ca="1">INT((TODAY()-HRDataset_v14[[#This Row],[DOB]])/365.25)</f>
        <v>50</v>
      </c>
      <c r="AN297">
        <f ca="1">DATEDIF(HRDataset_v14[[#This Row],[DateofHire]],TODAY(),"Y")</f>
        <v>11</v>
      </c>
      <c r="AO297">
        <f ca="1">IF(ISBLANK(HRDataset_v14[[#This Row],[DateofTermination]]),DATEDIF(HRDataset_v14[[#This Row],[DateofHire]],TODAY(),"Y"),DATEDIF(HRDataset_v14[[#This Row],[DateofHire]],HRDataset_v14[[#This Row],[DateofTermination]],"Y"))</f>
        <v>11</v>
      </c>
      <c r="AP297" t="str">
        <f ca="1">IF(HRDataset_v14[[#This Row],[Tenure in Years
]]&lt;1,"0-1 Year",IF(HRDataset_v14[[#This Row],[Tenure in Years
]]&lt;3,"1-3 Years",IF(HRDataset_v14[[#This Row],[Tenure in Years
]]&lt;5,"3-5 Years",IF(HRDataset_v14[[#This Row],[Tenure in Years
]]&lt;10,"5-10 Years","10+ Years"))))</f>
        <v>10+ Years</v>
      </c>
      <c r="AQ297" t="str">
        <f ca="1">IF(HRDataset_v14[[#This Row],[Age Calculation
]]&lt;26,"18-25",IF(HRDataset_v14[[#This Row],[Age Calculation
]]&lt;36,"26-35",IF(HRDataset_v14[[#This Row],[Age Calculation
]]&lt;46,"36-45",IF(HRDataset_v14[[#This Row],[Age Calculation
]]&lt;56,"46-55","55+"))))</f>
        <v>46-55</v>
      </c>
      <c r="AR297" t="str">
        <f>IF(HRDataset_v14[[#This Row],[Salary]]&lt;40000,"Entry (&lt;40K)",IF(HRDataset_v14[[#This Row],[Salary]]&lt;70000,"Mid (40-70K)",IF(HRDataset_v14[[#This Row],[Salary]]&lt;100000,"Senior (70-100K)","Executive (100K+)")))</f>
        <v>Mid (40-70K)</v>
      </c>
      <c r="AS297">
        <f>IF(HRDataset_v14[[#This Row],[EmploymentStatus]]="Active",1,0)</f>
        <v>1</v>
      </c>
      <c r="AT297">
        <f>YEAR(HRDataset_v14[[#This Row],[DateofHire]])</f>
        <v>2014</v>
      </c>
      <c r="AU297">
        <f>MONTH(HRDataset_v14[[#This Row],[DateofHire]])</f>
        <v>8</v>
      </c>
      <c r="AV297" t="str">
        <f>"Q"&amp;ROUNDUP(MONTH(HRDataset_v14[[#This Row],[DateofHire]])/3,0)</f>
        <v>Q3</v>
      </c>
      <c r="AW297" t="str">
        <f>TEXT(HRDataset_v14[[#This Row],[DateofHire]],"MMM")</f>
        <v>Aug</v>
      </c>
      <c r="AX297" t="str">
        <f>TEXT(HRDataset_v14[[#This Row],[DateofHire]],"YYYY-MM")</f>
        <v>2014-08</v>
      </c>
      <c r="AY297" t="str">
        <f>IF(ISBLANK(HRDataset_v14[[#This Row],[DateofTermination]]),"N/A",YEAR(HRDataset_v14[[#This Row],[DateofTermination]]))</f>
        <v>N/A</v>
      </c>
      <c r="AZ297" t="str" cm="1">
        <f t="array" ref="AZ297">INDEX(_xlfn.UNIQUE(Z297:Z607),MATCH(MAX(COUNTIF(Z297:Z607,_xlfn.UNIQUE(Z297:Z607))),COUNTIF(Z297:Z607,_xlfn.UNIQUE(Z297:Z607)),0))</f>
        <v xml:space="preserve">Production       </v>
      </c>
      <c r="BA297">
        <f t="shared" si="40"/>
        <v>66.666666666666657</v>
      </c>
      <c r="BB297">
        <f t="shared" si="41"/>
        <v>0</v>
      </c>
      <c r="BC297" t="str">
        <f t="shared" si="36"/>
        <v>Medium</v>
      </c>
      <c r="BD297">
        <f t="shared" si="37"/>
        <v>3.11</v>
      </c>
      <c r="BE297" t="str">
        <f t="shared" si="38"/>
        <v/>
      </c>
      <c r="BT297">
        <f t="shared" si="39"/>
        <v>3.11</v>
      </c>
    </row>
    <row r="298" spans="1:72" x14ac:dyDescent="0.3">
      <c r="A298" t="s">
        <v>601</v>
      </c>
      <c r="B298">
        <v>10274</v>
      </c>
      <c r="C298">
        <v>1</v>
      </c>
      <c r="D298">
        <v>1</v>
      </c>
      <c r="E298">
        <v>0</v>
      </c>
      <c r="F298">
        <v>5</v>
      </c>
      <c r="G298">
        <v>5</v>
      </c>
      <c r="H298">
        <v>3</v>
      </c>
      <c r="I298">
        <v>1</v>
      </c>
      <c r="J298">
        <v>80512</v>
      </c>
      <c r="K298">
        <v>1</v>
      </c>
      <c r="L298">
        <v>18</v>
      </c>
      <c r="M298" t="s">
        <v>154</v>
      </c>
      <c r="N298" t="s">
        <v>38</v>
      </c>
      <c r="O298">
        <v>2478</v>
      </c>
      <c r="P298">
        <v>20407</v>
      </c>
      <c r="Q298" t="s">
        <v>64</v>
      </c>
      <c r="R298" t="s">
        <v>53</v>
      </c>
      <c r="S298" t="s">
        <v>41</v>
      </c>
      <c r="T298" t="s">
        <v>42</v>
      </c>
      <c r="U298" t="s">
        <v>91</v>
      </c>
      <c r="V298">
        <v>40812</v>
      </c>
      <c r="W298">
        <v>40910</v>
      </c>
      <c r="X298" t="s">
        <v>101</v>
      </c>
      <c r="Y298" t="s">
        <v>56</v>
      </c>
      <c r="Z298" t="s">
        <v>46</v>
      </c>
      <c r="AA298" t="s">
        <v>156</v>
      </c>
      <c r="AB298">
        <v>2</v>
      </c>
      <c r="AC298" t="s">
        <v>93</v>
      </c>
      <c r="AD298" t="s">
        <v>60</v>
      </c>
      <c r="AE298">
        <v>4.5</v>
      </c>
      <c r="AF298">
        <v>3</v>
      </c>
      <c r="AG298">
        <v>0</v>
      </c>
      <c r="AH298" t="s">
        <v>602</v>
      </c>
      <c r="AI298">
        <v>0</v>
      </c>
      <c r="AJ298">
        <v>5</v>
      </c>
      <c r="AK298" t="str">
        <f t="shared" si="34"/>
        <v>Normal</v>
      </c>
      <c r="AL298" t="str">
        <f t="shared" si="35"/>
        <v>low Outlier</v>
      </c>
      <c r="AM298">
        <f ca="1">INT((TODAY()-HRDataset_v14[[#This Row],[DOB]])/365.25)</f>
        <v>70</v>
      </c>
      <c r="AN298">
        <f ca="1">DATEDIF(HRDataset_v14[[#This Row],[DateofHire]],TODAY(),"Y")</f>
        <v>14</v>
      </c>
      <c r="AO298">
        <f ca="1">IF(ISBLANK(HRDataset_v14[[#This Row],[DateofTermination]]),DATEDIF(HRDataset_v14[[#This Row],[DateofHire]],TODAY(),"Y"),DATEDIF(HRDataset_v14[[#This Row],[DateofHire]],HRDataset_v14[[#This Row],[DateofTermination]],"Y"))</f>
        <v>0</v>
      </c>
      <c r="AP298" t="str">
        <f ca="1">IF(HRDataset_v14[[#This Row],[Tenure in Years
]]&lt;1,"0-1 Year",IF(HRDataset_v14[[#This Row],[Tenure in Years
]]&lt;3,"1-3 Years",IF(HRDataset_v14[[#This Row],[Tenure in Years
]]&lt;5,"3-5 Years",IF(HRDataset_v14[[#This Row],[Tenure in Years
]]&lt;10,"5-10 Years","10+ Years"))))</f>
        <v>10+ Years</v>
      </c>
      <c r="AQ298" t="str">
        <f ca="1">IF(HRDataset_v14[[#This Row],[Age Calculation
]]&lt;26,"18-25",IF(HRDataset_v14[[#This Row],[Age Calculation
]]&lt;36,"26-35",IF(HRDataset_v14[[#This Row],[Age Calculation
]]&lt;46,"36-45",IF(HRDataset_v14[[#This Row],[Age Calculation
]]&lt;56,"46-55","55+"))))</f>
        <v>55+</v>
      </c>
      <c r="AR298" t="str">
        <f>IF(HRDataset_v14[[#This Row],[Salary]]&lt;40000,"Entry (&lt;40K)",IF(HRDataset_v14[[#This Row],[Salary]]&lt;70000,"Mid (40-70K)",IF(HRDataset_v14[[#This Row],[Salary]]&lt;100000,"Senior (70-100K)","Executive (100K+)")))</f>
        <v>Senior (70-100K)</v>
      </c>
      <c r="AS298">
        <f>IF(HRDataset_v14[[#This Row],[EmploymentStatus]]="Active",1,0)</f>
        <v>0</v>
      </c>
      <c r="AT298">
        <f>YEAR(HRDataset_v14[[#This Row],[DateofHire]])</f>
        <v>2011</v>
      </c>
      <c r="AU298">
        <f>MONTH(HRDataset_v14[[#This Row],[DateofHire]])</f>
        <v>9</v>
      </c>
      <c r="AV298" t="str">
        <f>"Q"&amp;ROUNDUP(MONTH(HRDataset_v14[[#This Row],[DateofHire]])/3,0)</f>
        <v>Q3</v>
      </c>
      <c r="AW298" t="str">
        <f>TEXT(HRDataset_v14[[#This Row],[DateofHire]],"MMM")</f>
        <v>Sep</v>
      </c>
      <c r="AX298" t="str">
        <f>TEXT(HRDataset_v14[[#This Row],[DateofHire]],"YYYY-MM")</f>
        <v>2011-09</v>
      </c>
      <c r="AY298">
        <f>IF(ISBLANK(HRDataset_v14[[#This Row],[DateofTermination]]),"N/A",YEAR(HRDataset_v14[[#This Row],[DateofTermination]]))</f>
        <v>2012</v>
      </c>
      <c r="AZ298" t="str" cm="1">
        <f t="array" ref="AZ298">INDEX(_xlfn.UNIQUE(Z298:Z608),MATCH(MAX(COUNTIF(Z298:Z608,_xlfn.UNIQUE(Z298:Z608))),COUNTIF(Z298:Z608,_xlfn.UNIQUE(Z298:Z608)),0))</f>
        <v xml:space="preserve">Production       </v>
      </c>
      <c r="BA298">
        <f t="shared" si="40"/>
        <v>50</v>
      </c>
      <c r="BB298">
        <f t="shared" si="41"/>
        <v>3</v>
      </c>
      <c r="BC298" t="str">
        <f t="shared" si="36"/>
        <v>Medium</v>
      </c>
      <c r="BD298" t="str">
        <f t="shared" si="37"/>
        <v/>
      </c>
      <c r="BE298">
        <f t="shared" si="38"/>
        <v>4.5</v>
      </c>
      <c r="BT298" t="str">
        <f t="shared" si="39"/>
        <v/>
      </c>
    </row>
    <row r="299" spans="1:72" x14ac:dyDescent="0.3">
      <c r="A299" t="s">
        <v>603</v>
      </c>
      <c r="B299">
        <v>10293</v>
      </c>
      <c r="C299">
        <v>0</v>
      </c>
      <c r="D299">
        <v>0</v>
      </c>
      <c r="E299">
        <v>0</v>
      </c>
      <c r="F299">
        <v>5</v>
      </c>
      <c r="G299">
        <v>5</v>
      </c>
      <c r="H299">
        <v>2</v>
      </c>
      <c r="I299">
        <v>0</v>
      </c>
      <c r="J299">
        <v>50274</v>
      </c>
      <c r="K299">
        <v>1</v>
      </c>
      <c r="L299">
        <v>19</v>
      </c>
      <c r="M299" t="s">
        <v>37</v>
      </c>
      <c r="N299" t="s">
        <v>38</v>
      </c>
      <c r="O299">
        <v>1887</v>
      </c>
      <c r="P299">
        <v>29435</v>
      </c>
      <c r="Q299" t="s">
        <v>64</v>
      </c>
      <c r="R299" t="s">
        <v>40</v>
      </c>
      <c r="S299" t="s">
        <v>41</v>
      </c>
      <c r="T299" t="s">
        <v>42</v>
      </c>
      <c r="U299" t="s">
        <v>43</v>
      </c>
      <c r="V299">
        <v>41134</v>
      </c>
      <c r="W299">
        <v>42248</v>
      </c>
      <c r="X299" t="s">
        <v>55</v>
      </c>
      <c r="Y299" t="s">
        <v>56</v>
      </c>
      <c r="Z299" t="s">
        <v>46</v>
      </c>
      <c r="AA299" t="s">
        <v>69</v>
      </c>
      <c r="AB299">
        <v>16</v>
      </c>
      <c r="AC299" t="s">
        <v>140</v>
      </c>
      <c r="AD299" t="s">
        <v>141</v>
      </c>
      <c r="AE299">
        <v>2.5</v>
      </c>
      <c r="AF299">
        <v>3</v>
      </c>
      <c r="AG299">
        <v>0</v>
      </c>
      <c r="AH299" t="s">
        <v>604</v>
      </c>
      <c r="AI299">
        <v>6</v>
      </c>
      <c r="AJ299">
        <v>13</v>
      </c>
      <c r="AK299" t="str">
        <f t="shared" si="34"/>
        <v>Normal</v>
      </c>
      <c r="AL299" t="str">
        <f t="shared" si="35"/>
        <v>low Outlier</v>
      </c>
      <c r="AM299">
        <f ca="1">INT((TODAY()-HRDataset_v14[[#This Row],[DOB]])/365.25)</f>
        <v>45</v>
      </c>
      <c r="AN299">
        <f ca="1">DATEDIF(HRDataset_v14[[#This Row],[DateofHire]],TODAY(),"Y")</f>
        <v>13</v>
      </c>
      <c r="AO299">
        <f ca="1">IF(ISBLANK(HRDataset_v14[[#This Row],[DateofTermination]]),DATEDIF(HRDataset_v14[[#This Row],[DateofHire]],TODAY(),"Y"),DATEDIF(HRDataset_v14[[#This Row],[DateofHire]],HRDataset_v14[[#This Row],[DateofTermination]],"Y"))</f>
        <v>3</v>
      </c>
      <c r="AP299" t="str">
        <f ca="1">IF(HRDataset_v14[[#This Row],[Tenure in Years
]]&lt;1,"0-1 Year",IF(HRDataset_v14[[#This Row],[Tenure in Years
]]&lt;3,"1-3 Years",IF(HRDataset_v14[[#This Row],[Tenure in Years
]]&lt;5,"3-5 Years",IF(HRDataset_v14[[#This Row],[Tenure in Years
]]&lt;10,"5-10 Years","10+ Years"))))</f>
        <v>10+ Years</v>
      </c>
      <c r="AQ299" t="str">
        <f ca="1">IF(HRDataset_v14[[#This Row],[Age Calculation
]]&lt;26,"18-25",IF(HRDataset_v14[[#This Row],[Age Calculation
]]&lt;36,"26-35",IF(HRDataset_v14[[#This Row],[Age Calculation
]]&lt;46,"36-45",IF(HRDataset_v14[[#This Row],[Age Calculation
]]&lt;56,"46-55","55+"))))</f>
        <v>36-45</v>
      </c>
      <c r="AR299" t="str">
        <f>IF(HRDataset_v14[[#This Row],[Salary]]&lt;40000,"Entry (&lt;40K)",IF(HRDataset_v14[[#This Row],[Salary]]&lt;70000,"Mid (40-70K)",IF(HRDataset_v14[[#This Row],[Salary]]&lt;100000,"Senior (70-100K)","Executive (100K+)")))</f>
        <v>Mid (40-70K)</v>
      </c>
      <c r="AS299">
        <f>IF(HRDataset_v14[[#This Row],[EmploymentStatus]]="Active",1,0)</f>
        <v>0</v>
      </c>
      <c r="AT299">
        <f>YEAR(HRDataset_v14[[#This Row],[DateofHire]])</f>
        <v>2012</v>
      </c>
      <c r="AU299">
        <f>MONTH(HRDataset_v14[[#This Row],[DateofHire]])</f>
        <v>8</v>
      </c>
      <c r="AV299" t="str">
        <f>"Q"&amp;ROUNDUP(MONTH(HRDataset_v14[[#This Row],[DateofHire]])/3,0)</f>
        <v>Q3</v>
      </c>
      <c r="AW299" t="str">
        <f>TEXT(HRDataset_v14[[#This Row],[DateofHire]],"MMM")</f>
        <v>Aug</v>
      </c>
      <c r="AX299" t="str">
        <f>TEXT(HRDataset_v14[[#This Row],[DateofHire]],"YYYY-MM")</f>
        <v>2012-08</v>
      </c>
      <c r="AY299">
        <f>IF(ISBLANK(HRDataset_v14[[#This Row],[DateofTermination]]),"N/A",YEAR(HRDataset_v14[[#This Row],[DateofTermination]]))</f>
        <v>2015</v>
      </c>
      <c r="AZ299" t="str" cm="1">
        <f t="array" ref="AZ299">INDEX(_xlfn.UNIQUE(Z299:Z609),MATCH(MAX(COUNTIF(Z299:Z609,_xlfn.UNIQUE(Z299:Z609))),COUNTIF(Z299:Z609,_xlfn.UNIQUE(Z299:Z609)),0))</f>
        <v xml:space="preserve">Production       </v>
      </c>
      <c r="BA299">
        <f t="shared" si="40"/>
        <v>100</v>
      </c>
      <c r="BB299">
        <f t="shared" si="41"/>
        <v>1</v>
      </c>
      <c r="BC299" t="str">
        <f t="shared" si="36"/>
        <v>High</v>
      </c>
      <c r="BD299" t="str">
        <f t="shared" si="37"/>
        <v/>
      </c>
      <c r="BE299">
        <f t="shared" si="38"/>
        <v>2.5</v>
      </c>
      <c r="BT299" t="str">
        <f t="shared" si="39"/>
        <v/>
      </c>
    </row>
    <row r="300" spans="1:72" x14ac:dyDescent="0.3">
      <c r="A300" t="s">
        <v>605</v>
      </c>
      <c r="B300">
        <v>10172</v>
      </c>
      <c r="C300">
        <v>0</v>
      </c>
      <c r="D300">
        <v>0</v>
      </c>
      <c r="E300">
        <v>1</v>
      </c>
      <c r="F300">
        <v>1</v>
      </c>
      <c r="G300">
        <v>3</v>
      </c>
      <c r="H300">
        <v>3</v>
      </c>
      <c r="I300">
        <v>0</v>
      </c>
      <c r="J300">
        <v>84903</v>
      </c>
      <c r="K300">
        <v>0</v>
      </c>
      <c r="L300">
        <v>22</v>
      </c>
      <c r="M300" t="s">
        <v>406</v>
      </c>
      <c r="N300" t="s">
        <v>38</v>
      </c>
      <c r="O300">
        <v>1887</v>
      </c>
      <c r="P300">
        <v>29775</v>
      </c>
      <c r="Q300" t="s">
        <v>39</v>
      </c>
      <c r="R300" t="s">
        <v>40</v>
      </c>
      <c r="S300" t="s">
        <v>41</v>
      </c>
      <c r="T300" t="s">
        <v>42</v>
      </c>
      <c r="U300" t="s">
        <v>132</v>
      </c>
      <c r="V300">
        <v>42781</v>
      </c>
      <c r="X300" t="s">
        <v>44</v>
      </c>
      <c r="Y300" t="s">
        <v>45</v>
      </c>
      <c r="Z300" t="s">
        <v>57</v>
      </c>
      <c r="AA300" t="s">
        <v>249</v>
      </c>
      <c r="AB300">
        <v>13</v>
      </c>
      <c r="AC300" t="s">
        <v>59</v>
      </c>
      <c r="AD300" t="s">
        <v>60</v>
      </c>
      <c r="AE300">
        <v>3.42</v>
      </c>
      <c r="AF300">
        <v>4</v>
      </c>
      <c r="AG300">
        <v>7</v>
      </c>
      <c r="AH300" t="s">
        <v>263</v>
      </c>
      <c r="AI300">
        <v>0</v>
      </c>
      <c r="AJ300">
        <v>17</v>
      </c>
      <c r="AK300" t="str">
        <f t="shared" si="34"/>
        <v>Normal</v>
      </c>
      <c r="AL300" t="str">
        <f t="shared" si="35"/>
        <v>low Outlier</v>
      </c>
      <c r="AM300">
        <f ca="1">INT((TODAY()-HRDataset_v14[[#This Row],[DOB]])/365.25)</f>
        <v>44</v>
      </c>
      <c r="AN300">
        <f ca="1">DATEDIF(HRDataset_v14[[#This Row],[DateofHire]],TODAY(),"Y")</f>
        <v>9</v>
      </c>
      <c r="AO300">
        <f ca="1">IF(ISBLANK(HRDataset_v14[[#This Row],[DateofTermination]]),DATEDIF(HRDataset_v14[[#This Row],[DateofHire]],TODAY(),"Y"),DATEDIF(HRDataset_v14[[#This Row],[DateofHire]],HRDataset_v14[[#This Row],[DateofTermination]],"Y"))</f>
        <v>9</v>
      </c>
      <c r="AP300" t="str">
        <f ca="1">IF(HRDataset_v14[[#This Row],[Tenure in Years
]]&lt;1,"0-1 Year",IF(HRDataset_v14[[#This Row],[Tenure in Years
]]&lt;3,"1-3 Years",IF(HRDataset_v14[[#This Row],[Tenure in Years
]]&lt;5,"3-5 Years",IF(HRDataset_v14[[#This Row],[Tenure in Years
]]&lt;10,"5-10 Years","10+ Years"))))</f>
        <v>5-10 Years</v>
      </c>
      <c r="AQ300" t="str">
        <f ca="1">IF(HRDataset_v14[[#This Row],[Age Calculation
]]&lt;26,"18-25",IF(HRDataset_v14[[#This Row],[Age Calculation
]]&lt;36,"26-35",IF(HRDataset_v14[[#This Row],[Age Calculation
]]&lt;46,"36-45",IF(HRDataset_v14[[#This Row],[Age Calculation
]]&lt;56,"46-55","55+"))))</f>
        <v>36-45</v>
      </c>
      <c r="AR300" t="str">
        <f>IF(HRDataset_v14[[#This Row],[Salary]]&lt;40000,"Entry (&lt;40K)",IF(HRDataset_v14[[#This Row],[Salary]]&lt;70000,"Mid (40-70K)",IF(HRDataset_v14[[#This Row],[Salary]]&lt;100000,"Senior (70-100K)","Executive (100K+)")))</f>
        <v>Senior (70-100K)</v>
      </c>
      <c r="AS300">
        <f>IF(HRDataset_v14[[#This Row],[EmploymentStatus]]="Active",1,0)</f>
        <v>1</v>
      </c>
      <c r="AT300">
        <f>YEAR(HRDataset_v14[[#This Row],[DateofHire]])</f>
        <v>2017</v>
      </c>
      <c r="AU300">
        <f>MONTH(HRDataset_v14[[#This Row],[DateofHire]])</f>
        <v>2</v>
      </c>
      <c r="AV300" t="str">
        <f>"Q"&amp;ROUNDUP(MONTH(HRDataset_v14[[#This Row],[DateofHire]])/3,0)</f>
        <v>Q1</v>
      </c>
      <c r="AW300" t="str">
        <f>TEXT(HRDataset_v14[[#This Row],[DateofHire]],"MMM")</f>
        <v>Feb</v>
      </c>
      <c r="AX300" t="str">
        <f>TEXT(HRDataset_v14[[#This Row],[DateofHire]],"YYYY-MM")</f>
        <v>2017-02</v>
      </c>
      <c r="AY300" t="str">
        <f>IF(ISBLANK(HRDataset_v14[[#This Row],[DateofTermination]]),"N/A",YEAR(HRDataset_v14[[#This Row],[DateofTermination]]))</f>
        <v>N/A</v>
      </c>
      <c r="AZ300" t="str" cm="1">
        <f t="array" ref="AZ300">INDEX(_xlfn.UNIQUE(Z300:Z610),MATCH(MAX(COUNTIF(Z300:Z610,_xlfn.UNIQUE(Z300:Z610))),COUNTIF(Z300:Z610,_xlfn.UNIQUE(Z300:Z610)),0))</f>
        <v xml:space="preserve">Production       </v>
      </c>
      <c r="BA300">
        <f t="shared" si="40"/>
        <v>0</v>
      </c>
      <c r="BB300">
        <f t="shared" si="41"/>
        <v>0</v>
      </c>
      <c r="BC300" t="str">
        <f t="shared" si="36"/>
        <v>Medium</v>
      </c>
      <c r="BD300">
        <f t="shared" si="37"/>
        <v>3.42</v>
      </c>
      <c r="BE300" t="str">
        <f t="shared" si="38"/>
        <v/>
      </c>
      <c r="BT300">
        <f t="shared" si="39"/>
        <v>3.42</v>
      </c>
    </row>
    <row r="301" spans="1:72" x14ac:dyDescent="0.3">
      <c r="A301" t="s">
        <v>606</v>
      </c>
      <c r="B301">
        <v>10127</v>
      </c>
      <c r="C301">
        <v>0</v>
      </c>
      <c r="D301">
        <v>4</v>
      </c>
      <c r="E301">
        <v>0</v>
      </c>
      <c r="F301">
        <v>1</v>
      </c>
      <c r="G301">
        <v>3</v>
      </c>
      <c r="H301">
        <v>3</v>
      </c>
      <c r="I301">
        <v>0</v>
      </c>
      <c r="J301">
        <v>107226</v>
      </c>
      <c r="K301">
        <v>0</v>
      </c>
      <c r="L301">
        <v>28</v>
      </c>
      <c r="M301" t="s">
        <v>225</v>
      </c>
      <c r="N301" t="s">
        <v>38</v>
      </c>
      <c r="O301">
        <v>2453</v>
      </c>
      <c r="P301">
        <v>28612</v>
      </c>
      <c r="Q301" t="s">
        <v>64</v>
      </c>
      <c r="R301" t="s">
        <v>86</v>
      </c>
      <c r="S301" t="s">
        <v>41</v>
      </c>
      <c r="T301" t="s">
        <v>42</v>
      </c>
      <c r="U301" t="s">
        <v>132</v>
      </c>
      <c r="V301">
        <v>42093</v>
      </c>
      <c r="X301" t="s">
        <v>44</v>
      </c>
      <c r="Y301" t="s">
        <v>45</v>
      </c>
      <c r="Z301" t="s">
        <v>57</v>
      </c>
      <c r="AA301" t="s">
        <v>97</v>
      </c>
      <c r="AB301">
        <v>7</v>
      </c>
      <c r="AC301" t="s">
        <v>88</v>
      </c>
      <c r="AD301" t="s">
        <v>60</v>
      </c>
      <c r="AE301">
        <v>4.2</v>
      </c>
      <c r="AF301">
        <v>4</v>
      </c>
      <c r="AG301">
        <v>8</v>
      </c>
      <c r="AH301" t="s">
        <v>607</v>
      </c>
      <c r="AI301">
        <v>0</v>
      </c>
      <c r="AJ301">
        <v>7</v>
      </c>
      <c r="AK301" t="str">
        <f t="shared" si="34"/>
        <v>Normal</v>
      </c>
      <c r="AL301" t="str">
        <f t="shared" si="35"/>
        <v>low Outlier</v>
      </c>
      <c r="AM301">
        <f ca="1">INT((TODAY()-HRDataset_v14[[#This Row],[DOB]])/365.25)</f>
        <v>47</v>
      </c>
      <c r="AN301">
        <f ca="1">DATEDIF(HRDataset_v14[[#This Row],[DateofHire]],TODAY(),"Y")</f>
        <v>11</v>
      </c>
      <c r="AO301">
        <f ca="1">IF(ISBLANK(HRDataset_v14[[#This Row],[DateofTermination]]),DATEDIF(HRDataset_v14[[#This Row],[DateofHire]],TODAY(),"Y"),DATEDIF(HRDataset_v14[[#This Row],[DateofHire]],HRDataset_v14[[#This Row],[DateofTermination]],"Y"))</f>
        <v>11</v>
      </c>
      <c r="AP301" t="str">
        <f ca="1">IF(HRDataset_v14[[#This Row],[Tenure in Years
]]&lt;1,"0-1 Year",IF(HRDataset_v14[[#This Row],[Tenure in Years
]]&lt;3,"1-3 Years",IF(HRDataset_v14[[#This Row],[Tenure in Years
]]&lt;5,"3-5 Years",IF(HRDataset_v14[[#This Row],[Tenure in Years
]]&lt;10,"5-10 Years","10+ Years"))))</f>
        <v>10+ Years</v>
      </c>
      <c r="AQ301" t="str">
        <f ca="1">IF(HRDataset_v14[[#This Row],[Age Calculation
]]&lt;26,"18-25",IF(HRDataset_v14[[#This Row],[Age Calculation
]]&lt;36,"26-35",IF(HRDataset_v14[[#This Row],[Age Calculation
]]&lt;46,"36-45",IF(HRDataset_v14[[#This Row],[Age Calculation
]]&lt;56,"46-55","55+"))))</f>
        <v>46-55</v>
      </c>
      <c r="AR301" t="str">
        <f>IF(HRDataset_v14[[#This Row],[Salary]]&lt;40000,"Entry (&lt;40K)",IF(HRDataset_v14[[#This Row],[Salary]]&lt;70000,"Mid (40-70K)",IF(HRDataset_v14[[#This Row],[Salary]]&lt;100000,"Senior (70-100K)","Executive (100K+)")))</f>
        <v>Executive (100K+)</v>
      </c>
      <c r="AS301">
        <f>IF(HRDataset_v14[[#This Row],[EmploymentStatus]]="Active",1,0)</f>
        <v>1</v>
      </c>
      <c r="AT301">
        <f>YEAR(HRDataset_v14[[#This Row],[DateofHire]])</f>
        <v>2015</v>
      </c>
      <c r="AU301">
        <f>MONTH(HRDataset_v14[[#This Row],[DateofHire]])</f>
        <v>3</v>
      </c>
      <c r="AV301" t="str">
        <f>"Q"&amp;ROUNDUP(MONTH(HRDataset_v14[[#This Row],[DateofHire]])/3,0)</f>
        <v>Q1</v>
      </c>
      <c r="AW301" t="str">
        <f>TEXT(HRDataset_v14[[#This Row],[DateofHire]],"MMM")</f>
        <v>Mar</v>
      </c>
      <c r="AX301" t="str">
        <f>TEXT(HRDataset_v14[[#This Row],[DateofHire]],"YYYY-MM")</f>
        <v>2015-03</v>
      </c>
      <c r="AY301" t="str">
        <f>IF(ISBLANK(HRDataset_v14[[#This Row],[DateofTermination]]),"N/A",YEAR(HRDataset_v14[[#This Row],[DateofTermination]]))</f>
        <v>N/A</v>
      </c>
      <c r="AZ301" t="str" cm="1">
        <f t="array" ref="AZ301">INDEX(_xlfn.UNIQUE(Z301:Z611),MATCH(MAX(COUNTIF(Z301:Z611,_xlfn.UNIQUE(Z301:Z611))),COUNTIF(Z301:Z611,_xlfn.UNIQUE(Z301:Z611)),0))</f>
        <v xml:space="preserve">Production       </v>
      </c>
      <c r="BA301">
        <f t="shared" si="40"/>
        <v>0</v>
      </c>
      <c r="BB301">
        <f t="shared" si="41"/>
        <v>0</v>
      </c>
      <c r="BC301" t="str">
        <f t="shared" si="36"/>
        <v>Medium</v>
      </c>
      <c r="BD301">
        <f t="shared" si="37"/>
        <v>4.2</v>
      </c>
      <c r="BE301" t="str">
        <f t="shared" si="38"/>
        <v/>
      </c>
      <c r="BT301">
        <f t="shared" si="39"/>
        <v>4.2</v>
      </c>
    </row>
    <row r="302" spans="1:72" x14ac:dyDescent="0.3">
      <c r="A302" t="s">
        <v>608</v>
      </c>
      <c r="B302">
        <v>10072</v>
      </c>
      <c r="C302">
        <v>0</v>
      </c>
      <c r="D302">
        <v>0</v>
      </c>
      <c r="E302">
        <v>1</v>
      </c>
      <c r="F302">
        <v>5</v>
      </c>
      <c r="G302">
        <v>5</v>
      </c>
      <c r="H302">
        <v>3</v>
      </c>
      <c r="I302">
        <v>0</v>
      </c>
      <c r="J302">
        <v>58371</v>
      </c>
      <c r="K302">
        <v>1</v>
      </c>
      <c r="L302">
        <v>19</v>
      </c>
      <c r="M302" t="s">
        <v>37</v>
      </c>
      <c r="N302" t="s">
        <v>38</v>
      </c>
      <c r="O302">
        <v>2030</v>
      </c>
      <c r="P302">
        <v>31921</v>
      </c>
      <c r="Q302" t="s">
        <v>39</v>
      </c>
      <c r="R302" t="s">
        <v>40</v>
      </c>
      <c r="S302" t="s">
        <v>41</v>
      </c>
      <c r="T302" t="s">
        <v>100</v>
      </c>
      <c r="U302" t="s">
        <v>43</v>
      </c>
      <c r="V302">
        <v>40553</v>
      </c>
      <c r="W302">
        <v>41774</v>
      </c>
      <c r="X302" t="s">
        <v>65</v>
      </c>
      <c r="Y302" t="s">
        <v>56</v>
      </c>
      <c r="Z302" t="s">
        <v>46</v>
      </c>
      <c r="AA302" t="s">
        <v>74</v>
      </c>
      <c r="AB302">
        <v>39</v>
      </c>
      <c r="AC302" t="s">
        <v>48</v>
      </c>
      <c r="AD302" t="s">
        <v>60</v>
      </c>
      <c r="AE302">
        <v>5</v>
      </c>
      <c r="AF302">
        <v>5</v>
      </c>
      <c r="AG302">
        <v>0</v>
      </c>
      <c r="AH302" t="s">
        <v>609</v>
      </c>
      <c r="AI302">
        <v>0</v>
      </c>
      <c r="AJ302">
        <v>11</v>
      </c>
      <c r="AK302" t="str">
        <f t="shared" si="34"/>
        <v>Normal</v>
      </c>
      <c r="AL302" t="str">
        <f t="shared" si="35"/>
        <v>low Outlier</v>
      </c>
      <c r="AM302">
        <f ca="1">INT((TODAY()-HRDataset_v14[[#This Row],[DOB]])/365.25)</f>
        <v>38</v>
      </c>
      <c r="AN302">
        <f ca="1">DATEDIF(HRDataset_v14[[#This Row],[DateofHire]],TODAY(),"Y")</f>
        <v>15</v>
      </c>
      <c r="AO302">
        <f ca="1">IF(ISBLANK(HRDataset_v14[[#This Row],[DateofTermination]]),DATEDIF(HRDataset_v14[[#This Row],[DateofHire]],TODAY(),"Y"),DATEDIF(HRDataset_v14[[#This Row],[DateofHire]],HRDataset_v14[[#This Row],[DateofTermination]],"Y"))</f>
        <v>3</v>
      </c>
      <c r="AP302" t="str">
        <f ca="1">IF(HRDataset_v14[[#This Row],[Tenure in Years
]]&lt;1,"0-1 Year",IF(HRDataset_v14[[#This Row],[Tenure in Years
]]&lt;3,"1-3 Years",IF(HRDataset_v14[[#This Row],[Tenure in Years
]]&lt;5,"3-5 Years",IF(HRDataset_v14[[#This Row],[Tenure in Years
]]&lt;10,"5-10 Years","10+ Years"))))</f>
        <v>10+ Years</v>
      </c>
      <c r="AQ302" t="str">
        <f ca="1">IF(HRDataset_v14[[#This Row],[Age Calculation
]]&lt;26,"18-25",IF(HRDataset_v14[[#This Row],[Age Calculation
]]&lt;36,"26-35",IF(HRDataset_v14[[#This Row],[Age Calculation
]]&lt;46,"36-45",IF(HRDataset_v14[[#This Row],[Age Calculation
]]&lt;56,"46-55","55+"))))</f>
        <v>36-45</v>
      </c>
      <c r="AR302" t="str">
        <f>IF(HRDataset_v14[[#This Row],[Salary]]&lt;40000,"Entry (&lt;40K)",IF(HRDataset_v14[[#This Row],[Salary]]&lt;70000,"Mid (40-70K)",IF(HRDataset_v14[[#This Row],[Salary]]&lt;100000,"Senior (70-100K)","Executive (100K+)")))</f>
        <v>Mid (40-70K)</v>
      </c>
      <c r="AS302">
        <f>IF(HRDataset_v14[[#This Row],[EmploymentStatus]]="Active",1,0)</f>
        <v>0</v>
      </c>
      <c r="AT302">
        <f>YEAR(HRDataset_v14[[#This Row],[DateofHire]])</f>
        <v>2011</v>
      </c>
      <c r="AU302">
        <f>MONTH(HRDataset_v14[[#This Row],[DateofHire]])</f>
        <v>1</v>
      </c>
      <c r="AV302" t="str">
        <f>"Q"&amp;ROUNDUP(MONTH(HRDataset_v14[[#This Row],[DateofHire]])/3,0)</f>
        <v>Q1</v>
      </c>
      <c r="AW302" t="str">
        <f>TEXT(HRDataset_v14[[#This Row],[DateofHire]],"MMM")</f>
        <v>Jan</v>
      </c>
      <c r="AX302" t="str">
        <f>TEXT(HRDataset_v14[[#This Row],[DateofHire]],"YYYY-MM")</f>
        <v>2011-01</v>
      </c>
      <c r="AY302">
        <f>IF(ISBLANK(HRDataset_v14[[#This Row],[DateofTermination]]),"N/A",YEAR(HRDataset_v14[[#This Row],[DateofTermination]]))</f>
        <v>2014</v>
      </c>
      <c r="AZ302" t="str" cm="1">
        <f t="array" ref="AZ302">INDEX(_xlfn.UNIQUE(Z302:Z612),MATCH(MAX(COUNTIF(Z302:Z612,_xlfn.UNIQUE(Z302:Z612))),COUNTIF(Z302:Z612,_xlfn.UNIQUE(Z302:Z612)),0))</f>
        <v xml:space="preserve">Production       </v>
      </c>
      <c r="BA302">
        <f t="shared" si="40"/>
        <v>100</v>
      </c>
      <c r="BB302">
        <f t="shared" si="41"/>
        <v>1</v>
      </c>
      <c r="BC302" t="str">
        <f t="shared" si="36"/>
        <v>Medium</v>
      </c>
      <c r="BD302" t="str">
        <f t="shared" si="37"/>
        <v/>
      </c>
      <c r="BE302">
        <f t="shared" si="38"/>
        <v>5</v>
      </c>
      <c r="BT302" t="str">
        <f t="shared" si="39"/>
        <v/>
      </c>
    </row>
    <row r="303" spans="1:72" x14ac:dyDescent="0.3">
      <c r="A303" t="s">
        <v>610</v>
      </c>
      <c r="B303">
        <v>10048</v>
      </c>
      <c r="C303">
        <v>1</v>
      </c>
      <c r="D303">
        <v>1</v>
      </c>
      <c r="E303">
        <v>1</v>
      </c>
      <c r="F303">
        <v>5</v>
      </c>
      <c r="G303">
        <v>5</v>
      </c>
      <c r="H303">
        <v>3</v>
      </c>
      <c r="I303">
        <v>0</v>
      </c>
      <c r="J303">
        <v>55140</v>
      </c>
      <c r="K303">
        <v>1</v>
      </c>
      <c r="L303">
        <v>19</v>
      </c>
      <c r="M303" t="s">
        <v>37</v>
      </c>
      <c r="N303" t="s">
        <v>38</v>
      </c>
      <c r="O303">
        <v>2324</v>
      </c>
      <c r="P303">
        <v>23994</v>
      </c>
      <c r="Q303" t="s">
        <v>39</v>
      </c>
      <c r="R303" t="s">
        <v>53</v>
      </c>
      <c r="S303" t="s">
        <v>126</v>
      </c>
      <c r="T303" t="s">
        <v>42</v>
      </c>
      <c r="U303" t="s">
        <v>43</v>
      </c>
      <c r="V303">
        <v>40679</v>
      </c>
      <c r="W303">
        <v>42254</v>
      </c>
      <c r="X303" t="s">
        <v>105</v>
      </c>
      <c r="Y303" t="s">
        <v>56</v>
      </c>
      <c r="Z303" t="s">
        <v>46</v>
      </c>
      <c r="AA303" t="s">
        <v>78</v>
      </c>
      <c r="AB303">
        <v>11</v>
      </c>
      <c r="AC303" t="s">
        <v>254</v>
      </c>
      <c r="AD303" t="s">
        <v>60</v>
      </c>
      <c r="AE303">
        <v>5</v>
      </c>
      <c r="AF303">
        <v>3</v>
      </c>
      <c r="AG303">
        <v>0</v>
      </c>
      <c r="AH303" t="s">
        <v>399</v>
      </c>
      <c r="AI303">
        <v>0</v>
      </c>
      <c r="AJ303">
        <v>7</v>
      </c>
      <c r="AK303" t="str">
        <f t="shared" si="34"/>
        <v>Normal</v>
      </c>
      <c r="AL303" t="str">
        <f t="shared" si="35"/>
        <v>low Outlier</v>
      </c>
      <c r="AM303">
        <f ca="1">INT((TODAY()-HRDataset_v14[[#This Row],[DOB]])/365.25)</f>
        <v>60</v>
      </c>
      <c r="AN303">
        <f ca="1">DATEDIF(HRDataset_v14[[#This Row],[DateofHire]],TODAY(),"Y")</f>
        <v>14</v>
      </c>
      <c r="AO303">
        <f ca="1">IF(ISBLANK(HRDataset_v14[[#This Row],[DateofTermination]]),DATEDIF(HRDataset_v14[[#This Row],[DateofHire]],TODAY(),"Y"),DATEDIF(HRDataset_v14[[#This Row],[DateofHire]],HRDataset_v14[[#This Row],[DateofTermination]],"Y"))</f>
        <v>4</v>
      </c>
      <c r="AP303" t="str">
        <f ca="1">IF(HRDataset_v14[[#This Row],[Tenure in Years
]]&lt;1,"0-1 Year",IF(HRDataset_v14[[#This Row],[Tenure in Years
]]&lt;3,"1-3 Years",IF(HRDataset_v14[[#This Row],[Tenure in Years
]]&lt;5,"3-5 Years",IF(HRDataset_v14[[#This Row],[Tenure in Years
]]&lt;10,"5-10 Years","10+ Years"))))</f>
        <v>10+ Years</v>
      </c>
      <c r="AQ303" t="str">
        <f ca="1">IF(HRDataset_v14[[#This Row],[Age Calculation
]]&lt;26,"18-25",IF(HRDataset_v14[[#This Row],[Age Calculation
]]&lt;36,"26-35",IF(HRDataset_v14[[#This Row],[Age Calculation
]]&lt;46,"36-45",IF(HRDataset_v14[[#This Row],[Age Calculation
]]&lt;56,"46-55","55+"))))</f>
        <v>55+</v>
      </c>
      <c r="AR303" t="str">
        <f>IF(HRDataset_v14[[#This Row],[Salary]]&lt;40000,"Entry (&lt;40K)",IF(HRDataset_v14[[#This Row],[Salary]]&lt;70000,"Mid (40-70K)",IF(HRDataset_v14[[#This Row],[Salary]]&lt;100000,"Senior (70-100K)","Executive (100K+)")))</f>
        <v>Mid (40-70K)</v>
      </c>
      <c r="AS303">
        <f>IF(HRDataset_v14[[#This Row],[EmploymentStatus]]="Active",1,0)</f>
        <v>0</v>
      </c>
      <c r="AT303">
        <f>YEAR(HRDataset_v14[[#This Row],[DateofHire]])</f>
        <v>2011</v>
      </c>
      <c r="AU303">
        <f>MONTH(HRDataset_v14[[#This Row],[DateofHire]])</f>
        <v>5</v>
      </c>
      <c r="AV303" t="str">
        <f>"Q"&amp;ROUNDUP(MONTH(HRDataset_v14[[#This Row],[DateofHire]])/3,0)</f>
        <v>Q2</v>
      </c>
      <c r="AW303" t="str">
        <f>TEXT(HRDataset_v14[[#This Row],[DateofHire]],"MMM")</f>
        <v>May</v>
      </c>
      <c r="AX303" t="str">
        <f>TEXT(HRDataset_v14[[#This Row],[DateofHire]],"YYYY-MM")</f>
        <v>2011-05</v>
      </c>
      <c r="AY303">
        <f>IF(ISBLANK(HRDataset_v14[[#This Row],[DateofTermination]]),"N/A",YEAR(HRDataset_v14[[#This Row],[DateofTermination]]))</f>
        <v>2015</v>
      </c>
      <c r="AZ303" t="str" cm="1">
        <f t="array" ref="AZ303">INDEX(_xlfn.UNIQUE(Z303:Z613),MATCH(MAX(COUNTIF(Z303:Z613,_xlfn.UNIQUE(Z303:Z613))),COUNTIF(Z303:Z613,_xlfn.UNIQUE(Z303:Z613)),0))</f>
        <v xml:space="preserve">Production       </v>
      </c>
      <c r="BA303">
        <f t="shared" si="40"/>
        <v>100</v>
      </c>
      <c r="BB303">
        <f t="shared" si="41"/>
        <v>1</v>
      </c>
      <c r="BC303" t="str">
        <f t="shared" si="36"/>
        <v>Medium</v>
      </c>
      <c r="BD303" t="str">
        <f t="shared" si="37"/>
        <v/>
      </c>
      <c r="BE303">
        <f t="shared" si="38"/>
        <v>5</v>
      </c>
      <c r="BT303" t="str">
        <f t="shared" si="39"/>
        <v/>
      </c>
    </row>
    <row r="304" spans="1:72" x14ac:dyDescent="0.3">
      <c r="A304" t="s">
        <v>611</v>
      </c>
      <c r="B304">
        <v>10204</v>
      </c>
      <c r="C304">
        <v>0</v>
      </c>
      <c r="D304">
        <v>2</v>
      </c>
      <c r="E304">
        <v>0</v>
      </c>
      <c r="F304">
        <v>5</v>
      </c>
      <c r="G304">
        <v>5</v>
      </c>
      <c r="H304">
        <v>3</v>
      </c>
      <c r="I304">
        <v>0</v>
      </c>
      <c r="J304">
        <v>58062</v>
      </c>
      <c r="K304">
        <v>1</v>
      </c>
      <c r="L304">
        <v>19</v>
      </c>
      <c r="M304" t="s">
        <v>37</v>
      </c>
      <c r="N304" t="s">
        <v>38</v>
      </c>
      <c r="O304">
        <v>1876</v>
      </c>
      <c r="P304">
        <v>30527</v>
      </c>
      <c r="Q304" t="s">
        <v>64</v>
      </c>
      <c r="R304" t="s">
        <v>72</v>
      </c>
      <c r="S304" t="s">
        <v>41</v>
      </c>
      <c r="T304" t="s">
        <v>42</v>
      </c>
      <c r="U304" t="s">
        <v>43</v>
      </c>
      <c r="V304">
        <v>40553</v>
      </c>
      <c r="W304">
        <v>41043</v>
      </c>
      <c r="X304" t="s">
        <v>101</v>
      </c>
      <c r="Y304" t="s">
        <v>56</v>
      </c>
      <c r="Z304" t="s">
        <v>46</v>
      </c>
      <c r="AA304" t="s">
        <v>87</v>
      </c>
      <c r="AB304">
        <v>19</v>
      </c>
      <c r="AC304" t="s">
        <v>75</v>
      </c>
      <c r="AD304" t="s">
        <v>60</v>
      </c>
      <c r="AE304">
        <v>3.6</v>
      </c>
      <c r="AF304">
        <v>5</v>
      </c>
      <c r="AG304">
        <v>0</v>
      </c>
      <c r="AH304" t="s">
        <v>612</v>
      </c>
      <c r="AI304">
        <v>0</v>
      </c>
      <c r="AJ304">
        <v>9</v>
      </c>
      <c r="AK304" t="str">
        <f t="shared" si="34"/>
        <v>Normal</v>
      </c>
      <c r="AL304" t="str">
        <f t="shared" si="35"/>
        <v>low Outlier</v>
      </c>
      <c r="AM304">
        <f ca="1">INT((TODAY()-HRDataset_v14[[#This Row],[DOB]])/365.25)</f>
        <v>42</v>
      </c>
      <c r="AN304">
        <f ca="1">DATEDIF(HRDataset_v14[[#This Row],[DateofHire]],TODAY(),"Y")</f>
        <v>15</v>
      </c>
      <c r="AO304">
        <f ca="1">IF(ISBLANK(HRDataset_v14[[#This Row],[DateofTermination]]),DATEDIF(HRDataset_v14[[#This Row],[DateofHire]],TODAY(),"Y"),DATEDIF(HRDataset_v14[[#This Row],[DateofHire]],HRDataset_v14[[#This Row],[DateofTermination]],"Y"))</f>
        <v>1</v>
      </c>
      <c r="AP304" t="str">
        <f ca="1">IF(HRDataset_v14[[#This Row],[Tenure in Years
]]&lt;1,"0-1 Year",IF(HRDataset_v14[[#This Row],[Tenure in Years
]]&lt;3,"1-3 Years",IF(HRDataset_v14[[#This Row],[Tenure in Years
]]&lt;5,"3-5 Years",IF(HRDataset_v14[[#This Row],[Tenure in Years
]]&lt;10,"5-10 Years","10+ Years"))))</f>
        <v>10+ Years</v>
      </c>
      <c r="AQ304" t="str">
        <f ca="1">IF(HRDataset_v14[[#This Row],[Age Calculation
]]&lt;26,"18-25",IF(HRDataset_v14[[#This Row],[Age Calculation
]]&lt;36,"26-35",IF(HRDataset_v14[[#This Row],[Age Calculation
]]&lt;46,"36-45",IF(HRDataset_v14[[#This Row],[Age Calculation
]]&lt;56,"46-55","55+"))))</f>
        <v>36-45</v>
      </c>
      <c r="AR304" t="str">
        <f>IF(HRDataset_v14[[#This Row],[Salary]]&lt;40000,"Entry (&lt;40K)",IF(HRDataset_v14[[#This Row],[Salary]]&lt;70000,"Mid (40-70K)",IF(HRDataset_v14[[#This Row],[Salary]]&lt;100000,"Senior (70-100K)","Executive (100K+)")))</f>
        <v>Mid (40-70K)</v>
      </c>
      <c r="AS304">
        <f>IF(HRDataset_v14[[#This Row],[EmploymentStatus]]="Active",1,0)</f>
        <v>0</v>
      </c>
      <c r="AT304">
        <f>YEAR(HRDataset_v14[[#This Row],[DateofHire]])</f>
        <v>2011</v>
      </c>
      <c r="AU304">
        <f>MONTH(HRDataset_v14[[#This Row],[DateofHire]])</f>
        <v>1</v>
      </c>
      <c r="AV304" t="str">
        <f>"Q"&amp;ROUNDUP(MONTH(HRDataset_v14[[#This Row],[DateofHire]])/3,0)</f>
        <v>Q1</v>
      </c>
      <c r="AW304" t="str">
        <f>TEXT(HRDataset_v14[[#This Row],[DateofHire]],"MMM")</f>
        <v>Jan</v>
      </c>
      <c r="AX304" t="str">
        <f>TEXT(HRDataset_v14[[#This Row],[DateofHire]],"YYYY-MM")</f>
        <v>2011-01</v>
      </c>
      <c r="AY304">
        <f>IF(ISBLANK(HRDataset_v14[[#This Row],[DateofTermination]]),"N/A",YEAR(HRDataset_v14[[#This Row],[DateofTermination]]))</f>
        <v>2012</v>
      </c>
      <c r="AZ304" t="str" cm="1">
        <f t="array" ref="AZ304">INDEX(_xlfn.UNIQUE(Z304:Z614),MATCH(MAX(COUNTIF(Z304:Z614,_xlfn.UNIQUE(Z304:Z614))),COUNTIF(Z304:Z614,_xlfn.UNIQUE(Z304:Z614)),0))</f>
        <v xml:space="preserve">Production       </v>
      </c>
      <c r="BA304">
        <f t="shared" si="40"/>
        <v>100</v>
      </c>
      <c r="BB304">
        <f t="shared" si="41"/>
        <v>2</v>
      </c>
      <c r="BC304" t="str">
        <f t="shared" si="36"/>
        <v>Medium</v>
      </c>
      <c r="BD304" t="str">
        <f t="shared" si="37"/>
        <v/>
      </c>
      <c r="BE304">
        <f t="shared" si="38"/>
        <v>3.6</v>
      </c>
      <c r="BT304" t="str">
        <f t="shared" si="39"/>
        <v/>
      </c>
    </row>
    <row r="305" spans="1:72" x14ac:dyDescent="0.3">
      <c r="A305" t="s">
        <v>613</v>
      </c>
      <c r="B305">
        <v>10264</v>
      </c>
      <c r="C305">
        <v>0</v>
      </c>
      <c r="D305">
        <v>0</v>
      </c>
      <c r="E305">
        <v>0</v>
      </c>
      <c r="F305">
        <v>5</v>
      </c>
      <c r="G305">
        <v>5</v>
      </c>
      <c r="H305">
        <v>3</v>
      </c>
      <c r="I305">
        <v>1</v>
      </c>
      <c r="J305">
        <v>59728</v>
      </c>
      <c r="K305">
        <v>1</v>
      </c>
      <c r="L305">
        <v>19</v>
      </c>
      <c r="M305" t="s">
        <v>37</v>
      </c>
      <c r="N305" t="s">
        <v>38</v>
      </c>
      <c r="O305">
        <v>2109</v>
      </c>
      <c r="P305">
        <v>25478</v>
      </c>
      <c r="Q305" t="s">
        <v>64</v>
      </c>
      <c r="R305" t="s">
        <v>40</v>
      </c>
      <c r="S305" t="s">
        <v>41</v>
      </c>
      <c r="T305" t="s">
        <v>100</v>
      </c>
      <c r="U305" t="s">
        <v>91</v>
      </c>
      <c r="V305">
        <v>40917</v>
      </c>
      <c r="W305">
        <v>42182</v>
      </c>
      <c r="X305" t="s">
        <v>200</v>
      </c>
      <c r="Y305" t="s">
        <v>56</v>
      </c>
      <c r="Z305" t="s">
        <v>46</v>
      </c>
      <c r="AA305" t="s">
        <v>87</v>
      </c>
      <c r="AB305">
        <v>19</v>
      </c>
      <c r="AC305" t="s">
        <v>93</v>
      </c>
      <c r="AD305" t="s">
        <v>60</v>
      </c>
      <c r="AE305">
        <v>4.3</v>
      </c>
      <c r="AF305">
        <v>4</v>
      </c>
      <c r="AG305">
        <v>0</v>
      </c>
      <c r="AH305" t="s">
        <v>614</v>
      </c>
      <c r="AI305">
        <v>0</v>
      </c>
      <c r="AJ305">
        <v>16</v>
      </c>
      <c r="AK305" t="str">
        <f t="shared" si="34"/>
        <v>Normal</v>
      </c>
      <c r="AL305" t="str">
        <f t="shared" si="35"/>
        <v>low Outlier</v>
      </c>
      <c r="AM305">
        <f ca="1">INT((TODAY()-HRDataset_v14[[#This Row],[DOB]])/365.25)</f>
        <v>56</v>
      </c>
      <c r="AN305">
        <f ca="1">DATEDIF(HRDataset_v14[[#This Row],[DateofHire]],TODAY(),"Y")</f>
        <v>14</v>
      </c>
      <c r="AO305">
        <f ca="1">IF(ISBLANK(HRDataset_v14[[#This Row],[DateofTermination]]),DATEDIF(HRDataset_v14[[#This Row],[DateofHire]],TODAY(),"Y"),DATEDIF(HRDataset_v14[[#This Row],[DateofHire]],HRDataset_v14[[#This Row],[DateofTermination]],"Y"))</f>
        <v>3</v>
      </c>
      <c r="AP305" t="str">
        <f ca="1">IF(HRDataset_v14[[#This Row],[Tenure in Years
]]&lt;1,"0-1 Year",IF(HRDataset_v14[[#This Row],[Tenure in Years
]]&lt;3,"1-3 Years",IF(HRDataset_v14[[#This Row],[Tenure in Years
]]&lt;5,"3-5 Years",IF(HRDataset_v14[[#This Row],[Tenure in Years
]]&lt;10,"5-10 Years","10+ Years"))))</f>
        <v>10+ Years</v>
      </c>
      <c r="AQ305" t="str">
        <f ca="1">IF(HRDataset_v14[[#This Row],[Age Calculation
]]&lt;26,"18-25",IF(HRDataset_v14[[#This Row],[Age Calculation
]]&lt;36,"26-35",IF(HRDataset_v14[[#This Row],[Age Calculation
]]&lt;46,"36-45",IF(HRDataset_v14[[#This Row],[Age Calculation
]]&lt;56,"46-55","55+"))))</f>
        <v>55+</v>
      </c>
      <c r="AR305" t="str">
        <f>IF(HRDataset_v14[[#This Row],[Salary]]&lt;40000,"Entry (&lt;40K)",IF(HRDataset_v14[[#This Row],[Salary]]&lt;70000,"Mid (40-70K)",IF(HRDataset_v14[[#This Row],[Salary]]&lt;100000,"Senior (70-100K)","Executive (100K+)")))</f>
        <v>Mid (40-70K)</v>
      </c>
      <c r="AS305">
        <f>IF(HRDataset_v14[[#This Row],[EmploymentStatus]]="Active",1,0)</f>
        <v>0</v>
      </c>
      <c r="AT305">
        <f>YEAR(HRDataset_v14[[#This Row],[DateofHire]])</f>
        <v>2012</v>
      </c>
      <c r="AU305">
        <f>MONTH(HRDataset_v14[[#This Row],[DateofHire]])</f>
        <v>1</v>
      </c>
      <c r="AV305" t="str">
        <f>"Q"&amp;ROUNDUP(MONTH(HRDataset_v14[[#This Row],[DateofHire]])/3,0)</f>
        <v>Q1</v>
      </c>
      <c r="AW305" t="str">
        <f>TEXT(HRDataset_v14[[#This Row],[DateofHire]],"MMM")</f>
        <v>Jan</v>
      </c>
      <c r="AX305" t="str">
        <f>TEXT(HRDataset_v14[[#This Row],[DateofHire]],"YYYY-MM")</f>
        <v>2012-01</v>
      </c>
      <c r="AY305">
        <f>IF(ISBLANK(HRDataset_v14[[#This Row],[DateofTermination]]),"N/A",YEAR(HRDataset_v14[[#This Row],[DateofTermination]]))</f>
        <v>2015</v>
      </c>
      <c r="AZ305" t="str" cm="1">
        <f t="array" ref="AZ305">INDEX(_xlfn.UNIQUE(Z305:Z615),MATCH(MAX(COUNTIF(Z305:Z615,_xlfn.UNIQUE(Z305:Z615))),COUNTIF(Z305:Z615,_xlfn.UNIQUE(Z305:Z615)),0))</f>
        <v xml:space="preserve">Production       </v>
      </c>
      <c r="BA305">
        <f t="shared" si="40"/>
        <v>100</v>
      </c>
      <c r="BB305">
        <f t="shared" si="41"/>
        <v>1</v>
      </c>
      <c r="BC305" t="str">
        <f t="shared" si="36"/>
        <v>Medium</v>
      </c>
      <c r="BD305" t="str">
        <f t="shared" si="37"/>
        <v/>
      </c>
      <c r="BE305">
        <f t="shared" si="38"/>
        <v>4.3</v>
      </c>
      <c r="BT305" t="str">
        <f t="shared" si="39"/>
        <v/>
      </c>
    </row>
    <row r="306" spans="1:72" x14ac:dyDescent="0.3">
      <c r="A306" t="s">
        <v>615</v>
      </c>
      <c r="B306">
        <v>10033</v>
      </c>
      <c r="C306">
        <v>0</v>
      </c>
      <c r="D306">
        <v>0</v>
      </c>
      <c r="E306">
        <v>1</v>
      </c>
      <c r="F306">
        <v>5</v>
      </c>
      <c r="G306">
        <v>5</v>
      </c>
      <c r="H306">
        <v>4</v>
      </c>
      <c r="I306">
        <v>0</v>
      </c>
      <c r="J306">
        <v>70507</v>
      </c>
      <c r="K306">
        <v>1</v>
      </c>
      <c r="L306">
        <v>20</v>
      </c>
      <c r="M306" t="s">
        <v>63</v>
      </c>
      <c r="N306" t="s">
        <v>38</v>
      </c>
      <c r="O306">
        <v>2045</v>
      </c>
      <c r="P306">
        <v>21496</v>
      </c>
      <c r="Q306" t="s">
        <v>39</v>
      </c>
      <c r="R306" t="s">
        <v>40</v>
      </c>
      <c r="S306" t="s">
        <v>41</v>
      </c>
      <c r="T306" t="s">
        <v>42</v>
      </c>
      <c r="U306" t="s">
        <v>43</v>
      </c>
      <c r="V306">
        <v>41281</v>
      </c>
      <c r="W306">
        <v>42421</v>
      </c>
      <c r="X306" t="s">
        <v>155</v>
      </c>
      <c r="Y306" t="s">
        <v>56</v>
      </c>
      <c r="Z306" t="s">
        <v>46</v>
      </c>
      <c r="AA306" t="s">
        <v>92</v>
      </c>
      <c r="AB306">
        <v>12</v>
      </c>
      <c r="AC306" t="s">
        <v>48</v>
      </c>
      <c r="AD306" t="s">
        <v>49</v>
      </c>
      <c r="AE306">
        <v>5</v>
      </c>
      <c r="AF306">
        <v>3</v>
      </c>
      <c r="AG306">
        <v>0</v>
      </c>
      <c r="AH306" t="s">
        <v>616</v>
      </c>
      <c r="AI306">
        <v>0</v>
      </c>
      <c r="AJ306">
        <v>7</v>
      </c>
      <c r="AK306" t="str">
        <f t="shared" si="34"/>
        <v>Normal</v>
      </c>
      <c r="AL306" t="str">
        <f t="shared" si="35"/>
        <v>low Outlier</v>
      </c>
      <c r="AM306">
        <f ca="1">INT((TODAY()-HRDataset_v14[[#This Row],[DOB]])/365.25)</f>
        <v>67</v>
      </c>
      <c r="AN306">
        <f ca="1">DATEDIF(HRDataset_v14[[#This Row],[DateofHire]],TODAY(),"Y")</f>
        <v>13</v>
      </c>
      <c r="AO306">
        <f ca="1">IF(ISBLANK(HRDataset_v14[[#This Row],[DateofTermination]]),DATEDIF(HRDataset_v14[[#This Row],[DateofHire]],TODAY(),"Y"),DATEDIF(HRDataset_v14[[#This Row],[DateofHire]],HRDataset_v14[[#This Row],[DateofTermination]],"Y"))</f>
        <v>3</v>
      </c>
      <c r="AP306" t="str">
        <f ca="1">IF(HRDataset_v14[[#This Row],[Tenure in Years
]]&lt;1,"0-1 Year",IF(HRDataset_v14[[#This Row],[Tenure in Years
]]&lt;3,"1-3 Years",IF(HRDataset_v14[[#This Row],[Tenure in Years
]]&lt;5,"3-5 Years",IF(HRDataset_v14[[#This Row],[Tenure in Years
]]&lt;10,"5-10 Years","10+ Years"))))</f>
        <v>10+ Years</v>
      </c>
      <c r="AQ306" t="str">
        <f ca="1">IF(HRDataset_v14[[#This Row],[Age Calculation
]]&lt;26,"18-25",IF(HRDataset_v14[[#This Row],[Age Calculation
]]&lt;36,"26-35",IF(HRDataset_v14[[#This Row],[Age Calculation
]]&lt;46,"36-45",IF(HRDataset_v14[[#This Row],[Age Calculation
]]&lt;56,"46-55","55+"))))</f>
        <v>55+</v>
      </c>
      <c r="AR306" t="str">
        <f>IF(HRDataset_v14[[#This Row],[Salary]]&lt;40000,"Entry (&lt;40K)",IF(HRDataset_v14[[#This Row],[Salary]]&lt;70000,"Mid (40-70K)",IF(HRDataset_v14[[#This Row],[Salary]]&lt;100000,"Senior (70-100K)","Executive (100K+)")))</f>
        <v>Senior (70-100K)</v>
      </c>
      <c r="AS306">
        <f>IF(HRDataset_v14[[#This Row],[EmploymentStatus]]="Active",1,0)</f>
        <v>0</v>
      </c>
      <c r="AT306">
        <f>YEAR(HRDataset_v14[[#This Row],[DateofHire]])</f>
        <v>2013</v>
      </c>
      <c r="AU306">
        <f>MONTH(HRDataset_v14[[#This Row],[DateofHire]])</f>
        <v>1</v>
      </c>
      <c r="AV306" t="str">
        <f>"Q"&amp;ROUNDUP(MONTH(HRDataset_v14[[#This Row],[DateofHire]])/3,0)</f>
        <v>Q1</v>
      </c>
      <c r="AW306" t="str">
        <f>TEXT(HRDataset_v14[[#This Row],[DateofHire]],"MMM")</f>
        <v>Jan</v>
      </c>
      <c r="AX306" t="str">
        <f>TEXT(HRDataset_v14[[#This Row],[DateofHire]],"YYYY-MM")</f>
        <v>2013-01</v>
      </c>
      <c r="AY306">
        <f>IF(ISBLANK(HRDataset_v14[[#This Row],[DateofTermination]]),"N/A",YEAR(HRDataset_v14[[#This Row],[DateofTermination]]))</f>
        <v>2016</v>
      </c>
      <c r="AZ306" t="str" cm="1">
        <f t="array" ref="AZ306">INDEX(_xlfn.UNIQUE(Z306:Z616),MATCH(MAX(COUNTIF(Z306:Z616,_xlfn.UNIQUE(Z306:Z616))),COUNTIF(Z306:Z616,_xlfn.UNIQUE(Z306:Z616)),0))</f>
        <v xml:space="preserve">Production       </v>
      </c>
      <c r="BA306">
        <f t="shared" si="40"/>
        <v>100</v>
      </c>
      <c r="BB306">
        <f t="shared" si="41"/>
        <v>1</v>
      </c>
      <c r="BC306" t="str">
        <f t="shared" si="36"/>
        <v>Low</v>
      </c>
      <c r="BD306" t="str">
        <f t="shared" si="37"/>
        <v/>
      </c>
      <c r="BE306">
        <f t="shared" si="38"/>
        <v>5</v>
      </c>
      <c r="BT306" t="str">
        <f t="shared" si="39"/>
        <v/>
      </c>
    </row>
    <row r="307" spans="1:72" x14ac:dyDescent="0.3">
      <c r="A307" t="s">
        <v>617</v>
      </c>
      <c r="B307">
        <v>10174</v>
      </c>
      <c r="C307">
        <v>0</v>
      </c>
      <c r="D307">
        <v>0</v>
      </c>
      <c r="E307">
        <v>0</v>
      </c>
      <c r="F307">
        <v>1</v>
      </c>
      <c r="G307">
        <v>5</v>
      </c>
      <c r="H307">
        <v>3</v>
      </c>
      <c r="I307">
        <v>0</v>
      </c>
      <c r="J307">
        <v>60446</v>
      </c>
      <c r="K307">
        <v>0</v>
      </c>
      <c r="L307">
        <v>20</v>
      </c>
      <c r="M307" t="s">
        <v>63</v>
      </c>
      <c r="N307" t="s">
        <v>38</v>
      </c>
      <c r="O307">
        <v>2302</v>
      </c>
      <c r="P307">
        <v>31157</v>
      </c>
      <c r="Q307" t="s">
        <v>64</v>
      </c>
      <c r="R307" t="s">
        <v>40</v>
      </c>
      <c r="S307" t="s">
        <v>41</v>
      </c>
      <c r="T307" t="s">
        <v>42</v>
      </c>
      <c r="U307" t="s">
        <v>43</v>
      </c>
      <c r="V307">
        <v>41911</v>
      </c>
      <c r="X307" t="s">
        <v>44</v>
      </c>
      <c r="Y307" t="s">
        <v>45</v>
      </c>
      <c r="Z307" t="s">
        <v>46</v>
      </c>
      <c r="AA307" t="s">
        <v>102</v>
      </c>
      <c r="AB307">
        <v>14</v>
      </c>
      <c r="AC307" t="s">
        <v>48</v>
      </c>
      <c r="AD307" t="s">
        <v>60</v>
      </c>
      <c r="AE307">
        <v>3.4</v>
      </c>
      <c r="AF307">
        <v>4</v>
      </c>
      <c r="AG307">
        <v>0</v>
      </c>
      <c r="AH307" t="s">
        <v>176</v>
      </c>
      <c r="AI307">
        <v>0</v>
      </c>
      <c r="AJ307">
        <v>14</v>
      </c>
      <c r="AK307" t="str">
        <f t="shared" si="34"/>
        <v>Normal</v>
      </c>
      <c r="AL307" t="str">
        <f t="shared" si="35"/>
        <v>low Outlier</v>
      </c>
      <c r="AM307">
        <f ca="1">INT((TODAY()-HRDataset_v14[[#This Row],[DOB]])/365.25)</f>
        <v>40</v>
      </c>
      <c r="AN307">
        <f ca="1">DATEDIF(HRDataset_v14[[#This Row],[DateofHire]],TODAY(),"Y")</f>
        <v>11</v>
      </c>
      <c r="AO307">
        <f ca="1">IF(ISBLANK(HRDataset_v14[[#This Row],[DateofTermination]]),DATEDIF(HRDataset_v14[[#This Row],[DateofHire]],TODAY(),"Y"),DATEDIF(HRDataset_v14[[#This Row],[DateofHire]],HRDataset_v14[[#This Row],[DateofTermination]],"Y"))</f>
        <v>11</v>
      </c>
      <c r="AP307" t="str">
        <f ca="1">IF(HRDataset_v14[[#This Row],[Tenure in Years
]]&lt;1,"0-1 Year",IF(HRDataset_v14[[#This Row],[Tenure in Years
]]&lt;3,"1-3 Years",IF(HRDataset_v14[[#This Row],[Tenure in Years
]]&lt;5,"3-5 Years",IF(HRDataset_v14[[#This Row],[Tenure in Years
]]&lt;10,"5-10 Years","10+ Years"))))</f>
        <v>10+ Years</v>
      </c>
      <c r="AQ307" t="str">
        <f ca="1">IF(HRDataset_v14[[#This Row],[Age Calculation
]]&lt;26,"18-25",IF(HRDataset_v14[[#This Row],[Age Calculation
]]&lt;36,"26-35",IF(HRDataset_v14[[#This Row],[Age Calculation
]]&lt;46,"36-45",IF(HRDataset_v14[[#This Row],[Age Calculation
]]&lt;56,"46-55","55+"))))</f>
        <v>36-45</v>
      </c>
      <c r="AR307" t="str">
        <f>IF(HRDataset_v14[[#This Row],[Salary]]&lt;40000,"Entry (&lt;40K)",IF(HRDataset_v14[[#This Row],[Salary]]&lt;70000,"Mid (40-70K)",IF(HRDataset_v14[[#This Row],[Salary]]&lt;100000,"Senior (70-100K)","Executive (100K+)")))</f>
        <v>Mid (40-70K)</v>
      </c>
      <c r="AS307">
        <f>IF(HRDataset_v14[[#This Row],[EmploymentStatus]]="Active",1,0)</f>
        <v>1</v>
      </c>
      <c r="AT307">
        <f>YEAR(HRDataset_v14[[#This Row],[DateofHire]])</f>
        <v>2014</v>
      </c>
      <c r="AU307">
        <f>MONTH(HRDataset_v14[[#This Row],[DateofHire]])</f>
        <v>9</v>
      </c>
      <c r="AV307" t="str">
        <f>"Q"&amp;ROUNDUP(MONTH(HRDataset_v14[[#This Row],[DateofHire]])/3,0)</f>
        <v>Q3</v>
      </c>
      <c r="AW307" t="str">
        <f>TEXT(HRDataset_v14[[#This Row],[DateofHire]],"MMM")</f>
        <v>Sep</v>
      </c>
      <c r="AX307" t="str">
        <f>TEXT(HRDataset_v14[[#This Row],[DateofHire]],"YYYY-MM")</f>
        <v>2014-09</v>
      </c>
      <c r="AY307" t="str">
        <f>IF(ISBLANK(HRDataset_v14[[#This Row],[DateofTermination]]),"N/A",YEAR(HRDataset_v14[[#This Row],[DateofTermination]]))</f>
        <v>N/A</v>
      </c>
      <c r="AZ307" t="str" cm="1">
        <f t="array" ref="AZ307">INDEX(_xlfn.UNIQUE(Z307:Z617),MATCH(MAX(COUNTIF(Z307:Z617,_xlfn.UNIQUE(Z307:Z617))),COUNTIF(Z307:Z617,_xlfn.UNIQUE(Z307:Z617)),0))</f>
        <v xml:space="preserve">Production       </v>
      </c>
      <c r="BA307">
        <f t="shared" si="40"/>
        <v>0</v>
      </c>
      <c r="BB307">
        <f t="shared" si="41"/>
        <v>0</v>
      </c>
      <c r="BC307" t="str">
        <f t="shared" si="36"/>
        <v>Medium</v>
      </c>
      <c r="BD307">
        <f t="shared" si="37"/>
        <v>3.4</v>
      </c>
      <c r="BE307" t="str">
        <f t="shared" si="38"/>
        <v/>
      </c>
      <c r="BT307">
        <f t="shared" si="39"/>
        <v>3.4</v>
      </c>
    </row>
    <row r="308" spans="1:72" x14ac:dyDescent="0.3">
      <c r="A308" t="s">
        <v>618</v>
      </c>
      <c r="B308">
        <v>10135</v>
      </c>
      <c r="C308">
        <v>0</v>
      </c>
      <c r="D308">
        <v>0</v>
      </c>
      <c r="E308">
        <v>1</v>
      </c>
      <c r="F308">
        <v>1</v>
      </c>
      <c r="G308">
        <v>5</v>
      </c>
      <c r="H308">
        <v>3</v>
      </c>
      <c r="I308">
        <v>0</v>
      </c>
      <c r="J308">
        <v>65893</v>
      </c>
      <c r="K308">
        <v>0</v>
      </c>
      <c r="L308">
        <v>20</v>
      </c>
      <c r="M308" t="s">
        <v>63</v>
      </c>
      <c r="N308" t="s">
        <v>38</v>
      </c>
      <c r="O308">
        <v>1810</v>
      </c>
      <c r="P308">
        <v>31178</v>
      </c>
      <c r="Q308" t="s">
        <v>39</v>
      </c>
      <c r="R308" t="s">
        <v>40</v>
      </c>
      <c r="S308" t="s">
        <v>41</v>
      </c>
      <c r="T308" t="s">
        <v>42</v>
      </c>
      <c r="U308" t="s">
        <v>43</v>
      </c>
      <c r="V308">
        <v>41827</v>
      </c>
      <c r="X308" t="s">
        <v>44</v>
      </c>
      <c r="Y308" t="s">
        <v>45</v>
      </c>
      <c r="Z308" t="s">
        <v>46</v>
      </c>
      <c r="AA308" t="s">
        <v>66</v>
      </c>
      <c r="AB308">
        <v>20</v>
      </c>
      <c r="AC308" t="s">
        <v>48</v>
      </c>
      <c r="AD308" t="s">
        <v>60</v>
      </c>
      <c r="AE308">
        <v>4.07</v>
      </c>
      <c r="AF308">
        <v>4</v>
      </c>
      <c r="AG308">
        <v>0</v>
      </c>
      <c r="AH308" t="s">
        <v>211</v>
      </c>
      <c r="AI308">
        <v>0</v>
      </c>
      <c r="AJ308">
        <v>13</v>
      </c>
      <c r="AK308" t="str">
        <f t="shared" si="34"/>
        <v>Normal</v>
      </c>
      <c r="AL308" t="str">
        <f t="shared" si="35"/>
        <v>low Outlier</v>
      </c>
      <c r="AM308">
        <f ca="1">INT((TODAY()-HRDataset_v14[[#This Row],[DOB]])/365.25)</f>
        <v>40</v>
      </c>
      <c r="AN308">
        <f ca="1">DATEDIF(HRDataset_v14[[#This Row],[DateofHire]],TODAY(),"Y")</f>
        <v>11</v>
      </c>
      <c r="AO308">
        <f ca="1">IF(ISBLANK(HRDataset_v14[[#This Row],[DateofTermination]]),DATEDIF(HRDataset_v14[[#This Row],[DateofHire]],TODAY(),"Y"),DATEDIF(HRDataset_v14[[#This Row],[DateofHire]],HRDataset_v14[[#This Row],[DateofTermination]],"Y"))</f>
        <v>11</v>
      </c>
      <c r="AP308" t="str">
        <f ca="1">IF(HRDataset_v14[[#This Row],[Tenure in Years
]]&lt;1,"0-1 Year",IF(HRDataset_v14[[#This Row],[Tenure in Years
]]&lt;3,"1-3 Years",IF(HRDataset_v14[[#This Row],[Tenure in Years
]]&lt;5,"3-5 Years",IF(HRDataset_v14[[#This Row],[Tenure in Years
]]&lt;10,"5-10 Years","10+ Years"))))</f>
        <v>10+ Years</v>
      </c>
      <c r="AQ308" t="str">
        <f ca="1">IF(HRDataset_v14[[#This Row],[Age Calculation
]]&lt;26,"18-25",IF(HRDataset_v14[[#This Row],[Age Calculation
]]&lt;36,"26-35",IF(HRDataset_v14[[#This Row],[Age Calculation
]]&lt;46,"36-45",IF(HRDataset_v14[[#This Row],[Age Calculation
]]&lt;56,"46-55","55+"))))</f>
        <v>36-45</v>
      </c>
      <c r="AR308" t="str">
        <f>IF(HRDataset_v14[[#This Row],[Salary]]&lt;40000,"Entry (&lt;40K)",IF(HRDataset_v14[[#This Row],[Salary]]&lt;70000,"Mid (40-70K)",IF(HRDataset_v14[[#This Row],[Salary]]&lt;100000,"Senior (70-100K)","Executive (100K+)")))</f>
        <v>Mid (40-70K)</v>
      </c>
      <c r="AS308">
        <f>IF(HRDataset_v14[[#This Row],[EmploymentStatus]]="Active",1,0)</f>
        <v>1</v>
      </c>
      <c r="AT308">
        <f>YEAR(HRDataset_v14[[#This Row],[DateofHire]])</f>
        <v>2014</v>
      </c>
      <c r="AU308">
        <f>MONTH(HRDataset_v14[[#This Row],[DateofHire]])</f>
        <v>7</v>
      </c>
      <c r="AV308" t="str">
        <f>"Q"&amp;ROUNDUP(MONTH(HRDataset_v14[[#This Row],[DateofHire]])/3,0)</f>
        <v>Q3</v>
      </c>
      <c r="AW308" t="str">
        <f>TEXT(HRDataset_v14[[#This Row],[DateofHire]],"MMM")</f>
        <v>Jul</v>
      </c>
      <c r="AX308" t="str">
        <f>TEXT(HRDataset_v14[[#This Row],[DateofHire]],"YYYY-MM")</f>
        <v>2014-07</v>
      </c>
      <c r="AY308" t="str">
        <f>IF(ISBLANK(HRDataset_v14[[#This Row],[DateofTermination]]),"N/A",YEAR(HRDataset_v14[[#This Row],[DateofTermination]]))</f>
        <v>N/A</v>
      </c>
      <c r="AZ308" t="str" cm="1">
        <f t="array" ref="AZ308">INDEX(_xlfn.UNIQUE(Z308:Z618),MATCH(MAX(COUNTIF(Z308:Z618,_xlfn.UNIQUE(Z308:Z618))),COUNTIF(Z308:Z618,_xlfn.UNIQUE(Z308:Z618)),0))</f>
        <v xml:space="preserve">Production       </v>
      </c>
      <c r="BA308">
        <f t="shared" si="40"/>
        <v>0</v>
      </c>
      <c r="BB308">
        <f t="shared" si="41"/>
        <v>0</v>
      </c>
      <c r="BC308" t="str">
        <f t="shared" si="36"/>
        <v>Medium</v>
      </c>
      <c r="BD308">
        <f t="shared" si="37"/>
        <v>4.07</v>
      </c>
      <c r="BE308" t="str">
        <f t="shared" si="38"/>
        <v/>
      </c>
      <c r="BT308">
        <f t="shared" si="39"/>
        <v>4.07</v>
      </c>
    </row>
    <row r="309" spans="1:72" x14ac:dyDescent="0.3">
      <c r="A309" t="s">
        <v>619</v>
      </c>
      <c r="B309">
        <v>10301</v>
      </c>
      <c r="C309">
        <v>0</v>
      </c>
      <c r="D309">
        <v>0</v>
      </c>
      <c r="E309">
        <v>0</v>
      </c>
      <c r="F309">
        <v>5</v>
      </c>
      <c r="G309">
        <v>5</v>
      </c>
      <c r="H309">
        <v>1</v>
      </c>
      <c r="I309">
        <v>0</v>
      </c>
      <c r="J309">
        <v>48513</v>
      </c>
      <c r="K309">
        <v>1</v>
      </c>
      <c r="L309">
        <v>19</v>
      </c>
      <c r="M309" t="s">
        <v>37</v>
      </c>
      <c r="N309" t="s">
        <v>38</v>
      </c>
      <c r="O309">
        <v>2458</v>
      </c>
      <c r="P309">
        <v>30075</v>
      </c>
      <c r="Q309" t="s">
        <v>64</v>
      </c>
      <c r="R309" t="s">
        <v>40</v>
      </c>
      <c r="S309" t="s">
        <v>41</v>
      </c>
      <c r="T309" t="s">
        <v>42</v>
      </c>
      <c r="U309" t="s">
        <v>132</v>
      </c>
      <c r="V309">
        <v>39693</v>
      </c>
      <c r="W309">
        <v>42276</v>
      </c>
      <c r="X309" t="s">
        <v>101</v>
      </c>
      <c r="Y309" t="s">
        <v>56</v>
      </c>
      <c r="Z309" t="s">
        <v>46</v>
      </c>
      <c r="AA309" t="s">
        <v>92</v>
      </c>
      <c r="AB309">
        <v>12</v>
      </c>
      <c r="AC309" t="s">
        <v>75</v>
      </c>
      <c r="AD309" t="s">
        <v>241</v>
      </c>
      <c r="AE309">
        <v>3.2</v>
      </c>
      <c r="AF309">
        <v>2</v>
      </c>
      <c r="AG309">
        <v>0</v>
      </c>
      <c r="AH309" t="s">
        <v>620</v>
      </c>
      <c r="AI309">
        <v>5</v>
      </c>
      <c r="AJ309">
        <v>4</v>
      </c>
      <c r="AK309" t="str">
        <f t="shared" si="34"/>
        <v>Normal</v>
      </c>
      <c r="AL309" t="str">
        <f t="shared" si="35"/>
        <v>low Outlier</v>
      </c>
      <c r="AM309">
        <f ca="1">INT((TODAY()-HRDataset_v14[[#This Row],[DOB]])/365.25)</f>
        <v>43</v>
      </c>
      <c r="AN309">
        <f ca="1">DATEDIF(HRDataset_v14[[#This Row],[DateofHire]],TODAY(),"Y")</f>
        <v>17</v>
      </c>
      <c r="AO309">
        <f ca="1">IF(ISBLANK(HRDataset_v14[[#This Row],[DateofTermination]]),DATEDIF(HRDataset_v14[[#This Row],[DateofHire]],TODAY(),"Y"),DATEDIF(HRDataset_v14[[#This Row],[DateofHire]],HRDataset_v14[[#This Row],[DateofTermination]],"Y"))</f>
        <v>7</v>
      </c>
      <c r="AP309" t="str">
        <f ca="1">IF(HRDataset_v14[[#This Row],[Tenure in Years
]]&lt;1,"0-1 Year",IF(HRDataset_v14[[#This Row],[Tenure in Years
]]&lt;3,"1-3 Years",IF(HRDataset_v14[[#This Row],[Tenure in Years
]]&lt;5,"3-5 Years",IF(HRDataset_v14[[#This Row],[Tenure in Years
]]&lt;10,"5-10 Years","10+ Years"))))</f>
        <v>10+ Years</v>
      </c>
      <c r="AQ309" t="str">
        <f ca="1">IF(HRDataset_v14[[#This Row],[Age Calculation
]]&lt;26,"18-25",IF(HRDataset_v14[[#This Row],[Age Calculation
]]&lt;36,"26-35",IF(HRDataset_v14[[#This Row],[Age Calculation
]]&lt;46,"36-45",IF(HRDataset_v14[[#This Row],[Age Calculation
]]&lt;56,"46-55","55+"))))</f>
        <v>36-45</v>
      </c>
      <c r="AR309" t="str">
        <f>IF(HRDataset_v14[[#This Row],[Salary]]&lt;40000,"Entry (&lt;40K)",IF(HRDataset_v14[[#This Row],[Salary]]&lt;70000,"Mid (40-70K)",IF(HRDataset_v14[[#This Row],[Salary]]&lt;100000,"Senior (70-100K)","Executive (100K+)")))</f>
        <v>Mid (40-70K)</v>
      </c>
      <c r="AS309">
        <f>IF(HRDataset_v14[[#This Row],[EmploymentStatus]]="Active",1,0)</f>
        <v>0</v>
      </c>
      <c r="AT309">
        <f>YEAR(HRDataset_v14[[#This Row],[DateofHire]])</f>
        <v>2008</v>
      </c>
      <c r="AU309">
        <f>MONTH(HRDataset_v14[[#This Row],[DateofHire]])</f>
        <v>9</v>
      </c>
      <c r="AV309" t="str">
        <f>"Q"&amp;ROUNDUP(MONTH(HRDataset_v14[[#This Row],[DateofHire]])/3,0)</f>
        <v>Q3</v>
      </c>
      <c r="AW309" t="str">
        <f>TEXT(HRDataset_v14[[#This Row],[DateofHire]],"MMM")</f>
        <v>Sep</v>
      </c>
      <c r="AX309" t="str">
        <f>TEXT(HRDataset_v14[[#This Row],[DateofHire]],"YYYY-MM")</f>
        <v>2008-09</v>
      </c>
      <c r="AY309">
        <f>IF(ISBLANK(HRDataset_v14[[#This Row],[DateofTermination]]),"N/A",YEAR(HRDataset_v14[[#This Row],[DateofTermination]]))</f>
        <v>2015</v>
      </c>
      <c r="AZ309" t="str" cm="1">
        <f t="array" ref="AZ309">INDEX(_xlfn.UNIQUE(Z309:Z619),MATCH(MAX(COUNTIF(Z309:Z619,_xlfn.UNIQUE(Z309:Z619))),COUNTIF(Z309:Z619,_xlfn.UNIQUE(Z309:Z619)),0))</f>
        <v xml:space="preserve">Production       </v>
      </c>
      <c r="BA309">
        <f t="shared" si="40"/>
        <v>100</v>
      </c>
      <c r="BB309">
        <f t="shared" si="41"/>
        <v>1</v>
      </c>
      <c r="BC309" t="str">
        <f t="shared" si="36"/>
        <v>High</v>
      </c>
      <c r="BD309" t="str">
        <f t="shared" si="37"/>
        <v/>
      </c>
      <c r="BE309">
        <f t="shared" si="38"/>
        <v>3.2</v>
      </c>
      <c r="BT309" t="str">
        <f t="shared" si="39"/>
        <v/>
      </c>
    </row>
    <row r="310" spans="1:72" x14ac:dyDescent="0.3">
      <c r="A310" t="s">
        <v>621</v>
      </c>
      <c r="B310">
        <v>10010</v>
      </c>
      <c r="C310">
        <v>0</v>
      </c>
      <c r="D310">
        <v>0</v>
      </c>
      <c r="E310">
        <v>0</v>
      </c>
      <c r="F310">
        <v>1</v>
      </c>
      <c r="G310">
        <v>3</v>
      </c>
      <c r="H310">
        <v>4</v>
      </c>
      <c r="I310">
        <v>0</v>
      </c>
      <c r="J310">
        <v>220450</v>
      </c>
      <c r="K310">
        <v>0</v>
      </c>
      <c r="L310">
        <v>6</v>
      </c>
      <c r="M310" t="s">
        <v>622</v>
      </c>
      <c r="N310" t="s">
        <v>38</v>
      </c>
      <c r="O310">
        <v>2067</v>
      </c>
      <c r="P310">
        <v>29097</v>
      </c>
      <c r="Q310" t="s">
        <v>64</v>
      </c>
      <c r="R310" t="s">
        <v>40</v>
      </c>
      <c r="S310" t="s">
        <v>41</v>
      </c>
      <c r="T310" t="s">
        <v>42</v>
      </c>
      <c r="U310" t="s">
        <v>43</v>
      </c>
      <c r="V310">
        <v>40278</v>
      </c>
      <c r="X310" t="s">
        <v>44</v>
      </c>
      <c r="Y310" t="s">
        <v>45</v>
      </c>
      <c r="Z310" t="s">
        <v>57</v>
      </c>
      <c r="AA310" t="s">
        <v>156</v>
      </c>
      <c r="AB310">
        <v>2</v>
      </c>
      <c r="AC310" t="s">
        <v>88</v>
      </c>
      <c r="AD310" t="s">
        <v>49</v>
      </c>
      <c r="AE310">
        <v>4.5999999999999996</v>
      </c>
      <c r="AF310">
        <v>5</v>
      </c>
      <c r="AG310">
        <v>6</v>
      </c>
      <c r="AH310" t="s">
        <v>176</v>
      </c>
      <c r="AI310">
        <v>0</v>
      </c>
      <c r="AJ310">
        <v>16</v>
      </c>
      <c r="AK310" t="str">
        <f t="shared" si="34"/>
        <v xml:space="preserve"> high Outlier</v>
      </c>
      <c r="AL310" t="str">
        <f t="shared" si="35"/>
        <v>low Outlier</v>
      </c>
      <c r="AM310">
        <f ca="1">INT((TODAY()-HRDataset_v14[[#This Row],[DOB]])/365.25)</f>
        <v>46</v>
      </c>
      <c r="AN310">
        <f ca="1">DATEDIF(HRDataset_v14[[#This Row],[DateofHire]],TODAY(),"Y")</f>
        <v>15</v>
      </c>
      <c r="AO310">
        <f ca="1">IF(ISBLANK(HRDataset_v14[[#This Row],[DateofTermination]]),DATEDIF(HRDataset_v14[[#This Row],[DateofHire]],TODAY(),"Y"),DATEDIF(HRDataset_v14[[#This Row],[DateofHire]],HRDataset_v14[[#This Row],[DateofTermination]],"Y"))</f>
        <v>15</v>
      </c>
      <c r="AP310" t="str">
        <f ca="1">IF(HRDataset_v14[[#This Row],[Tenure in Years
]]&lt;1,"0-1 Year",IF(HRDataset_v14[[#This Row],[Tenure in Years
]]&lt;3,"1-3 Years",IF(HRDataset_v14[[#This Row],[Tenure in Years
]]&lt;5,"3-5 Years",IF(HRDataset_v14[[#This Row],[Tenure in Years
]]&lt;10,"5-10 Years","10+ Years"))))</f>
        <v>10+ Years</v>
      </c>
      <c r="AQ310" t="str">
        <f ca="1">IF(HRDataset_v14[[#This Row],[Age Calculation
]]&lt;26,"18-25",IF(HRDataset_v14[[#This Row],[Age Calculation
]]&lt;36,"26-35",IF(HRDataset_v14[[#This Row],[Age Calculation
]]&lt;46,"36-45",IF(HRDataset_v14[[#This Row],[Age Calculation
]]&lt;56,"46-55","55+"))))</f>
        <v>46-55</v>
      </c>
      <c r="AR310" t="str">
        <f>IF(HRDataset_v14[[#This Row],[Salary]]&lt;40000,"Entry (&lt;40K)",IF(HRDataset_v14[[#This Row],[Salary]]&lt;70000,"Mid (40-70K)",IF(HRDataset_v14[[#This Row],[Salary]]&lt;100000,"Senior (70-100K)","Executive (100K+)")))</f>
        <v>Executive (100K+)</v>
      </c>
      <c r="AS310">
        <f>IF(HRDataset_v14[[#This Row],[EmploymentStatus]]="Active",1,0)</f>
        <v>1</v>
      </c>
      <c r="AT310">
        <f>YEAR(HRDataset_v14[[#This Row],[DateofHire]])</f>
        <v>2010</v>
      </c>
      <c r="AU310">
        <f>MONTH(HRDataset_v14[[#This Row],[DateofHire]])</f>
        <v>4</v>
      </c>
      <c r="AV310" t="str">
        <f>"Q"&amp;ROUNDUP(MONTH(HRDataset_v14[[#This Row],[DateofHire]])/3,0)</f>
        <v>Q2</v>
      </c>
      <c r="AW310" t="str">
        <f>TEXT(HRDataset_v14[[#This Row],[DateofHire]],"MMM")</f>
        <v>Apr</v>
      </c>
      <c r="AX310" t="str">
        <f>TEXT(HRDataset_v14[[#This Row],[DateofHire]],"YYYY-MM")</f>
        <v>2010-04</v>
      </c>
      <c r="AY310" t="str">
        <f>IF(ISBLANK(HRDataset_v14[[#This Row],[DateofTermination]]),"N/A",YEAR(HRDataset_v14[[#This Row],[DateofTermination]]))</f>
        <v>N/A</v>
      </c>
      <c r="AZ310" t="str" cm="1">
        <f t="array" ref="AZ310">INDEX(_xlfn.UNIQUE(Z310:Z620),MATCH(MAX(COUNTIF(Z310:Z620,_xlfn.UNIQUE(Z310:Z620))),COUNTIF(Z310:Z620,_xlfn.UNIQUE(Z310:Z620)),0))</f>
        <v>IT/IS</v>
      </c>
      <c r="BA310">
        <f t="shared" si="40"/>
        <v>0</v>
      </c>
      <c r="BB310">
        <f t="shared" si="41"/>
        <v>0</v>
      </c>
      <c r="BC310" t="str">
        <f t="shared" si="36"/>
        <v>Low</v>
      </c>
      <c r="BD310">
        <f t="shared" si="37"/>
        <v>4.5999999999999996</v>
      </c>
      <c r="BE310" t="str">
        <f t="shared" si="38"/>
        <v/>
      </c>
      <c r="BT310">
        <f t="shared" si="39"/>
        <v>4.5999999999999996</v>
      </c>
    </row>
    <row r="311" spans="1:72" x14ac:dyDescent="0.3">
      <c r="A311" t="s">
        <v>623</v>
      </c>
      <c r="B311">
        <v>10043</v>
      </c>
      <c r="C311">
        <v>0</v>
      </c>
      <c r="D311">
        <v>0</v>
      </c>
      <c r="E311">
        <v>0</v>
      </c>
      <c r="F311">
        <v>1</v>
      </c>
      <c r="G311">
        <v>3</v>
      </c>
      <c r="H311">
        <v>3</v>
      </c>
      <c r="I311">
        <v>0</v>
      </c>
      <c r="J311">
        <v>89292</v>
      </c>
      <c r="K311">
        <v>0</v>
      </c>
      <c r="L311">
        <v>9</v>
      </c>
      <c r="M311" t="s">
        <v>108</v>
      </c>
      <c r="N311" t="s">
        <v>38</v>
      </c>
      <c r="O311">
        <v>2148</v>
      </c>
      <c r="P311">
        <v>28910</v>
      </c>
      <c r="Q311" t="s">
        <v>64</v>
      </c>
      <c r="R311" t="s">
        <v>40</v>
      </c>
      <c r="S311" t="s">
        <v>41</v>
      </c>
      <c r="T311" t="s">
        <v>42</v>
      </c>
      <c r="U311" t="s">
        <v>43</v>
      </c>
      <c r="V311">
        <v>42093</v>
      </c>
      <c r="X311" t="s">
        <v>44</v>
      </c>
      <c r="Y311" t="s">
        <v>45</v>
      </c>
      <c r="Z311" t="s">
        <v>57</v>
      </c>
      <c r="AA311" t="s">
        <v>58</v>
      </c>
      <c r="AB311">
        <v>4</v>
      </c>
      <c r="AC311" t="s">
        <v>88</v>
      </c>
      <c r="AD311" t="s">
        <v>60</v>
      </c>
      <c r="AE311">
        <v>5</v>
      </c>
      <c r="AF311">
        <v>3</v>
      </c>
      <c r="AG311">
        <v>5</v>
      </c>
      <c r="AH311" t="s">
        <v>164</v>
      </c>
      <c r="AI311">
        <v>0</v>
      </c>
      <c r="AJ311">
        <v>11</v>
      </c>
      <c r="AK311" t="str">
        <f t="shared" si="34"/>
        <v>Normal</v>
      </c>
      <c r="AL311" t="str">
        <f t="shared" si="35"/>
        <v>low Outlier</v>
      </c>
      <c r="AM311">
        <f ca="1">INT((TODAY()-HRDataset_v14[[#This Row],[DOB]])/365.25)</f>
        <v>47</v>
      </c>
      <c r="AN311">
        <f ca="1">DATEDIF(HRDataset_v14[[#This Row],[DateofHire]],TODAY(),"Y")</f>
        <v>11</v>
      </c>
      <c r="AO311">
        <f ca="1">IF(ISBLANK(HRDataset_v14[[#This Row],[DateofTermination]]),DATEDIF(HRDataset_v14[[#This Row],[DateofHire]],TODAY(),"Y"),DATEDIF(HRDataset_v14[[#This Row],[DateofHire]],HRDataset_v14[[#This Row],[DateofTermination]],"Y"))</f>
        <v>11</v>
      </c>
      <c r="AP311" t="str">
        <f ca="1">IF(HRDataset_v14[[#This Row],[Tenure in Years
]]&lt;1,"0-1 Year",IF(HRDataset_v14[[#This Row],[Tenure in Years
]]&lt;3,"1-3 Years",IF(HRDataset_v14[[#This Row],[Tenure in Years
]]&lt;5,"3-5 Years",IF(HRDataset_v14[[#This Row],[Tenure in Years
]]&lt;10,"5-10 Years","10+ Years"))))</f>
        <v>10+ Years</v>
      </c>
      <c r="AQ311" t="str">
        <f ca="1">IF(HRDataset_v14[[#This Row],[Age Calculation
]]&lt;26,"18-25",IF(HRDataset_v14[[#This Row],[Age Calculation
]]&lt;36,"26-35",IF(HRDataset_v14[[#This Row],[Age Calculation
]]&lt;46,"36-45",IF(HRDataset_v14[[#This Row],[Age Calculation
]]&lt;56,"46-55","55+"))))</f>
        <v>46-55</v>
      </c>
      <c r="AR311" t="str">
        <f>IF(HRDataset_v14[[#This Row],[Salary]]&lt;40000,"Entry (&lt;40K)",IF(HRDataset_v14[[#This Row],[Salary]]&lt;70000,"Mid (40-70K)",IF(HRDataset_v14[[#This Row],[Salary]]&lt;100000,"Senior (70-100K)","Executive (100K+)")))</f>
        <v>Senior (70-100K)</v>
      </c>
      <c r="AS311">
        <f>IF(HRDataset_v14[[#This Row],[EmploymentStatus]]="Active",1,0)</f>
        <v>1</v>
      </c>
      <c r="AT311">
        <f>YEAR(HRDataset_v14[[#This Row],[DateofHire]])</f>
        <v>2015</v>
      </c>
      <c r="AU311">
        <f>MONTH(HRDataset_v14[[#This Row],[DateofHire]])</f>
        <v>3</v>
      </c>
      <c r="AV311" t="str">
        <f>"Q"&amp;ROUNDUP(MONTH(HRDataset_v14[[#This Row],[DateofHire]])/3,0)</f>
        <v>Q1</v>
      </c>
      <c r="AW311" t="str">
        <f>TEXT(HRDataset_v14[[#This Row],[DateofHire]],"MMM")</f>
        <v>Mar</v>
      </c>
      <c r="AX311" t="str">
        <f>TEXT(HRDataset_v14[[#This Row],[DateofHire]],"YYYY-MM")</f>
        <v>2015-03</v>
      </c>
      <c r="AY311" t="str">
        <f>IF(ISBLANK(HRDataset_v14[[#This Row],[DateofTermination]]),"N/A",YEAR(HRDataset_v14[[#This Row],[DateofTermination]]))</f>
        <v>N/A</v>
      </c>
      <c r="AZ311" t="str" cm="1">
        <f t="array" ref="AZ311">INDEX(_xlfn.UNIQUE(Z311:Z621),MATCH(MAX(COUNTIF(Z311:Z621,_xlfn.UNIQUE(Z311:Z621))),COUNTIF(Z311:Z621,_xlfn.UNIQUE(Z311:Z621)),0))</f>
        <v>IT/IS</v>
      </c>
      <c r="BA311">
        <f t="shared" si="40"/>
        <v>0</v>
      </c>
      <c r="BB311">
        <f t="shared" si="41"/>
        <v>0</v>
      </c>
      <c r="BC311" t="str">
        <f t="shared" si="36"/>
        <v>Medium</v>
      </c>
      <c r="BD311">
        <f t="shared" si="37"/>
        <v>5</v>
      </c>
      <c r="BE311" t="str">
        <f t="shared" si="38"/>
        <v/>
      </c>
      <c r="BT311">
        <f t="shared" si="39"/>
        <v>5</v>
      </c>
    </row>
    <row r="312" spans="1:72" x14ac:dyDescent="0.3">
      <c r="A312" t="s">
        <v>624</v>
      </c>
      <c r="B312">
        <v>10271</v>
      </c>
      <c r="C312">
        <v>0</v>
      </c>
      <c r="D312">
        <v>4</v>
      </c>
      <c r="E312">
        <v>0</v>
      </c>
      <c r="F312">
        <v>1</v>
      </c>
      <c r="G312">
        <v>5</v>
      </c>
      <c r="H312">
        <v>3</v>
      </c>
      <c r="I312">
        <v>0</v>
      </c>
      <c r="J312">
        <v>45046</v>
      </c>
      <c r="K312">
        <v>0</v>
      </c>
      <c r="L312">
        <v>19</v>
      </c>
      <c r="M312" t="s">
        <v>37</v>
      </c>
      <c r="N312" t="s">
        <v>38</v>
      </c>
      <c r="O312">
        <v>1730</v>
      </c>
      <c r="P312">
        <v>28719</v>
      </c>
      <c r="Q312" t="s">
        <v>64</v>
      </c>
      <c r="R312" t="s">
        <v>86</v>
      </c>
      <c r="S312" t="s">
        <v>41</v>
      </c>
      <c r="T312" t="s">
        <v>42</v>
      </c>
      <c r="U312" t="s">
        <v>132</v>
      </c>
      <c r="V312">
        <v>41911</v>
      </c>
      <c r="X312" t="s">
        <v>44</v>
      </c>
      <c r="Y312" t="s">
        <v>45</v>
      </c>
      <c r="Z312" t="s">
        <v>46</v>
      </c>
      <c r="AA312" t="s">
        <v>102</v>
      </c>
      <c r="AB312">
        <v>14</v>
      </c>
      <c r="AC312" t="s">
        <v>48</v>
      </c>
      <c r="AD312" t="s">
        <v>60</v>
      </c>
      <c r="AE312">
        <v>4.5</v>
      </c>
      <c r="AF312">
        <v>5</v>
      </c>
      <c r="AG312">
        <v>0</v>
      </c>
      <c r="AH312" t="s">
        <v>184</v>
      </c>
      <c r="AI312">
        <v>0</v>
      </c>
      <c r="AJ312">
        <v>2</v>
      </c>
      <c r="AK312" t="str">
        <f t="shared" si="34"/>
        <v>Normal</v>
      </c>
      <c r="AL312" t="str">
        <f t="shared" si="35"/>
        <v>low Outlier</v>
      </c>
      <c r="AM312">
        <f ca="1">INT((TODAY()-HRDataset_v14[[#This Row],[DOB]])/365.25)</f>
        <v>47</v>
      </c>
      <c r="AN312">
        <f ca="1">DATEDIF(HRDataset_v14[[#This Row],[DateofHire]],TODAY(),"Y")</f>
        <v>11</v>
      </c>
      <c r="AO312">
        <f ca="1">IF(ISBLANK(HRDataset_v14[[#This Row],[DateofTermination]]),DATEDIF(HRDataset_v14[[#This Row],[DateofHire]],TODAY(),"Y"),DATEDIF(HRDataset_v14[[#This Row],[DateofHire]],HRDataset_v14[[#This Row],[DateofTermination]],"Y"))</f>
        <v>11</v>
      </c>
      <c r="AP312" t="str">
        <f ca="1">IF(HRDataset_v14[[#This Row],[Tenure in Years
]]&lt;1,"0-1 Year",IF(HRDataset_v14[[#This Row],[Tenure in Years
]]&lt;3,"1-3 Years",IF(HRDataset_v14[[#This Row],[Tenure in Years
]]&lt;5,"3-5 Years",IF(HRDataset_v14[[#This Row],[Tenure in Years
]]&lt;10,"5-10 Years","10+ Years"))))</f>
        <v>10+ Years</v>
      </c>
      <c r="AQ312" t="str">
        <f ca="1">IF(HRDataset_v14[[#This Row],[Age Calculation
]]&lt;26,"18-25",IF(HRDataset_v14[[#This Row],[Age Calculation
]]&lt;36,"26-35",IF(HRDataset_v14[[#This Row],[Age Calculation
]]&lt;46,"36-45",IF(HRDataset_v14[[#This Row],[Age Calculation
]]&lt;56,"46-55","55+"))))</f>
        <v>46-55</v>
      </c>
      <c r="AR312" t="str">
        <f>IF(HRDataset_v14[[#This Row],[Salary]]&lt;40000,"Entry (&lt;40K)",IF(HRDataset_v14[[#This Row],[Salary]]&lt;70000,"Mid (40-70K)",IF(HRDataset_v14[[#This Row],[Salary]]&lt;100000,"Senior (70-100K)","Executive (100K+)")))</f>
        <v>Mid (40-70K)</v>
      </c>
      <c r="AS312">
        <f>IF(HRDataset_v14[[#This Row],[EmploymentStatus]]="Active",1,0)</f>
        <v>1</v>
      </c>
      <c r="AT312">
        <f>YEAR(HRDataset_v14[[#This Row],[DateofHire]])</f>
        <v>2014</v>
      </c>
      <c r="AU312">
        <f>MONTH(HRDataset_v14[[#This Row],[DateofHire]])</f>
        <v>9</v>
      </c>
      <c r="AV312" t="str">
        <f>"Q"&amp;ROUNDUP(MONTH(HRDataset_v14[[#This Row],[DateofHire]])/3,0)</f>
        <v>Q3</v>
      </c>
      <c r="AW312" t="str">
        <f>TEXT(HRDataset_v14[[#This Row],[DateofHire]],"MMM")</f>
        <v>Sep</v>
      </c>
      <c r="AX312" t="str">
        <f>TEXT(HRDataset_v14[[#This Row],[DateofHire]],"YYYY-MM")</f>
        <v>2014-09</v>
      </c>
      <c r="AY312" t="str">
        <f>IF(ISBLANK(HRDataset_v14[[#This Row],[DateofTermination]]),"N/A",YEAR(HRDataset_v14[[#This Row],[DateofTermination]]))</f>
        <v>N/A</v>
      </c>
      <c r="AZ312" t="str" cm="1">
        <f t="array" ref="AZ312">INDEX(_xlfn.UNIQUE(Z312:Z622),MATCH(MAX(COUNTIF(Z312:Z622,_xlfn.UNIQUE(Z312:Z622))),COUNTIF(Z312:Z622,_xlfn.UNIQUE(Z312:Z622)),0))</f>
        <v xml:space="preserve">Production       </v>
      </c>
      <c r="BA312">
        <f t="shared" si="40"/>
        <v>0</v>
      </c>
      <c r="BB312">
        <f t="shared" si="41"/>
        <v>0</v>
      </c>
      <c r="BC312" t="str">
        <f t="shared" si="36"/>
        <v>Medium</v>
      </c>
      <c r="BD312">
        <f t="shared" si="37"/>
        <v>4.5</v>
      </c>
      <c r="BE312" t="str">
        <f t="shared" si="38"/>
        <v/>
      </c>
      <c r="BT312">
        <f t="shared" si="39"/>
        <v>4.5</v>
      </c>
    </row>
  </sheetData>
  <sortState xmlns:xlrd2="http://schemas.microsoft.com/office/spreadsheetml/2017/richdata2" ref="BT2:BT325">
    <sortCondition ref="BT1:BT325"/>
  </sortState>
  <phoneticPr fontId="0" type="noConversion"/>
  <dataValidations count="2">
    <dataValidation type="list" allowBlank="1" showInputMessage="1" showErrorMessage="1" sqref="AU1:AU1048576" xr:uid="{3BC0FC59-B59C-4818-9634-9A70DF636982}">
      <formula1>$AW$2:$AW$9</formula1>
    </dataValidation>
    <dataValidation type="list" allowBlank="1" showInputMessage="1" showErrorMessage="1" sqref="AS1:AS1048576" xr:uid="{47FC6970-21B2-4A9B-B62A-B8E1281172E0}">
      <formula1>$Y$2:$Y$9</formula1>
    </dataValidation>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277B8-5326-49F9-87C0-517EFE4052A6}">
  <dimension ref="A1"/>
  <sheetViews>
    <sheetView showGridLines="0" showRowColHeaders="0" zoomScale="80" zoomScaleNormal="80" zoomScaleSheetLayoutView="50" workbookViewId="0">
      <selection activeCell="E2" sqref="A1:XFD1048576"/>
    </sheetView>
  </sheetViews>
  <sheetFormatPr defaultRowHeight="16.5" x14ac:dyDescent="0.3"/>
  <cols>
    <col min="1" max="25" width="8.88671875" style="7"/>
    <col min="26" max="26" width="8.88671875" style="7" customWidth="1"/>
    <col min="27" max="16384" width="8.88671875" style="7"/>
  </cols>
  <sheetData>
    <row r="1" ht="1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FFD8-97DB-49C7-8198-9E5F894FA1BF}">
  <dimension ref="D2:G14"/>
  <sheetViews>
    <sheetView showGridLines="0" workbookViewId="0">
      <selection activeCell="D3" sqref="D3"/>
    </sheetView>
  </sheetViews>
  <sheetFormatPr defaultRowHeight="15.75" x14ac:dyDescent="0.3"/>
  <cols>
    <col min="1" max="2" width="8.88671875" style="6"/>
    <col min="3" max="3" width="7.44140625" style="6" customWidth="1"/>
    <col min="4" max="4" width="16.109375" style="6" bestFit="1" customWidth="1"/>
    <col min="5" max="5" width="14.5546875" style="6" bestFit="1" customWidth="1"/>
    <col min="6" max="6" width="10" style="6" bestFit="1" customWidth="1"/>
    <col min="7" max="7" width="10.44140625" style="6" customWidth="1"/>
    <col min="8" max="16384" width="8.88671875" style="6"/>
  </cols>
  <sheetData>
    <row r="2" spans="4:7" x14ac:dyDescent="0.3">
      <c r="D2" s="6" t="s">
        <v>813</v>
      </c>
    </row>
    <row r="3" spans="4:7" ht="13.5" customHeight="1" x14ac:dyDescent="0.3"/>
    <row r="4" spans="4:7" ht="4.5" customHeight="1" x14ac:dyDescent="0.3"/>
    <row r="5" spans="4:7" x14ac:dyDescent="0.3">
      <c r="D5" s="9" t="s">
        <v>775</v>
      </c>
      <c r="E5" s="9" t="s">
        <v>721</v>
      </c>
      <c r="F5" s="10"/>
      <c r="G5" s="10"/>
    </row>
    <row r="6" spans="4:7" x14ac:dyDescent="0.3">
      <c r="D6" s="9" t="s">
        <v>719</v>
      </c>
      <c r="E6" s="10" t="s">
        <v>792</v>
      </c>
      <c r="F6" s="10" t="s">
        <v>793</v>
      </c>
      <c r="G6" s="10" t="s">
        <v>720</v>
      </c>
    </row>
    <row r="7" spans="4:7" x14ac:dyDescent="0.3">
      <c r="D7" s="11" t="s">
        <v>151</v>
      </c>
      <c r="E7" s="12">
        <v>1</v>
      </c>
      <c r="F7" s="12">
        <v>0</v>
      </c>
      <c r="G7" s="12">
        <v>1</v>
      </c>
    </row>
    <row r="8" spans="4:7" x14ac:dyDescent="0.3">
      <c r="D8" s="11" t="s">
        <v>388</v>
      </c>
      <c r="E8" s="12">
        <v>1</v>
      </c>
      <c r="F8" s="12">
        <v>0</v>
      </c>
      <c r="G8" s="12">
        <v>1</v>
      </c>
    </row>
    <row r="9" spans="4:7" x14ac:dyDescent="0.3">
      <c r="D9" s="11" t="s">
        <v>57</v>
      </c>
      <c r="E9" s="12">
        <v>0.78</v>
      </c>
      <c r="F9" s="12">
        <v>0.22</v>
      </c>
      <c r="G9" s="12">
        <v>1</v>
      </c>
    </row>
    <row r="10" spans="4:7" x14ac:dyDescent="0.3">
      <c r="D10" s="11" t="s">
        <v>46</v>
      </c>
      <c r="E10" s="12">
        <v>0.96650717703349287</v>
      </c>
      <c r="F10" s="12">
        <v>3.3492822966507178E-2</v>
      </c>
      <c r="G10" s="12">
        <v>1</v>
      </c>
    </row>
    <row r="11" spans="4:7" ht="16.5" customHeight="1" x14ac:dyDescent="0.3">
      <c r="D11" s="11" t="s">
        <v>171</v>
      </c>
      <c r="E11" s="12">
        <v>0.967741935483871</v>
      </c>
      <c r="F11" s="12">
        <v>3.2258064516129031E-2</v>
      </c>
      <c r="G11" s="12">
        <v>1</v>
      </c>
    </row>
    <row r="12" spans="4:7" ht="14.25" customHeight="1" x14ac:dyDescent="0.3">
      <c r="D12" s="11" t="s">
        <v>82</v>
      </c>
      <c r="E12" s="12">
        <v>1</v>
      </c>
      <c r="F12" s="12">
        <v>0</v>
      </c>
      <c r="G12" s="12">
        <v>1</v>
      </c>
    </row>
    <row r="13" spans="4:7" ht="17.25" customHeight="1" x14ac:dyDescent="0.3">
      <c r="D13" s="11" t="s">
        <v>720</v>
      </c>
      <c r="E13" s="12">
        <v>0.93890675241157562</v>
      </c>
      <c r="F13" s="12">
        <v>6.1093247588424437E-2</v>
      </c>
      <c r="G13" s="12">
        <v>1</v>
      </c>
    </row>
    <row r="14" spans="4:7" x14ac:dyDescent="0.3">
      <c r="D14" s="4"/>
      <c r="E14" s="4"/>
      <c r="F14" s="4"/>
      <c r="G14" s="4"/>
    </row>
  </sheetData>
  <conditionalFormatting sqref="E6:F6">
    <cfRule type="colorScale" priority="2">
      <colorScale>
        <cfvo type="min"/>
        <cfvo type="percentile" val="50"/>
        <cfvo type="max"/>
        <color rgb="FF5A8AC6"/>
        <color rgb="FFFCFCFF"/>
        <color rgb="FFF8696B"/>
      </colorScale>
    </cfRule>
  </conditionalFormatting>
  <conditionalFormatting pivot="1" sqref="E7:G13">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A646-AEAD-4E52-97E9-CF4FF8198992}">
  <dimension ref="C10:T108"/>
  <sheetViews>
    <sheetView topLeftCell="B1" workbookViewId="0">
      <selection activeCell="G87" sqref="G87"/>
    </sheetView>
  </sheetViews>
  <sheetFormatPr defaultRowHeight="15.75" x14ac:dyDescent="0.3"/>
  <cols>
    <col min="5" max="5" width="20.33203125" customWidth="1"/>
    <col min="6" max="6" width="11.88671875" bestFit="1" customWidth="1"/>
    <col min="7" max="7" width="13.88671875" bestFit="1" customWidth="1"/>
    <col min="8" max="8" width="14.5546875" bestFit="1" customWidth="1"/>
    <col min="9" max="9" width="5.44140625" bestFit="1" customWidth="1"/>
    <col min="10" max="10" width="5.21875" customWidth="1"/>
    <col min="11" max="11" width="5.44140625" hidden="1" customWidth="1"/>
    <col min="12" max="12" width="12" customWidth="1"/>
    <col min="13" max="13" width="11.6640625" customWidth="1"/>
    <col min="14" max="19" width="5.44140625" bestFit="1" customWidth="1"/>
    <col min="20" max="20" width="10.44140625" bestFit="1" customWidth="1"/>
    <col min="21" max="21" width="7.88671875" customWidth="1"/>
    <col min="22" max="22" width="7.21875" bestFit="1" customWidth="1"/>
    <col min="23" max="23" width="6.109375" bestFit="1" customWidth="1"/>
    <col min="24" max="24" width="7.21875" bestFit="1" customWidth="1"/>
    <col min="25" max="25" width="6.109375" bestFit="1" customWidth="1"/>
    <col min="26" max="26" width="7.21875" bestFit="1" customWidth="1"/>
    <col min="27" max="27" width="6.109375" bestFit="1" customWidth="1"/>
    <col min="28" max="28" width="7.21875" bestFit="1" customWidth="1"/>
    <col min="29" max="29" width="6.109375" bestFit="1" customWidth="1"/>
    <col min="30" max="30" width="7.21875" bestFit="1" customWidth="1"/>
    <col min="31" max="31" width="6.109375" bestFit="1" customWidth="1"/>
    <col min="32" max="32" width="8.77734375" bestFit="1" customWidth="1"/>
  </cols>
  <sheetData>
    <row r="10" spans="6:20" x14ac:dyDescent="0.3">
      <c r="F10" s="1" t="s">
        <v>722</v>
      </c>
      <c r="G10" s="1" t="s">
        <v>721</v>
      </c>
    </row>
    <row r="11" spans="6:20" x14ac:dyDescent="0.3">
      <c r="F11" s="1" t="s">
        <v>719</v>
      </c>
      <c r="G11">
        <v>2006</v>
      </c>
      <c r="H11">
        <v>2007</v>
      </c>
      <c r="I11">
        <v>2008</v>
      </c>
      <c r="J11">
        <v>2009</v>
      </c>
      <c r="K11">
        <v>2010</v>
      </c>
      <c r="L11">
        <v>2011</v>
      </c>
      <c r="M11">
        <v>2012</v>
      </c>
      <c r="N11">
        <v>2013</v>
      </c>
      <c r="O11">
        <v>2014</v>
      </c>
      <c r="P11">
        <v>2015</v>
      </c>
      <c r="Q11">
        <v>2016</v>
      </c>
      <c r="R11">
        <v>2017</v>
      </c>
      <c r="S11">
        <v>2018</v>
      </c>
      <c r="T11" t="s">
        <v>720</v>
      </c>
    </row>
    <row r="12" spans="6:20" x14ac:dyDescent="0.3">
      <c r="F12" s="2" t="s">
        <v>151</v>
      </c>
      <c r="G12" s="3"/>
      <c r="H12" s="3"/>
      <c r="I12" s="3">
        <v>1</v>
      </c>
      <c r="J12" s="3">
        <v>1</v>
      </c>
      <c r="K12" s="3"/>
      <c r="L12" s="3">
        <v>1</v>
      </c>
      <c r="M12" s="3"/>
      <c r="N12" s="3"/>
      <c r="O12" s="3">
        <v>2</v>
      </c>
      <c r="P12" s="3">
        <v>3</v>
      </c>
      <c r="Q12" s="3">
        <v>1</v>
      </c>
      <c r="R12" s="3"/>
      <c r="S12" s="3"/>
      <c r="T12" s="3">
        <v>9</v>
      </c>
    </row>
    <row r="13" spans="6:20" x14ac:dyDescent="0.3">
      <c r="F13" s="2" t="s">
        <v>388</v>
      </c>
      <c r="G13" s="3"/>
      <c r="H13" s="3"/>
      <c r="I13" s="3"/>
      <c r="J13" s="3"/>
      <c r="K13" s="3"/>
      <c r="L13" s="3"/>
      <c r="M13" s="3">
        <v>1</v>
      </c>
      <c r="N13" s="3"/>
      <c r="O13" s="3"/>
      <c r="P13" s="3"/>
      <c r="Q13" s="3"/>
      <c r="R13" s="3"/>
      <c r="S13" s="3"/>
      <c r="T13" s="3">
        <v>1</v>
      </c>
    </row>
    <row r="14" spans="6:20" x14ac:dyDescent="0.3">
      <c r="F14" s="2" t="s">
        <v>57</v>
      </c>
      <c r="G14" s="3"/>
      <c r="H14" s="3"/>
      <c r="I14" s="3"/>
      <c r="J14" s="3"/>
      <c r="K14" s="3">
        <v>2</v>
      </c>
      <c r="L14" s="3">
        <v>3</v>
      </c>
      <c r="M14" s="3">
        <v>3</v>
      </c>
      <c r="N14" s="3">
        <v>1</v>
      </c>
      <c r="O14" s="3">
        <v>10</v>
      </c>
      <c r="P14" s="3">
        <v>20</v>
      </c>
      <c r="Q14" s="3">
        <v>5</v>
      </c>
      <c r="R14" s="3">
        <v>6</v>
      </c>
      <c r="S14" s="3"/>
      <c r="T14" s="3">
        <v>50</v>
      </c>
    </row>
    <row r="15" spans="6:20" x14ac:dyDescent="0.3">
      <c r="F15" s="2" t="s">
        <v>46</v>
      </c>
      <c r="G15" s="3"/>
      <c r="H15" s="3">
        <v>2</v>
      </c>
      <c r="I15" s="3">
        <v>2</v>
      </c>
      <c r="J15" s="3">
        <v>6</v>
      </c>
      <c r="K15" s="3">
        <v>6</v>
      </c>
      <c r="L15" s="3">
        <v>68</v>
      </c>
      <c r="M15" s="3">
        <v>33</v>
      </c>
      <c r="N15" s="3">
        <v>37</v>
      </c>
      <c r="O15" s="3">
        <v>35</v>
      </c>
      <c r="P15" s="3">
        <v>11</v>
      </c>
      <c r="Q15" s="3">
        <v>7</v>
      </c>
      <c r="R15" s="3"/>
      <c r="S15" s="3">
        <v>1</v>
      </c>
      <c r="T15" s="3">
        <v>208</v>
      </c>
    </row>
    <row r="16" spans="6:20" x14ac:dyDescent="0.3">
      <c r="F16" s="2" t="s">
        <v>695</v>
      </c>
      <c r="G16" s="3"/>
      <c r="H16" s="3"/>
      <c r="I16" s="3"/>
      <c r="J16" s="3"/>
      <c r="K16" s="3"/>
      <c r="L16" s="3">
        <v>1</v>
      </c>
      <c r="M16" s="3"/>
      <c r="N16" s="3"/>
      <c r="O16" s="3"/>
      <c r="P16" s="3"/>
      <c r="Q16" s="3"/>
      <c r="R16" s="3"/>
      <c r="S16" s="3"/>
      <c r="T16" s="3">
        <v>1</v>
      </c>
    </row>
    <row r="17" spans="6:20" x14ac:dyDescent="0.3">
      <c r="F17" s="2" t="s">
        <v>171</v>
      </c>
      <c r="G17" s="3">
        <v>1</v>
      </c>
      <c r="H17" s="3"/>
      <c r="I17" s="3"/>
      <c r="J17" s="3"/>
      <c r="K17" s="3">
        <v>1</v>
      </c>
      <c r="L17" s="3">
        <v>6</v>
      </c>
      <c r="M17" s="3">
        <v>6</v>
      </c>
      <c r="N17" s="3">
        <v>3</v>
      </c>
      <c r="O17" s="3">
        <v>11</v>
      </c>
      <c r="P17" s="3">
        <v>2</v>
      </c>
      <c r="Q17" s="3">
        <v>1</v>
      </c>
      <c r="R17" s="3"/>
      <c r="S17" s="3"/>
      <c r="T17" s="3">
        <v>31</v>
      </c>
    </row>
    <row r="18" spans="6:20" x14ac:dyDescent="0.3">
      <c r="F18" s="2" t="s">
        <v>82</v>
      </c>
      <c r="G18" s="3"/>
      <c r="H18" s="3"/>
      <c r="I18" s="3"/>
      <c r="J18" s="3"/>
      <c r="K18" s="3"/>
      <c r="L18" s="3">
        <v>4</v>
      </c>
      <c r="M18" s="3">
        <v>2</v>
      </c>
      <c r="N18" s="3">
        <v>3</v>
      </c>
      <c r="O18" s="3">
        <v>2</v>
      </c>
      <c r="P18" s="3"/>
      <c r="Q18" s="3"/>
      <c r="R18" s="3"/>
      <c r="S18" s="3"/>
      <c r="T18" s="3">
        <v>11</v>
      </c>
    </row>
    <row r="19" spans="6:20" x14ac:dyDescent="0.3">
      <c r="F19" s="2" t="s">
        <v>720</v>
      </c>
      <c r="G19" s="3">
        <v>1</v>
      </c>
      <c r="H19" s="3">
        <v>2</v>
      </c>
      <c r="I19" s="3">
        <v>3</v>
      </c>
      <c r="J19" s="3">
        <v>7</v>
      </c>
      <c r="K19" s="3">
        <v>9</v>
      </c>
      <c r="L19" s="3">
        <v>83</v>
      </c>
      <c r="M19" s="3">
        <v>45</v>
      </c>
      <c r="N19" s="3">
        <v>44</v>
      </c>
      <c r="O19" s="3">
        <v>60</v>
      </c>
      <c r="P19" s="3">
        <v>36</v>
      </c>
      <c r="Q19" s="3">
        <v>14</v>
      </c>
      <c r="R19" s="3">
        <v>6</v>
      </c>
      <c r="S19" s="3">
        <v>1</v>
      </c>
      <c r="T19" s="3">
        <v>311</v>
      </c>
    </row>
    <row r="24" spans="6:20" x14ac:dyDescent="0.3">
      <c r="F24" s="1" t="s">
        <v>719</v>
      </c>
      <c r="G24" t="s">
        <v>774</v>
      </c>
    </row>
    <row r="25" spans="6:20" x14ac:dyDescent="0.3">
      <c r="F25" s="2">
        <v>2006</v>
      </c>
      <c r="G25" s="3">
        <v>1</v>
      </c>
    </row>
    <row r="26" spans="6:20" x14ac:dyDescent="0.3">
      <c r="F26" s="2">
        <v>2007</v>
      </c>
      <c r="G26" s="3">
        <v>2</v>
      </c>
    </row>
    <row r="27" spans="6:20" x14ac:dyDescent="0.3">
      <c r="F27" s="2">
        <v>2008</v>
      </c>
      <c r="G27" s="3">
        <v>3</v>
      </c>
    </row>
    <row r="28" spans="6:20" x14ac:dyDescent="0.3">
      <c r="F28" s="2">
        <v>2009</v>
      </c>
      <c r="G28" s="3">
        <v>7</v>
      </c>
    </row>
    <row r="29" spans="6:20" x14ac:dyDescent="0.3">
      <c r="F29" s="2">
        <v>2010</v>
      </c>
      <c r="G29" s="3">
        <v>9</v>
      </c>
    </row>
    <row r="30" spans="6:20" x14ac:dyDescent="0.3">
      <c r="F30" s="2">
        <v>2011</v>
      </c>
      <c r="G30" s="3">
        <v>83</v>
      </c>
    </row>
    <row r="31" spans="6:20" x14ac:dyDescent="0.3">
      <c r="F31" s="2">
        <v>2012</v>
      </c>
      <c r="G31" s="3">
        <v>45</v>
      </c>
    </row>
    <row r="32" spans="6:20" x14ac:dyDescent="0.3">
      <c r="F32" s="2">
        <v>2013</v>
      </c>
      <c r="G32" s="3">
        <v>44</v>
      </c>
    </row>
    <row r="33" spans="6:8" x14ac:dyDescent="0.3">
      <c r="F33" s="2">
        <v>2014</v>
      </c>
      <c r="G33" s="3">
        <v>60</v>
      </c>
    </row>
    <row r="34" spans="6:8" x14ac:dyDescent="0.3">
      <c r="F34" s="2">
        <v>2015</v>
      </c>
      <c r="G34" s="3">
        <v>36</v>
      </c>
    </row>
    <row r="35" spans="6:8" x14ac:dyDescent="0.3">
      <c r="F35" s="2">
        <v>2016</v>
      </c>
      <c r="G35" s="3">
        <v>14</v>
      </c>
    </row>
    <row r="36" spans="6:8" x14ac:dyDescent="0.3">
      <c r="F36" s="2">
        <v>2017</v>
      </c>
      <c r="G36" s="3">
        <v>6</v>
      </c>
    </row>
    <row r="37" spans="6:8" x14ac:dyDescent="0.3">
      <c r="F37" s="2">
        <v>2018</v>
      </c>
      <c r="G37" s="3">
        <v>1</v>
      </c>
    </row>
    <row r="38" spans="6:8" x14ac:dyDescent="0.3">
      <c r="F38" s="2" t="s">
        <v>812</v>
      </c>
      <c r="G38" s="3"/>
    </row>
    <row r="39" spans="6:8" x14ac:dyDescent="0.3">
      <c r="F39" s="2" t="s">
        <v>720</v>
      </c>
      <c r="G39" s="3">
        <v>311</v>
      </c>
    </row>
    <row r="46" spans="6:8" x14ac:dyDescent="0.3">
      <c r="F46" s="1" t="s">
        <v>719</v>
      </c>
      <c r="G46" t="s">
        <v>774</v>
      </c>
      <c r="H46" t="s">
        <v>776</v>
      </c>
    </row>
    <row r="47" spans="6:8" x14ac:dyDescent="0.3">
      <c r="F47" s="2" t="s">
        <v>151</v>
      </c>
      <c r="G47" s="3">
        <v>9</v>
      </c>
      <c r="H47" s="5">
        <v>2.1955824880340756E-5</v>
      </c>
    </row>
    <row r="48" spans="6:8" x14ac:dyDescent="0.3">
      <c r="F48" s="2" t="s">
        <v>388</v>
      </c>
      <c r="G48" s="3">
        <v>1</v>
      </c>
      <c r="H48" s="5">
        <v>0</v>
      </c>
    </row>
    <row r="49" spans="3:8" x14ac:dyDescent="0.3">
      <c r="F49" s="2" t="s">
        <v>57</v>
      </c>
      <c r="G49" s="3">
        <v>50</v>
      </c>
      <c r="H49" s="5">
        <v>1.9702919381564767E-5</v>
      </c>
    </row>
    <row r="50" spans="3:8" x14ac:dyDescent="0.3">
      <c r="F50" s="2" t="s">
        <v>46</v>
      </c>
      <c r="G50" s="3">
        <v>209</v>
      </c>
      <c r="H50" s="5">
        <v>3.9097663608412872E-5</v>
      </c>
    </row>
    <row r="51" spans="3:8" x14ac:dyDescent="0.3">
      <c r="F51" s="2" t="s">
        <v>171</v>
      </c>
      <c r="G51" s="3">
        <v>31</v>
      </c>
      <c r="H51" s="5">
        <v>1.5846102651052972E-5</v>
      </c>
    </row>
    <row r="52" spans="3:8" x14ac:dyDescent="0.3">
      <c r="F52" s="2" t="s">
        <v>82</v>
      </c>
      <c r="G52" s="3">
        <v>11</v>
      </c>
      <c r="H52" s="5">
        <v>3.5915670006823979E-5</v>
      </c>
    </row>
    <row r="53" spans="3:8" x14ac:dyDescent="0.3">
      <c r="F53" s="2" t="s">
        <v>720</v>
      </c>
      <c r="G53" s="3">
        <v>311</v>
      </c>
      <c r="H53" s="5">
        <v>3.2926855523290052E-5</v>
      </c>
    </row>
    <row r="58" spans="3:8" x14ac:dyDescent="0.3">
      <c r="F58" s="1" t="s">
        <v>719</v>
      </c>
      <c r="G58" t="s">
        <v>774</v>
      </c>
    </row>
    <row r="59" spans="3:8" x14ac:dyDescent="0.3">
      <c r="F59" s="2" t="s">
        <v>777</v>
      </c>
      <c r="G59" s="3">
        <v>31</v>
      </c>
    </row>
    <row r="60" spans="3:8" x14ac:dyDescent="0.3">
      <c r="F60" s="2" t="s">
        <v>778</v>
      </c>
      <c r="G60" s="3">
        <v>90</v>
      </c>
    </row>
    <row r="61" spans="3:8" x14ac:dyDescent="0.3">
      <c r="F61" s="2" t="s">
        <v>779</v>
      </c>
      <c r="G61" s="3">
        <v>101</v>
      </c>
    </row>
    <row r="62" spans="3:8" x14ac:dyDescent="0.3">
      <c r="C62" t="s">
        <v>786</v>
      </c>
      <c r="F62" s="2" t="s">
        <v>780</v>
      </c>
      <c r="G62" s="3">
        <v>31</v>
      </c>
    </row>
    <row r="63" spans="3:8" x14ac:dyDescent="0.3">
      <c r="C63" t="s">
        <v>787</v>
      </c>
      <c r="F63" s="2" t="s">
        <v>781</v>
      </c>
      <c r="G63" s="3">
        <v>17</v>
      </c>
    </row>
    <row r="64" spans="3:8" x14ac:dyDescent="0.3">
      <c r="C64" t="s">
        <v>788</v>
      </c>
      <c r="F64" s="2" t="s">
        <v>782</v>
      </c>
      <c r="G64" s="3">
        <v>16</v>
      </c>
    </row>
    <row r="65" spans="3:13" x14ac:dyDescent="0.3">
      <c r="C65" t="s">
        <v>789</v>
      </c>
      <c r="F65" s="2" t="s">
        <v>783</v>
      </c>
      <c r="G65" s="3">
        <v>10</v>
      </c>
    </row>
    <row r="66" spans="3:13" x14ac:dyDescent="0.3">
      <c r="C66" t="s">
        <v>790</v>
      </c>
      <c r="F66" s="2" t="s">
        <v>784</v>
      </c>
      <c r="G66" s="3">
        <v>5</v>
      </c>
    </row>
    <row r="67" spans="3:13" x14ac:dyDescent="0.3">
      <c r="C67" t="s">
        <v>791</v>
      </c>
      <c r="F67" s="2" t="s">
        <v>785</v>
      </c>
      <c r="G67" s="3">
        <v>10</v>
      </c>
    </row>
    <row r="68" spans="3:13" x14ac:dyDescent="0.3">
      <c r="F68" s="2" t="s">
        <v>720</v>
      </c>
      <c r="G68" s="3">
        <v>311</v>
      </c>
    </row>
    <row r="79" spans="3:13" x14ac:dyDescent="0.3">
      <c r="L79" t="s">
        <v>795</v>
      </c>
      <c r="M79" t="s">
        <v>796</v>
      </c>
    </row>
    <row r="80" spans="3:13" x14ac:dyDescent="0.3">
      <c r="L80" t="s">
        <v>794</v>
      </c>
      <c r="M80">
        <v>312</v>
      </c>
    </row>
    <row r="81" spans="3:13" x14ac:dyDescent="0.3">
      <c r="L81" t="s">
        <v>643</v>
      </c>
      <c r="M81">
        <f>COUNTIF(HRDataset_v14!Y:Y,"Active")</f>
        <v>207</v>
      </c>
    </row>
    <row r="82" spans="3:13" x14ac:dyDescent="0.3">
      <c r="L82" t="s">
        <v>744</v>
      </c>
      <c r="M82">
        <v>150</v>
      </c>
    </row>
    <row r="83" spans="3:13" x14ac:dyDescent="0.3">
      <c r="L83" t="s">
        <v>747</v>
      </c>
      <c r="M83">
        <v>120</v>
      </c>
    </row>
    <row r="89" spans="3:13" x14ac:dyDescent="0.3">
      <c r="C89" t="s">
        <v>719</v>
      </c>
      <c r="D89" t="s">
        <v>810</v>
      </c>
      <c r="E89" t="s">
        <v>811</v>
      </c>
    </row>
    <row r="90" spans="3:13" x14ac:dyDescent="0.3">
      <c r="C90" t="s">
        <v>44</v>
      </c>
      <c r="D90">
        <v>207</v>
      </c>
      <c r="E90">
        <v>0.66559485530546625</v>
      </c>
    </row>
    <row r="91" spans="3:13" x14ac:dyDescent="0.3">
      <c r="C91" t="s">
        <v>101</v>
      </c>
      <c r="D91">
        <v>20</v>
      </c>
      <c r="E91">
        <v>0.729903536977492</v>
      </c>
    </row>
    <row r="92" spans="3:13" x14ac:dyDescent="0.3">
      <c r="C92" t="s">
        <v>105</v>
      </c>
      <c r="D92">
        <v>14</v>
      </c>
      <c r="E92">
        <v>0.77491961414791</v>
      </c>
    </row>
    <row r="93" spans="3:13" x14ac:dyDescent="0.3">
      <c r="C93" t="s">
        <v>243</v>
      </c>
      <c r="D93">
        <v>11</v>
      </c>
      <c r="E93">
        <v>0.81028938906752412</v>
      </c>
    </row>
    <row r="94" spans="3:13" x14ac:dyDescent="0.3">
      <c r="C94" t="s">
        <v>55</v>
      </c>
      <c r="D94">
        <v>9</v>
      </c>
      <c r="E94">
        <v>0.83922829581993574</v>
      </c>
    </row>
    <row r="95" spans="3:13" x14ac:dyDescent="0.3">
      <c r="C95" t="s">
        <v>65</v>
      </c>
      <c r="D95">
        <v>8</v>
      </c>
      <c r="E95">
        <v>0.864951768488746</v>
      </c>
    </row>
    <row r="96" spans="3:13" x14ac:dyDescent="0.3">
      <c r="C96" t="s">
        <v>120</v>
      </c>
      <c r="D96">
        <v>7</v>
      </c>
      <c r="E96">
        <v>0.887459807073955</v>
      </c>
    </row>
    <row r="97" spans="3:5" x14ac:dyDescent="0.3">
      <c r="C97" t="s">
        <v>200</v>
      </c>
      <c r="D97">
        <v>5</v>
      </c>
      <c r="E97">
        <v>0.90353697749196138</v>
      </c>
    </row>
    <row r="98" spans="3:5" x14ac:dyDescent="0.3">
      <c r="C98" t="s">
        <v>73</v>
      </c>
      <c r="D98">
        <v>5</v>
      </c>
      <c r="E98">
        <v>0.91961414790996787</v>
      </c>
    </row>
    <row r="99" spans="3:5" x14ac:dyDescent="0.3">
      <c r="C99" t="s">
        <v>155</v>
      </c>
      <c r="D99">
        <v>4</v>
      </c>
      <c r="E99">
        <v>0.932475884244373</v>
      </c>
    </row>
    <row r="100" spans="3:5" x14ac:dyDescent="0.3">
      <c r="C100" t="s">
        <v>129</v>
      </c>
      <c r="D100">
        <v>4</v>
      </c>
      <c r="E100">
        <v>0.94533762057877813</v>
      </c>
    </row>
    <row r="101" spans="3:5" x14ac:dyDescent="0.3">
      <c r="C101" t="s">
        <v>279</v>
      </c>
      <c r="D101">
        <v>4</v>
      </c>
      <c r="E101">
        <v>0.95819935691318325</v>
      </c>
    </row>
    <row r="102" spans="3:5" x14ac:dyDescent="0.3">
      <c r="C102" t="s">
        <v>270</v>
      </c>
      <c r="D102">
        <v>4</v>
      </c>
      <c r="E102">
        <v>0.97106109324758838</v>
      </c>
    </row>
    <row r="103" spans="3:5" x14ac:dyDescent="0.3">
      <c r="C103" t="s">
        <v>381</v>
      </c>
      <c r="D103">
        <v>3</v>
      </c>
      <c r="E103">
        <v>0.98070739549839225</v>
      </c>
    </row>
    <row r="104" spans="3:5" x14ac:dyDescent="0.3">
      <c r="C104" t="s">
        <v>484</v>
      </c>
      <c r="D104">
        <v>3</v>
      </c>
      <c r="E104">
        <v>0.99035369774919613</v>
      </c>
    </row>
    <row r="105" spans="3:5" x14ac:dyDescent="0.3">
      <c r="C105" t="s">
        <v>147</v>
      </c>
      <c r="D105">
        <v>1</v>
      </c>
      <c r="E105">
        <v>0.99356913183279738</v>
      </c>
    </row>
    <row r="106" spans="3:5" x14ac:dyDescent="0.3">
      <c r="C106" t="s">
        <v>296</v>
      </c>
      <c r="D106">
        <v>1</v>
      </c>
      <c r="E106">
        <v>0.99678456591639875</v>
      </c>
    </row>
    <row r="107" spans="3:5" x14ac:dyDescent="0.3">
      <c r="C107" t="s">
        <v>597</v>
      </c>
      <c r="D107">
        <v>1</v>
      </c>
      <c r="E107">
        <v>1</v>
      </c>
    </row>
    <row r="108" spans="3:5" x14ac:dyDescent="0.3">
      <c r="C108" t="s">
        <v>720</v>
      </c>
      <c r="D108">
        <v>311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68FED2-FBD9-44B8-9786-E31167A616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HRDataset_v14</vt:lpstr>
      <vt:lpstr>DASHBAORD 1</vt:lpstr>
      <vt:lpstr>DASBAORD 2</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younas</dc:creator>
  <cp:lastModifiedBy>fatima younas</cp:lastModifiedBy>
  <dcterms:created xsi:type="dcterms:W3CDTF">2026-02-03T15:46:36Z</dcterms:created>
  <dcterms:modified xsi:type="dcterms:W3CDTF">2026-04-03T18:47:30Z</dcterms:modified>
</cp:coreProperties>
</file>